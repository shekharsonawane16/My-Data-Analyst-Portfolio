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tboffoodspvtltd.sharepoint.com/sites/TBOFProduction/Shared Documents/"/>
    </mc:Choice>
  </mc:AlternateContent>
  <xr:revisionPtr revIDLastSave="0" documentId="8_{F4D92A9F-A577-4552-BE48-5B58AA0C3455}" xr6:coauthVersionLast="47" xr6:coauthVersionMax="47" xr10:uidLastSave="{00000000-0000-0000-0000-000000000000}"/>
  <bookViews>
    <workbookView xWindow="-110" yWindow="-110" windowWidth="25820" windowHeight="15500" firstSheet="1" xr2:uid="{F532180E-2A95-40BD-946E-A3BAA325EF1C}"/>
  </bookViews>
  <sheets>
    <sheet name="Dashboard" sheetId="11" r:id="rId1"/>
    <sheet name="Daily Tracker" sheetId="4" r:id="rId2"/>
    <sheet name="Master" sheetId="1" r:id="rId3"/>
    <sheet name="Weekly Tracking" sheetId="7" r:id="rId4"/>
    <sheet name="MP Split" sheetId="8" r:id="rId5"/>
    <sheet name="Leaders" sheetId="6" r:id="rId6"/>
    <sheet name="Chart" sheetId="5" r:id="rId7"/>
    <sheet name="Stickered MP" sheetId="9" r:id="rId8"/>
    <sheet name="HardCopyFormat" sheetId="10" r:id="rId9"/>
  </sheets>
  <definedNames>
    <definedName name="_xlnm._FilterDatabase" localSheetId="1" hidden="1">'Daily Tracker'!$A$2:$CR$2</definedName>
    <definedName name="_xlnm._FilterDatabase" localSheetId="5" hidden="1">Leaders!$A$1:$J$22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W2" i="11" l="1"/>
  <c r="DX2" i="11"/>
  <c r="DY2" i="11"/>
  <c r="DZ2" i="11"/>
  <c r="EA2" i="11"/>
  <c r="EB2" i="11"/>
  <c r="EC2" i="11"/>
  <c r="ED2" i="11"/>
  <c r="EE2" i="11"/>
  <c r="EF2" i="11"/>
  <c r="EG2" i="11"/>
  <c r="EH2" i="11"/>
  <c r="EI2" i="11"/>
  <c r="EJ2" i="11"/>
  <c r="EK2" i="11"/>
  <c r="EL2" i="11"/>
  <c r="EM2" i="11"/>
  <c r="EN2" i="11"/>
  <c r="EO2" i="11"/>
  <c r="EP2" i="11"/>
  <c r="EQ2" i="11"/>
  <c r="ER2" i="11"/>
  <c r="ES2" i="11"/>
  <c r="ET2" i="11"/>
  <c r="EU2" i="11"/>
  <c r="EV2" i="11"/>
  <c r="EW2" i="11"/>
  <c r="EX2" i="11"/>
  <c r="EY2" i="11"/>
  <c r="EZ2" i="11"/>
  <c r="FA2" i="11"/>
  <c r="FB2" i="11"/>
  <c r="FC2" i="11"/>
  <c r="FD2" i="11"/>
  <c r="FE2" i="11"/>
  <c r="FF2" i="11"/>
  <c r="FG2" i="11"/>
  <c r="FH2" i="11"/>
  <c r="FI2" i="11"/>
  <c r="FJ2" i="11"/>
  <c r="FK2" i="11"/>
  <c r="FL2" i="11"/>
  <c r="FM2" i="11"/>
  <c r="FN2" i="11"/>
  <c r="FO2" i="11"/>
  <c r="FP2" i="11"/>
  <c r="FQ2" i="11"/>
  <c r="FR2" i="11"/>
  <c r="FS2" i="11"/>
  <c r="FT2" i="11"/>
  <c r="FU2" i="11"/>
  <c r="FV2" i="11"/>
  <c r="FW2" i="11"/>
  <c r="FX2" i="11"/>
  <c r="FY2" i="11"/>
  <c r="FZ2" i="11"/>
  <c r="GA2" i="11"/>
  <c r="GB2" i="11"/>
  <c r="GC2" i="11"/>
  <c r="GD2" i="11"/>
  <c r="GE2" i="11"/>
  <c r="GF2" i="11"/>
  <c r="GG2" i="11"/>
  <c r="GH2" i="11"/>
  <c r="GI2" i="11"/>
  <c r="GJ2" i="11"/>
  <c r="GK2" i="11"/>
  <c r="GL2" i="11"/>
  <c r="GM2" i="11"/>
  <c r="GN2" i="11"/>
  <c r="GO2" i="11"/>
  <c r="GP2" i="11"/>
  <c r="GQ2" i="11"/>
  <c r="GR2" i="11"/>
  <c r="GS2" i="11"/>
  <c r="DV2" i="11"/>
  <c r="A5" i="11"/>
  <c r="R16" i="11" a="1"/>
  <c r="R16" i="11"/>
  <c r="R15" i="11" a="1"/>
  <c r="R15" i="11"/>
  <c r="R14" i="11" a="1"/>
  <c r="R14" i="11"/>
  <c r="R13" i="11" a="1"/>
  <c r="R13" i="11"/>
  <c r="R12" i="11" a="1"/>
  <c r="R12" i="11"/>
  <c r="R11" i="11" a="1"/>
  <c r="R11" i="11"/>
  <c r="R10" i="11" a="1"/>
  <c r="R10" i="11"/>
  <c r="R9" i="11" a="1"/>
  <c r="R9" i="11"/>
  <c r="R8" i="11" a="1"/>
  <c r="R8" i="11"/>
  <c r="R7" i="11" a="1"/>
  <c r="R7" i="11"/>
  <c r="R6" i="11" a="1"/>
  <c r="R6" i="11"/>
  <c r="R5" i="11" a="1"/>
  <c r="R5" i="11"/>
  <c r="R4" i="11" a="1"/>
  <c r="R4" i="11"/>
  <c r="R3" i="11" a="1"/>
  <c r="R3" i="11"/>
  <c r="M7" i="11"/>
  <c r="DU2" i="11"/>
  <c r="DT2" i="11"/>
  <c r="DS2" i="11"/>
  <c r="DR2" i="11"/>
  <c r="DQ2" i="11"/>
  <c r="DP2" i="11"/>
  <c r="DO2" i="11"/>
  <c r="DN2" i="11"/>
  <c r="DM2" i="11"/>
  <c r="DL2" i="11"/>
  <c r="DK2" i="11"/>
  <c r="DJ2" i="11"/>
  <c r="DI2" i="11"/>
  <c r="DH2" i="11"/>
  <c r="DG2" i="11"/>
  <c r="DF2" i="11"/>
  <c r="DE2" i="11"/>
  <c r="DD2" i="11"/>
  <c r="DC2" i="11"/>
  <c r="DB2" i="11"/>
  <c r="DA2" i="11"/>
  <c r="CZ2" i="11"/>
  <c r="CY2" i="11"/>
  <c r="CX2" i="11"/>
  <c r="CW2" i="11"/>
  <c r="CV2" i="11"/>
  <c r="CU2" i="11"/>
  <c r="CT2" i="11"/>
  <c r="CS2" i="11"/>
  <c r="CR2" i="11"/>
  <c r="CQ2" i="11"/>
  <c r="CP2" i="11"/>
  <c r="CO2" i="11"/>
  <c r="CN2" i="11"/>
  <c r="CM2" i="11"/>
  <c r="CL2" i="11"/>
  <c r="CK2" i="11"/>
  <c r="CJ2" i="11"/>
  <c r="CI2" i="11"/>
  <c r="CH2" i="11"/>
  <c r="CG2" i="11"/>
  <c r="CF2" i="11"/>
  <c r="CE2" i="11"/>
  <c r="CD2" i="11"/>
  <c r="CC2" i="11"/>
  <c r="CB2" i="11"/>
  <c r="CA2" i="11"/>
  <c r="BZ2" i="11"/>
  <c r="BY2" i="11"/>
  <c r="BX2" i="11"/>
  <c r="BW2" i="11"/>
  <c r="BV2" i="11"/>
  <c r="BU2" i="11"/>
  <c r="BT2" i="11"/>
  <c r="BS2" i="11"/>
  <c r="BR2" i="11"/>
  <c r="BQ2" i="11"/>
  <c r="BP2" i="11"/>
  <c r="BO2" i="11"/>
  <c r="BN2" i="11"/>
  <c r="BM2" i="11"/>
  <c r="BL2" i="11"/>
  <c r="BK2" i="11"/>
  <c r="BJ2" i="11"/>
  <c r="BI2" i="11"/>
  <c r="BH2" i="11"/>
  <c r="BG2" i="11"/>
  <c r="BF2" i="11"/>
  <c r="BE2" i="11"/>
  <c r="BD2" i="11"/>
  <c r="BC2" i="11"/>
  <c r="BB2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12" i="11" s="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D44" i="11" s="1"/>
  <c r="C17" i="11"/>
  <c r="B17" i="11"/>
  <c r="V13" i="5" a="1"/>
  <c r="V13" i="5"/>
  <c r="V2" i="5" a="1"/>
  <c r="V2" i="5"/>
  <c r="U21" i="5" a="1"/>
  <c r="U21" i="5"/>
  <c r="U46" i="5"/>
  <c r="N11" i="10"/>
  <c r="O11" i="10"/>
  <c r="P11" i="10"/>
  <c r="EV2" i="4"/>
  <c r="EW2" i="4"/>
  <c r="EX2" i="4"/>
  <c r="EY2" i="4"/>
  <c r="EZ2" i="4"/>
  <c r="FA2" i="4"/>
  <c r="EC41" i="4"/>
  <c r="EC37" i="4"/>
  <c r="DX31" i="4"/>
  <c r="DZ41" i="4"/>
  <c r="DZ37" i="4"/>
  <c r="U30" i="5"/>
  <c r="V30" i="5"/>
  <c r="W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U29" i="5" a="1"/>
  <c r="U29" i="5"/>
  <c r="U28" i="5" a="1"/>
  <c r="U28" i="5"/>
  <c r="U27" i="5" a="1"/>
  <c r="U27" i="5"/>
  <c r="U17" i="5"/>
  <c r="D19" i="4"/>
  <c r="C18" i="10"/>
  <c r="C13" i="10"/>
  <c r="DV6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EQ19" i="4"/>
  <c r="ER19" i="4"/>
  <c r="ES19" i="4"/>
  <c r="ET19" i="4"/>
  <c r="EU19" i="4"/>
  <c r="EV19" i="4"/>
  <c r="EW19" i="4"/>
  <c r="EX19" i="4"/>
  <c r="EY19" i="4"/>
  <c r="EZ19" i="4"/>
  <c r="FA19" i="4"/>
  <c r="DU19" i="4"/>
  <c r="DU41" i="4"/>
  <c r="DU37" i="4"/>
  <c r="DP19" i="4"/>
  <c r="DQ19" i="4"/>
  <c r="DR19" i="4"/>
  <c r="DS19" i="4"/>
  <c r="DT19" i="4"/>
  <c r="DN19" i="4"/>
  <c r="DV37" i="4"/>
  <c r="DW37" i="4"/>
  <c r="DX37" i="4"/>
  <c r="DY37" i="4"/>
  <c r="EA37" i="4"/>
  <c r="EB37" i="4"/>
  <c r="ED37" i="4"/>
  <c r="EE37" i="4"/>
  <c r="EF37" i="4"/>
  <c r="EG37" i="4"/>
  <c r="EH37" i="4"/>
  <c r="EI37" i="4"/>
  <c r="G12" i="11" s="1"/>
  <c r="EJ37" i="4"/>
  <c r="EK37" i="4"/>
  <c r="EL37" i="4"/>
  <c r="EM37" i="4"/>
  <c r="EN37" i="4"/>
  <c r="EO37" i="4"/>
  <c r="EP37" i="4"/>
  <c r="EQ37" i="4"/>
  <c r="ER37" i="4"/>
  <c r="ES37" i="4"/>
  <c r="ET37" i="4"/>
  <c r="EU37" i="4"/>
  <c r="EV37" i="4"/>
  <c r="EW37" i="4"/>
  <c r="EX37" i="4"/>
  <c r="EY37" i="4"/>
  <c r="EZ37" i="4"/>
  <c r="FA37" i="4"/>
  <c r="DT37" i="4"/>
  <c r="C30" i="10"/>
  <c r="DS37" i="4"/>
  <c r="DS31" i="4"/>
  <c r="DR37" i="4"/>
  <c r="C117" i="5"/>
  <c r="DO17" i="4"/>
  <c r="DO19" i="4" s="1"/>
  <c r="DO37" i="4"/>
  <c r="DN37" i="4"/>
  <c r="BG62" i="4"/>
  <c r="BG67" i="4"/>
  <c r="BG58" i="4"/>
  <c r="BG60" i="4" s="1"/>
  <c r="BG64" i="4" s="1"/>
  <c r="BG66" i="4" s="1"/>
  <c r="BG69" i="4" s="1"/>
  <c r="CD51" i="4"/>
  <c r="CB51" i="4"/>
  <c r="BZ51" i="4"/>
  <c r="BZ52" i="4" s="1"/>
  <c r="BZ57" i="4" s="1"/>
  <c r="DL4" i="4"/>
  <c r="DM4" i="4"/>
  <c r="DK4" i="4"/>
  <c r="DK3" i="4"/>
  <c r="A7" i="11" l="1"/>
  <c r="A12" i="11"/>
  <c r="D7" i="11"/>
  <c r="E44" i="11"/>
  <c r="W16" i="11"/>
  <c r="X16" i="11"/>
  <c r="Y16" i="11"/>
  <c r="Z16" i="11"/>
  <c r="AA16" i="11"/>
  <c r="S7" i="11"/>
  <c r="AB16" i="11"/>
  <c r="S8" i="11"/>
  <c r="AC16" i="11"/>
  <c r="S9" i="11"/>
  <c r="AD16" i="11"/>
  <c r="S10" i="11"/>
  <c r="AE16" i="11"/>
  <c r="S11" i="11"/>
  <c r="AF16" i="11"/>
  <c r="S12" i="11"/>
  <c r="AG16" i="11"/>
  <c r="S13" i="11"/>
  <c r="AH16" i="11"/>
  <c r="S14" i="11"/>
  <c r="AI16" i="11"/>
  <c r="S15" i="11"/>
  <c r="AJ16" i="11"/>
  <c r="S16" i="11"/>
  <c r="S6" i="11"/>
  <c r="S5" i="11"/>
  <c r="S4" i="11"/>
  <c r="S3" i="11"/>
  <c r="M12" i="11"/>
  <c r="G7" i="11"/>
  <c r="J7" i="11"/>
  <c r="J12" i="11"/>
  <c r="G17" i="11"/>
  <c r="F17" i="11"/>
  <c r="G18" i="11"/>
  <c r="F18" i="11"/>
  <c r="G19" i="11"/>
  <c r="F19" i="11"/>
  <c r="G20" i="11"/>
  <c r="F20" i="11"/>
  <c r="G21" i="11"/>
  <c r="F21" i="11"/>
  <c r="G22" i="11"/>
  <c r="F22" i="11"/>
  <c r="G23" i="11"/>
  <c r="F23" i="11"/>
  <c r="G24" i="11"/>
  <c r="F24" i="11"/>
  <c r="G25" i="11"/>
  <c r="F25" i="11"/>
  <c r="G26" i="11"/>
  <c r="F26" i="11"/>
  <c r="G27" i="11"/>
  <c r="F27" i="11"/>
  <c r="G28" i="11"/>
  <c r="F28" i="11"/>
  <c r="G29" i="11"/>
  <c r="F29" i="11"/>
  <c r="G30" i="11"/>
  <c r="F30" i="11"/>
  <c r="G31" i="11"/>
  <c r="F31" i="11"/>
  <c r="G32" i="11"/>
  <c r="F32" i="11"/>
  <c r="G33" i="11"/>
  <c r="F33" i="11"/>
  <c r="G34" i="11"/>
  <c r="F34" i="11"/>
  <c r="G35" i="11"/>
  <c r="F35" i="11"/>
  <c r="G36" i="11"/>
  <c r="F36" i="11"/>
  <c r="G37" i="11"/>
  <c r="F37" i="11"/>
  <c r="G38" i="11"/>
  <c r="F38" i="11"/>
  <c r="G39" i="11"/>
  <c r="F39" i="11"/>
  <c r="G40" i="11"/>
  <c r="F40" i="11"/>
  <c r="G41" i="11"/>
  <c r="F41" i="11"/>
  <c r="G42" i="11"/>
  <c r="F42" i="11"/>
  <c r="G43" i="11"/>
  <c r="F43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DS33" i="4"/>
  <c r="DJ4" i="4"/>
  <c r="DJ3" i="4"/>
  <c r="DI4" i="4"/>
  <c r="D8" i="5"/>
  <c r="A158" i="5"/>
  <c r="A157" i="5"/>
  <c r="A156" i="5"/>
  <c r="A155" i="5"/>
  <c r="E110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6" i="5"/>
  <c r="D115" i="5"/>
  <c r="D114" i="5"/>
  <c r="D113" i="5"/>
  <c r="D112" i="5"/>
  <c r="D111" i="5"/>
  <c r="D109" i="5"/>
  <c r="D108" i="5"/>
  <c r="C158" i="5"/>
  <c r="E158" i="5" s="1"/>
  <c r="C157" i="5"/>
  <c r="E157" i="5" s="1"/>
  <c r="C156" i="5"/>
  <c r="E156" i="5" s="1"/>
  <c r="C155" i="5"/>
  <c r="E155" i="5" s="1"/>
  <c r="DH4" i="4"/>
  <c r="DH3" i="4"/>
  <c r="DG4" i="4"/>
  <c r="DF4" i="4"/>
  <c r="DE4" i="4"/>
  <c r="DD4" i="4"/>
  <c r="DD3" i="4"/>
  <c r="DC4" i="4"/>
  <c r="DC3" i="4"/>
  <c r="DB37" i="4"/>
  <c r="DB4" i="4"/>
  <c r="DB3" i="4"/>
  <c r="DA37" i="4"/>
  <c r="DA4" i="4"/>
  <c r="DA3" i="4"/>
  <c r="CZ37" i="4"/>
  <c r="CZ4" i="4"/>
  <c r="CZ3" i="4"/>
  <c r="CY37" i="4"/>
  <c r="CY4" i="4"/>
  <c r="CX4" i="4"/>
  <c r="CX3" i="4"/>
  <c r="CW37" i="4"/>
  <c r="CW4" i="4"/>
  <c r="CW3" i="4"/>
  <c r="CV37" i="4"/>
  <c r="CV4" i="4"/>
  <c r="CV3" i="4"/>
  <c r="CU37" i="4"/>
  <c r="CU4" i="4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AH4" i="9"/>
  <c r="CT37" i="4"/>
  <c r="CT4" i="4"/>
  <c r="CT3" i="4"/>
  <c r="FA38" i="4" a="1"/>
  <c r="EZ38" i="4" a="1"/>
  <c r="EY38" i="4" a="1"/>
  <c r="EY31" i="4"/>
  <c r="EY33" i="4" s="1"/>
  <c r="EZ31" i="4"/>
  <c r="EZ33" i="4" s="1"/>
  <c r="FA31" i="4"/>
  <c r="FA33" i="4" s="1"/>
  <c r="EY34" i="4"/>
  <c r="EZ34" i="4"/>
  <c r="FA34" i="4"/>
  <c r="EX38" i="4" a="1"/>
  <c r="EW38" i="4" a="1"/>
  <c r="EV38" i="4" a="1"/>
  <c r="EU38" i="4" a="1"/>
  <c r="EU31" i="4"/>
  <c r="EU33" i="4" s="1"/>
  <c r="EV31" i="4"/>
  <c r="EV33" i="4" s="1"/>
  <c r="EW31" i="4"/>
  <c r="EW33" i="4" s="1"/>
  <c r="EX31" i="4"/>
  <c r="EX33" i="4" s="1"/>
  <c r="EU34" i="4"/>
  <c r="EV34" i="4"/>
  <c r="EW34" i="4"/>
  <c r="EX34" i="4"/>
  <c r="CS37" i="4"/>
  <c r="CS4" i="4"/>
  <c r="CS3" i="4"/>
  <c r="P3" i="11" l="1" a="1"/>
  <c r="P3" i="11" s="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36" i="11"/>
  <c r="AG37" i="11"/>
  <c r="AG38" i="11"/>
  <c r="AG39" i="11"/>
  <c r="AG40" i="11"/>
  <c r="AG41" i="11"/>
  <c r="AG42" i="11"/>
  <c r="AG43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G44" i="11"/>
  <c r="F44" i="11"/>
  <c r="EX35" i="4"/>
  <c r="C151" i="5"/>
  <c r="E151" i="5" s="1"/>
  <c r="EW35" i="4"/>
  <c r="C150" i="5"/>
  <c r="E150" i="5" s="1"/>
  <c r="EV35" i="4"/>
  <c r="C149" i="5"/>
  <c r="E149" i="5" s="1"/>
  <c r="EU35" i="4"/>
  <c r="C148" i="5"/>
  <c r="E148" i="5" s="1"/>
  <c r="FA35" i="4"/>
  <c r="C154" i="5"/>
  <c r="E154" i="5" s="1"/>
  <c r="EZ35" i="4"/>
  <c r="C153" i="5"/>
  <c r="E153" i="5" s="1"/>
  <c r="EY35" i="4"/>
  <c r="C152" i="5"/>
  <c r="E152" i="5" s="1"/>
  <c r="CQ37" i="4"/>
  <c r="CQ4" i="4"/>
  <c r="CR37" i="4"/>
  <c r="CR4" i="4"/>
  <c r="CP37" i="4"/>
  <c r="CP4" i="4"/>
  <c r="CP3" i="4"/>
  <c r="CO37" i="4"/>
  <c r="CO3" i="4"/>
  <c r="CO4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CS31" i="4"/>
  <c r="CS33" i="4" s="1"/>
  <c r="CT31" i="4"/>
  <c r="CT33" i="4" s="1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K33" i="4" s="1"/>
  <c r="DL31" i="4"/>
  <c r="DL33" i="4" s="1"/>
  <c r="DM31" i="4"/>
  <c r="DM33" i="4" s="1"/>
  <c r="DN31" i="4"/>
  <c r="DN33" i="4" s="1"/>
  <c r="DO31" i="4"/>
  <c r="DO33" i="4" s="1"/>
  <c r="DP31" i="4"/>
  <c r="DP33" i="4" s="1"/>
  <c r="DQ31" i="4"/>
  <c r="DQ33" i="4" s="1"/>
  <c r="DR31" i="4"/>
  <c r="DR33" i="4" s="1"/>
  <c r="DT31" i="4"/>
  <c r="DT33" i="4" s="1"/>
  <c r="DU31" i="4"/>
  <c r="DU33" i="4" s="1"/>
  <c r="DV31" i="4"/>
  <c r="DV33" i="4" s="1"/>
  <c r="DW31" i="4"/>
  <c r="DW33" i="4" s="1"/>
  <c r="DX33" i="4"/>
  <c r="DY31" i="4"/>
  <c r="DY33" i="4" s="1"/>
  <c r="DZ31" i="4"/>
  <c r="DZ33" i="4" s="1"/>
  <c r="EA31" i="4"/>
  <c r="EA33" i="4" s="1"/>
  <c r="EB31" i="4"/>
  <c r="EB33" i="4" s="1"/>
  <c r="EC31" i="4"/>
  <c r="EC33" i="4" s="1"/>
  <c r="ED31" i="4"/>
  <c r="ED33" i="4" s="1"/>
  <c r="EE31" i="4"/>
  <c r="EE33" i="4" s="1"/>
  <c r="EF31" i="4"/>
  <c r="EF33" i="4" s="1"/>
  <c r="EG31" i="4"/>
  <c r="EG33" i="4" s="1"/>
  <c r="EH31" i="4"/>
  <c r="EH33" i="4" s="1"/>
  <c r="EI31" i="4"/>
  <c r="EI33" i="4" s="1"/>
  <c r="EJ31" i="4"/>
  <c r="EJ33" i="4" s="1"/>
  <c r="EK31" i="4"/>
  <c r="EK33" i="4" s="1"/>
  <c r="EL31" i="4"/>
  <c r="EL33" i="4" s="1"/>
  <c r="EM31" i="4"/>
  <c r="EM33" i="4" s="1"/>
  <c r="EN31" i="4"/>
  <c r="EN33" i="4" s="1"/>
  <c r="EO31" i="4"/>
  <c r="EO33" i="4" s="1"/>
  <c r="EP31" i="4"/>
  <c r="EP33" i="4" s="1"/>
  <c r="EQ31" i="4"/>
  <c r="EQ33" i="4" s="1"/>
  <c r="ER31" i="4"/>
  <c r="ER33" i="4" s="1"/>
  <c r="ES31" i="4"/>
  <c r="ES33" i="4" s="1"/>
  <c r="ET31" i="4"/>
  <c r="ET33" i="4" s="1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C108" i="5" s="1"/>
  <c r="DH33" i="4"/>
  <c r="C109" i="5" s="1"/>
  <c r="DI33" i="4"/>
  <c r="DJ33" i="4"/>
  <c r="C111" i="5" s="1"/>
  <c r="E111" i="5" s="1"/>
  <c r="C115" i="5"/>
  <c r="E115" i="5" s="1"/>
  <c r="C116" i="5"/>
  <c r="E116" i="5" s="1"/>
  <c r="E117" i="5"/>
  <c r="C118" i="5"/>
  <c r="E118" i="5" s="1"/>
  <c r="C119" i="5"/>
  <c r="E119" i="5" s="1"/>
  <c r="C120" i="5"/>
  <c r="E120" i="5" s="1"/>
  <c r="C121" i="5"/>
  <c r="E121" i="5" s="1"/>
  <c r="C122" i="5"/>
  <c r="E122" i="5" s="1"/>
  <c r="C123" i="5"/>
  <c r="E123" i="5" s="1"/>
  <c r="C124" i="5"/>
  <c r="E124" i="5" s="1"/>
  <c r="C125" i="5"/>
  <c r="E125" i="5" s="1"/>
  <c r="C126" i="5"/>
  <c r="E126" i="5" s="1"/>
  <c r="C127" i="5"/>
  <c r="E127" i="5" s="1"/>
  <c r="C128" i="5"/>
  <c r="E128" i="5" s="1"/>
  <c r="C129" i="5"/>
  <c r="E129" i="5" s="1"/>
  <c r="C130" i="5"/>
  <c r="E130" i="5" s="1"/>
  <c r="C131" i="5"/>
  <c r="E131" i="5" s="1"/>
  <c r="C132" i="5"/>
  <c r="E132" i="5" s="1"/>
  <c r="C133" i="5"/>
  <c r="E133" i="5" s="1"/>
  <c r="C134" i="5"/>
  <c r="E134" i="5" s="1"/>
  <c r="C135" i="5"/>
  <c r="E135" i="5" s="1"/>
  <c r="C136" i="5"/>
  <c r="E136" i="5" s="1"/>
  <c r="C137" i="5"/>
  <c r="E137" i="5" s="1"/>
  <c r="C138" i="5"/>
  <c r="E138" i="5" s="1"/>
  <c r="C139" i="5"/>
  <c r="E139" i="5" s="1"/>
  <c r="C140" i="5"/>
  <c r="E140" i="5" s="1"/>
  <c r="C141" i="5"/>
  <c r="E141" i="5" s="1"/>
  <c r="C142" i="5"/>
  <c r="E142" i="5" s="1"/>
  <c r="C143" i="5"/>
  <c r="E143" i="5" s="1"/>
  <c r="C144" i="5"/>
  <c r="E144" i="5" s="1"/>
  <c r="C145" i="5"/>
  <c r="E145" i="5" s="1"/>
  <c r="C146" i="5"/>
  <c r="E146" i="5" s="1"/>
  <c r="C147" i="5"/>
  <c r="E147" i="5" s="1"/>
  <c r="DX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DX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EQ35" i="4"/>
  <c r="ER35" i="4"/>
  <c r="ES35" i="4"/>
  <c r="ET35" i="4"/>
  <c r="DK38" i="4" a="1"/>
  <c r="DX38" i="4" a="1"/>
  <c r="DY38" i="4" a="1"/>
  <c r="DZ38" i="4" a="1"/>
  <c r="EA38" i="4" a="1"/>
  <c r="EB38" i="4" a="1"/>
  <c r="EC38" i="4" a="1"/>
  <c r="ED38" i="4" a="1"/>
  <c r="EE38" i="4" a="1"/>
  <c r="EF38" i="4" a="1"/>
  <c r="EG38" i="4" a="1"/>
  <c r="EH38" i="4" a="1"/>
  <c r="EI38" i="4" a="1"/>
  <c r="EJ38" i="4" a="1"/>
  <c r="EK38" i="4" a="1"/>
  <c r="EL38" i="4" a="1"/>
  <c r="EM38" i="4" a="1"/>
  <c r="EN38" i="4" a="1"/>
  <c r="EO38" i="4" a="1"/>
  <c r="EP38" i="4" a="1"/>
  <c r="EQ38" i="4" a="1"/>
  <c r="ER38" i="4" a="1"/>
  <c r="ES38" i="4" a="1"/>
  <c r="ET38" i="4" a="1"/>
  <c r="CN11" i="4"/>
  <c r="CN37" i="4"/>
  <c r="CN4" i="4"/>
  <c r="DW38" i="4" s="1" a="1"/>
  <c r="CM37" i="4"/>
  <c r="CM4" i="4"/>
  <c r="CM3" i="4"/>
  <c r="DV38" i="4" s="1" a="1"/>
  <c r="CL37" i="4"/>
  <c r="CL4" i="4"/>
  <c r="CL3" i="4"/>
  <c r="DU38" i="4" s="1" a="1"/>
  <c r="CJ37" i="4"/>
  <c r="CJ4" i="4"/>
  <c r="DS38" i="4" s="1" a="1"/>
  <c r="CK37" i="4"/>
  <c r="CK4" i="4"/>
  <c r="DT38" i="4" s="1" a="1"/>
  <c r="CI37" i="4"/>
  <c r="CI4" i="4"/>
  <c r="CI3" i="4"/>
  <c r="DR38" i="4" s="1" a="1"/>
  <c r="CH37" i="4"/>
  <c r="CH4" i="4"/>
  <c r="CH3" i="4"/>
  <c r="DQ38" i="4" s="1" a="1"/>
  <c r="CG37" i="4"/>
  <c r="CG4" i="4"/>
  <c r="CG3" i="4"/>
  <c r="DP38" i="4" s="1" a="1"/>
  <c r="CF37" i="4"/>
  <c r="CF4" i="4"/>
  <c r="CF3" i="4"/>
  <c r="DO38" i="4" s="1" a="1"/>
  <c r="CE37" i="4"/>
  <c r="D80" i="5" s="1"/>
  <c r="CE4" i="4"/>
  <c r="CE3" i="4"/>
  <c r="DN38" i="4" s="1" a="1"/>
  <c r="CD37" i="4"/>
  <c r="CD4" i="4"/>
  <c r="DM38" i="4" s="1" a="1"/>
  <c r="CC4" i="4"/>
  <c r="DL38" i="4" s="1" a="1"/>
  <c r="CA3" i="4"/>
  <c r="CA4" i="4"/>
  <c r="BZ3" i="4"/>
  <c r="BZ4" i="4"/>
  <c r="BZ37" i="4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B4" i="9"/>
  <c r="D1" i="9"/>
  <c r="E1" i="9" s="1"/>
  <c r="F1" i="9" s="1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T1" i="9" s="1"/>
  <c r="AU1" i="9" s="1"/>
  <c r="AV1" i="9" s="1"/>
  <c r="AW1" i="9" s="1"/>
  <c r="AX1" i="9" s="1"/>
  <c r="AY1" i="9" s="1"/>
  <c r="AZ1" i="9" s="1"/>
  <c r="BA1" i="9" s="1"/>
  <c r="BB1" i="9" s="1"/>
  <c r="BC1" i="9" s="1"/>
  <c r="BD1" i="9" s="1"/>
  <c r="BE1" i="9" s="1"/>
  <c r="BF1" i="9" s="1"/>
  <c r="BG1" i="9" s="1"/>
  <c r="BH1" i="9" s="1"/>
  <c r="BI1" i="9" s="1"/>
  <c r="BJ1" i="9" s="1"/>
  <c r="BK1" i="9" s="1"/>
  <c r="BL1" i="9" s="1"/>
  <c r="BM1" i="9" s="1"/>
  <c r="BN1" i="9" s="1"/>
  <c r="BO1" i="9" s="1"/>
  <c r="BP1" i="9" s="1"/>
  <c r="BQ1" i="9" s="1"/>
  <c r="BR1" i="9" s="1"/>
  <c r="BS1" i="9" s="1"/>
  <c r="BT1" i="9" s="1"/>
  <c r="BU1" i="9" s="1"/>
  <c r="BV1" i="9" s="1"/>
  <c r="BW1" i="9" s="1"/>
  <c r="BX1" i="9" s="1"/>
  <c r="BY1" i="9" s="1"/>
  <c r="BZ1" i="9" s="1"/>
  <c r="CA1" i="9" s="1"/>
  <c r="CB1" i="9" s="1"/>
  <c r="CC1" i="9" s="1"/>
  <c r="CD1" i="9" s="1"/>
  <c r="CE1" i="9" s="1"/>
  <c r="CF1" i="9" s="1"/>
  <c r="CG1" i="9" s="1"/>
  <c r="CH1" i="9" s="1"/>
  <c r="CI1" i="9" s="1"/>
  <c r="CJ1" i="9" s="1"/>
  <c r="CK1" i="9" s="1"/>
  <c r="CL1" i="9" s="1"/>
  <c r="CM1" i="9" s="1"/>
  <c r="CN1" i="9" s="1"/>
  <c r="CO1" i="9" s="1"/>
  <c r="CP1" i="9" s="1"/>
  <c r="A2" i="5"/>
  <c r="BY37" i="4"/>
  <c r="BY3" i="4"/>
  <c r="BY4" i="4"/>
  <c r="BX37" i="4"/>
  <c r="BX31" i="4"/>
  <c r="BX3" i="4"/>
  <c r="BX4" i="4"/>
  <c r="BW37" i="4"/>
  <c r="BW4" i="4"/>
  <c r="DF38" i="4" s="1" a="1"/>
  <c r="BV37" i="4"/>
  <c r="BV4" i="4"/>
  <c r="BV3" i="4"/>
  <c r="DE38" i="4" s="1" a="1"/>
  <c r="BU4" i="4"/>
  <c r="BU37" i="4"/>
  <c r="BU3" i="4"/>
  <c r="DD38" i="4" s="1" a="1"/>
  <c r="BT4" i="4"/>
  <c r="BT37" i="4"/>
  <c r="BT3" i="4"/>
  <c r="DC38" i="4" s="1" a="1"/>
  <c r="BS37" i="4"/>
  <c r="BS4" i="4"/>
  <c r="DB38" i="4" s="1" a="1"/>
  <c r="BR37" i="4"/>
  <c r="BR4" i="4"/>
  <c r="BR3" i="4"/>
  <c r="DA38" i="4" s="1" a="1"/>
  <c r="T3" i="11" l="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D72" i="5"/>
  <c r="DG38" i="4" a="1"/>
  <c r="BX19" i="4"/>
  <c r="DH38" i="4" a="1"/>
  <c r="DI38" i="4" a="1"/>
  <c r="DJ38" i="4" a="1"/>
  <c r="C113" i="5"/>
  <c r="E113" i="5" s="1"/>
  <c r="C114" i="5"/>
  <c r="E114" i="5" s="1"/>
  <c r="C112" i="5"/>
  <c r="E112" i="5" s="1"/>
  <c r="BQ37" i="4"/>
  <c r="BQ3" i="4"/>
  <c r="BQ4" i="4"/>
  <c r="BQ36" i="4"/>
  <c r="BP4" i="4" l="1"/>
  <c r="CY38" i="4" s="1" a="1"/>
  <c r="BO37" i="4"/>
  <c r="BO4" i="4"/>
  <c r="CX38" i="4" s="1" a="1"/>
  <c r="BN3" i="4"/>
  <c r="CW38" i="4" s="1" a="1"/>
  <c r="BN37" i="4"/>
  <c r="BN19" i="4"/>
  <c r="BM3" i="4"/>
  <c r="BM4" i="4"/>
  <c r="BM12" i="4"/>
  <c r="BM37" i="4"/>
  <c r="BM10" i="4"/>
  <c r="CV38" i="4" l="1" a="1"/>
  <c r="B20" i="8"/>
  <c r="B10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B19" i="8"/>
  <c r="B9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I26" i="8"/>
  <c r="BH26" i="8"/>
  <c r="BF26" i="8"/>
  <c r="BE26" i="8"/>
  <c r="BD26" i="8"/>
  <c r="BC26" i="8"/>
  <c r="AY26" i="8"/>
  <c r="AX26" i="8"/>
  <c r="AR26" i="8"/>
  <c r="AQ26" i="8"/>
  <c r="AO26" i="8"/>
  <c r="AN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E25" i="8"/>
  <c r="AY25" i="8"/>
  <c r="W25" i="8"/>
  <c r="H25" i="8"/>
  <c r="G25" i="8"/>
  <c r="AL24" i="8"/>
  <c r="AJ24" i="8"/>
  <c r="B27" i="8"/>
  <c r="B26" i="8"/>
  <c r="B24" i="8"/>
  <c r="BL37" i="4"/>
  <c r="BL4" i="4"/>
  <c r="BL3" i="4"/>
  <c r="BK3" i="4"/>
  <c r="BK12" i="4"/>
  <c r="BK4" i="4"/>
  <c r="BK37" i="4"/>
  <c r="BJ37" i="4"/>
  <c r="BJ11" i="4"/>
  <c r="BG26" i="8" s="1"/>
  <c r="BJ12" i="4"/>
  <c r="BJ4" i="4"/>
  <c r="BJ7" i="4"/>
  <c r="BE3" i="4"/>
  <c r="BG3" i="4"/>
  <c r="BF3" i="4"/>
  <c r="BF6" i="4"/>
  <c r="AV11" i="4"/>
  <c r="AS26" i="8" s="1"/>
  <c r="AW11" i="4"/>
  <c r="AT26" i="8" s="1"/>
  <c r="AX11" i="4"/>
  <c r="AU26" i="8" s="1"/>
  <c r="AY11" i="4"/>
  <c r="AV26" i="8" s="1"/>
  <c r="BC11" i="4"/>
  <c r="AZ26" i="8" s="1"/>
  <c r="BE11" i="4"/>
  <c r="BB26" i="8" s="1"/>
  <c r="BD37" i="4"/>
  <c r="AO43" i="4"/>
  <c r="AM43" i="4"/>
  <c r="G6" i="7"/>
  <c r="G5" i="7"/>
  <c r="CS38" i="4" l="1" a="1"/>
  <c r="BG25" i="8"/>
  <c r="CT38" i="4" a="1"/>
  <c r="BH25" i="8"/>
  <c r="CU38" i="4" a="1"/>
  <c r="BI25" i="8"/>
  <c r="CR19" i="4"/>
  <c r="CR31" i="4"/>
  <c r="CL19" i="4"/>
  <c r="CM19" i="4"/>
  <c r="CN19" i="4"/>
  <c r="CO19" i="4"/>
  <c r="CP19" i="4"/>
  <c r="CQ19" i="4"/>
  <c r="CL31" i="4"/>
  <c r="CL33" i="4" s="1"/>
  <c r="CM31" i="4"/>
  <c r="CN31" i="4"/>
  <c r="CO31" i="4"/>
  <c r="CP31" i="4"/>
  <c r="CQ31" i="4"/>
  <c r="CQ38" i="4" a="1"/>
  <c r="BO19" i="4"/>
  <c r="BP19" i="4"/>
  <c r="BQ19" i="4"/>
  <c r="BR19" i="4"/>
  <c r="BS19" i="4"/>
  <c r="BT19" i="4"/>
  <c r="BU19" i="4"/>
  <c r="BV19" i="4"/>
  <c r="BW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BN31" i="4"/>
  <c r="BO31" i="4"/>
  <c r="BP31" i="4"/>
  <c r="BQ31" i="4"/>
  <c r="BR31" i="4"/>
  <c r="BS31" i="4"/>
  <c r="BT31" i="4"/>
  <c r="BU31" i="4"/>
  <c r="BV31" i="4"/>
  <c r="BW31" i="4"/>
  <c r="BX33" i="4"/>
  <c r="C73" i="5" s="1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BN33" i="4"/>
  <c r="C63" i="5" s="1"/>
  <c r="BO33" i="4"/>
  <c r="C64" i="5" s="1"/>
  <c r="BP33" i="4"/>
  <c r="BQ33" i="4"/>
  <c r="C66" i="5" s="1"/>
  <c r="BS33" i="4"/>
  <c r="CA33" i="4"/>
  <c r="C76" i="5" s="1"/>
  <c r="CB33" i="4"/>
  <c r="C77" i="5" s="1"/>
  <c r="CK38" i="4" a="1"/>
  <c r="BM19" i="4"/>
  <c r="BM31" i="4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79" i="5"/>
  <c r="D78" i="5"/>
  <c r="D77" i="5"/>
  <c r="D76" i="5"/>
  <c r="D74" i="5"/>
  <c r="D73" i="5"/>
  <c r="D71" i="5"/>
  <c r="D70" i="5"/>
  <c r="D69" i="5"/>
  <c r="D68" i="5"/>
  <c r="D67" i="5"/>
  <c r="D66" i="5"/>
  <c r="D65" i="5"/>
  <c r="D64" i="5"/>
  <c r="D63" i="5"/>
  <c r="D62" i="5"/>
  <c r="D61" i="5"/>
  <c r="D60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65" i="5"/>
  <c r="BI4" i="4"/>
  <c r="BH37" i="4"/>
  <c r="BG37" i="4"/>
  <c r="BG4" i="4"/>
  <c r="BF4" i="4"/>
  <c r="BF37" i="4"/>
  <c r="BF36" i="4"/>
  <c r="BE4" i="4"/>
  <c r="BE23" i="4"/>
  <c r="BE37" i="4"/>
  <c r="BD9" i="4"/>
  <c r="BA26" i="8" s="1"/>
  <c r="BD4" i="4"/>
  <c r="BA25" i="8" s="1"/>
  <c r="C8" i="4"/>
  <c r="BC36" i="4"/>
  <c r="BC37" i="4"/>
  <c r="BC4" i="4"/>
  <c r="T30" i="5"/>
  <c r="Z13" i="5"/>
  <c r="Y13" i="5"/>
  <c r="BA37" i="4"/>
  <c r="CL38" i="4" l="1" a="1"/>
  <c r="AZ25" i="8"/>
  <c r="BB25" i="8"/>
  <c r="CN38" i="4" a="1"/>
  <c r="BC25" i="8"/>
  <c r="CO38" i="4" a="1"/>
  <c r="CP38" i="4" a="1"/>
  <c r="BD25" i="8"/>
  <c r="CR38" i="4" a="1"/>
  <c r="BF25" i="8"/>
  <c r="BR33" i="4"/>
  <c r="BT33" i="4"/>
  <c r="BZ33" i="4"/>
  <c r="BY33" i="4"/>
  <c r="BU33" i="4"/>
  <c r="CE33" i="4"/>
  <c r="C80" i="5" s="1"/>
  <c r="CC33" i="4"/>
  <c r="BV33" i="4"/>
  <c r="CJ33" i="4"/>
  <c r="CD33" i="4"/>
  <c r="CR33" i="4"/>
  <c r="BW33" i="4"/>
  <c r="C72" i="5" s="1"/>
  <c r="CM38" i="4" a="1"/>
  <c r="CI33" i="4"/>
  <c r="CQ33" i="4"/>
  <c r="CP33" i="4"/>
  <c r="CH33" i="4"/>
  <c r="CG33" i="4"/>
  <c r="C68" i="5"/>
  <c r="C71" i="5"/>
  <c r="CK33" i="4"/>
  <c r="C87" i="5"/>
  <c r="BM33" i="4"/>
  <c r="C62" i="5" s="1"/>
  <c r="CF33" i="4"/>
  <c r="CN33" i="4"/>
  <c r="CO33" i="4"/>
  <c r="CM33" i="4"/>
  <c r="BA4" i="4"/>
  <c r="AZ4" i="4"/>
  <c r="AW25" i="8" s="1"/>
  <c r="AZ11" i="4"/>
  <c r="AW26" i="8" s="1"/>
  <c r="AY37" i="4"/>
  <c r="AY4" i="4"/>
  <c r="AY36" i="4"/>
  <c r="AX36" i="4"/>
  <c r="AW36" i="4"/>
  <c r="CH38" i="4" l="1" a="1"/>
  <c r="AV25" i="8"/>
  <c r="CJ38" i="4" a="1"/>
  <c r="AX25" i="8"/>
  <c r="C93" i="5"/>
  <c r="C92" i="5"/>
  <c r="C88" i="5"/>
  <c r="C85" i="5"/>
  <c r="C86" i="5"/>
  <c r="C82" i="5"/>
  <c r="C78" i="5"/>
  <c r="C74" i="5"/>
  <c r="C70" i="5"/>
  <c r="C69" i="5"/>
  <c r="C67" i="5"/>
  <c r="C79" i="5"/>
  <c r="C83" i="5"/>
  <c r="C91" i="5"/>
  <c r="C84" i="5"/>
  <c r="C81" i="5"/>
  <c r="C90" i="5"/>
  <c r="CI38" i="4" a="1"/>
  <c r="C89" i="5"/>
  <c r="AX37" i="4"/>
  <c r="AX4" i="4"/>
  <c r="AW37" i="4"/>
  <c r="AW4" i="4"/>
  <c r="AV4" i="4"/>
  <c r="AV36" i="4"/>
  <c r="AU4" i="4"/>
  <c r="AS37" i="4"/>
  <c r="AT4" i="4"/>
  <c r="AS4" i="4"/>
  <c r="AP25" i="8" s="1"/>
  <c r="AR4" i="4"/>
  <c r="AS11" i="4"/>
  <c r="AP26" i="8" s="1"/>
  <c r="AR20" i="4"/>
  <c r="AS36" i="4"/>
  <c r="AR36" i="4"/>
  <c r="AQ4" i="4"/>
  <c r="BZ38" i="4" l="1" a="1"/>
  <c r="AN25" i="8"/>
  <c r="CA38" i="4" a="1"/>
  <c r="AO25" i="8"/>
  <c r="CC38" i="4" a="1"/>
  <c r="AQ25" i="8"/>
  <c r="CD38" i="4" a="1"/>
  <c r="AR25" i="8"/>
  <c r="CE38" i="4" a="1"/>
  <c r="AS25" i="8"/>
  <c r="CF38" i="4" a="1"/>
  <c r="AT25" i="8"/>
  <c r="CG38" i="4" a="1"/>
  <c r="AU25" i="8"/>
  <c r="CB38" i="4" a="1"/>
  <c r="AP4" i="4"/>
  <c r="AM25" i="8" s="1"/>
  <c r="AQ36" i="4"/>
  <c r="AP36" i="4"/>
  <c r="AO36" i="4"/>
  <c r="AN36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AP11" i="4"/>
  <c r="AM26" i="8" s="1"/>
  <c r="AO20" i="4"/>
  <c r="AO4" i="4"/>
  <c r="AL25" i="8" s="1"/>
  <c r="AN4" i="4"/>
  <c r="AK25" i="8" s="1"/>
  <c r="AM4" i="4"/>
  <c r="AJ25" i="8" s="1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4" i="5"/>
  <c r="A38" i="5"/>
  <c r="AL37" i="4"/>
  <c r="D35" i="5" s="1"/>
  <c r="AL4" i="4"/>
  <c r="AI25" i="8" s="1"/>
  <c r="AL36" i="4"/>
  <c r="AK4" i="4"/>
  <c r="AH25" i="8" s="1"/>
  <c r="AJ4" i="4"/>
  <c r="AG25" i="8" s="1"/>
  <c r="AJ37" i="4"/>
  <c r="AK36" i="4"/>
  <c r="AI4" i="4"/>
  <c r="AF25" i="8" s="1"/>
  <c r="AH4" i="4"/>
  <c r="AP2" i="4"/>
  <c r="AM1" i="4" a="1"/>
  <c r="AN1" i="4" a="1"/>
  <c r="AO1" i="4" a="1"/>
  <c r="AP1" i="4" a="1"/>
  <c r="AQ1" i="4" a="1"/>
  <c r="AR1" i="4" a="1"/>
  <c r="AS1" i="4" a="1"/>
  <c r="AT1" i="4" a="1"/>
  <c r="AU1" i="4" a="1"/>
  <c r="AV1" i="4" a="1"/>
  <c r="AW1" i="4" a="1"/>
  <c r="AX1" i="4" a="1"/>
  <c r="AY1" i="4" a="1"/>
  <c r="AZ1" i="4" a="1"/>
  <c r="BA1" i="4" a="1"/>
  <c r="BB1" i="4" a="1"/>
  <c r="BC1" i="4" a="1"/>
  <c r="BD1" i="4" a="1"/>
  <c r="BE1" i="4" a="1"/>
  <c r="BF1" i="4" a="1"/>
  <c r="BG1" i="4" a="1"/>
  <c r="BH1" i="4" a="1"/>
  <c r="BI1" i="4" a="1"/>
  <c r="BJ1" i="4" a="1"/>
  <c r="BK1" i="4" a="1"/>
  <c r="BL1" i="4" a="1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AS38" i="4" a="1"/>
  <c r="AT38" i="4" a="1"/>
  <c r="BI38" i="4" a="1"/>
  <c r="AG4" i="4"/>
  <c r="AF4" i="4"/>
  <c r="AC25" i="8" s="1"/>
  <c r="AF20" i="4"/>
  <c r="AE20" i="4"/>
  <c r="AE4" i="4"/>
  <c r="AD4" i="4"/>
  <c r="AC4" i="4"/>
  <c r="AC20" i="4"/>
  <c r="AB20" i="4"/>
  <c r="AB4" i="4"/>
  <c r="AA20" i="4"/>
  <c r="AA4" i="4"/>
  <c r="AB1" i="4"/>
  <c r="R1" i="4"/>
  <c r="V1" i="4"/>
  <c r="AL1" i="4" a="1"/>
  <c r="AK1" i="4" a="1"/>
  <c r="AJ1" i="4" a="1"/>
  <c r="AI1" i="4" a="1"/>
  <c r="AH1" i="4" a="1"/>
  <c r="AG1" i="4" a="1"/>
  <c r="AF1" i="4" a="1"/>
  <c r="AE1" i="4" a="1"/>
  <c r="AD1" i="4" a="1"/>
  <c r="AC1" i="4" a="1"/>
  <c r="AA1" i="4" a="1"/>
  <c r="Z1" i="4" a="1"/>
  <c r="Y1" i="4" a="1"/>
  <c r="X1" i="4" a="1"/>
  <c r="W1" i="4" a="1"/>
  <c r="U1" i="4" a="1"/>
  <c r="T1" i="4" a="1"/>
  <c r="S1" i="4" a="1"/>
  <c r="Q1" i="4" a="1"/>
  <c r="P1" i="4" a="1"/>
  <c r="O1" i="4" a="1"/>
  <c r="N1" i="4" a="1"/>
  <c r="M1" i="4" a="1"/>
  <c r="L1" i="4" a="1"/>
  <c r="K1" i="4" a="1"/>
  <c r="J1" i="4" a="1"/>
  <c r="I1" i="4" a="1"/>
  <c r="H1" i="4" a="1"/>
  <c r="G1" i="4" a="1"/>
  <c r="F1" i="4" a="1"/>
  <c r="E1" i="4" a="1"/>
  <c r="Y4" i="4"/>
  <c r="BH38" i="4" l="1" a="1"/>
  <c r="V25" i="8"/>
  <c r="BJ38" i="4" a="1"/>
  <c r="X25" i="8"/>
  <c r="BK38" i="4" a="1"/>
  <c r="Y25" i="8"/>
  <c r="BL38" i="4" a="1"/>
  <c r="Z25" i="8"/>
  <c r="BM38" i="4" a="1"/>
  <c r="AA25" i="8"/>
  <c r="BN38" i="4" a="1"/>
  <c r="AB25" i="8"/>
  <c r="BP38" i="4" a="1"/>
  <c r="AD25" i="8"/>
  <c r="AQ2" i="4"/>
  <c r="AM24" i="8"/>
  <c r="BQ38" i="4" a="1"/>
  <c r="AE25" i="8"/>
  <c r="BK33" i="4"/>
  <c r="BH29" i="8" s="1"/>
  <c r="AS33" i="4"/>
  <c r="BD33" i="4"/>
  <c r="AR33" i="4"/>
  <c r="A40" i="5"/>
  <c r="AQ43" i="4"/>
  <c r="A39" i="5"/>
  <c r="AP43" i="4"/>
  <c r="BJ33" i="4"/>
  <c r="AI19" i="4"/>
  <c r="BR38" i="4" a="1"/>
  <c r="AP19" i="4"/>
  <c r="AM19" i="4"/>
  <c r="BV38" i="4" a="1"/>
  <c r="AJ19" i="4"/>
  <c r="BS38" i="4" a="1"/>
  <c r="AL19" i="4"/>
  <c r="BU38" i="4" a="1"/>
  <c r="AN19" i="4"/>
  <c r="BW38" i="4" a="1"/>
  <c r="AO19" i="4"/>
  <c r="BX38" i="4" a="1"/>
  <c r="AK19" i="4"/>
  <c r="BT38" i="4" a="1"/>
  <c r="AQ33" i="4"/>
  <c r="BE33" i="4"/>
  <c r="BL33" i="4"/>
  <c r="BI33" i="4"/>
  <c r="BF29" i="8" s="1"/>
  <c r="BB33" i="4"/>
  <c r="AX33" i="4"/>
  <c r="C60" i="5"/>
  <c r="AU33" i="4"/>
  <c r="BG33" i="4"/>
  <c r="BD29" i="8" s="1"/>
  <c r="BF33" i="4"/>
  <c r="BC29" i="8" s="1"/>
  <c r="AV33" i="4"/>
  <c r="AW33" i="4"/>
  <c r="BC33" i="4"/>
  <c r="AZ29" i="8" s="1"/>
  <c r="BH33" i="4"/>
  <c r="BE29" i="8" s="1"/>
  <c r="AT33" i="4"/>
  <c r="BA33" i="4"/>
  <c r="AX29" i="8" s="1"/>
  <c r="AZ33" i="4"/>
  <c r="AW29" i="8" s="1"/>
  <c r="AY33" i="4"/>
  <c r="AV29" i="8" s="1"/>
  <c r="X20" i="4"/>
  <c r="X4" i="4"/>
  <c r="W4" i="4"/>
  <c r="W20" i="4"/>
  <c r="V20" i="4"/>
  <c r="V4" i="4"/>
  <c r="BE38" i="4" l="1" a="1"/>
  <c r="S25" i="8"/>
  <c r="BF38" i="4" a="1"/>
  <c r="T25" i="8"/>
  <c r="BG38" i="4" a="1"/>
  <c r="U25" i="8"/>
  <c r="C43" i="5"/>
  <c r="AQ29" i="8"/>
  <c r="C46" i="5"/>
  <c r="AT29" i="8"/>
  <c r="C45" i="5"/>
  <c r="AS29" i="8"/>
  <c r="C44" i="5"/>
  <c r="AR29" i="8"/>
  <c r="C47" i="5"/>
  <c r="AU29" i="8"/>
  <c r="C51" i="5"/>
  <c r="AY29" i="8"/>
  <c r="C61" i="5"/>
  <c r="BI29" i="8"/>
  <c r="C54" i="5"/>
  <c r="BB29" i="8"/>
  <c r="C40" i="5"/>
  <c r="AN29" i="8"/>
  <c r="C59" i="5"/>
  <c r="BG29" i="8"/>
  <c r="C41" i="5"/>
  <c r="AO29" i="8"/>
  <c r="C53" i="5"/>
  <c r="BA29" i="8"/>
  <c r="C42" i="5"/>
  <c r="AP29" i="8"/>
  <c r="AR2" i="4"/>
  <c r="AN24" i="8"/>
  <c r="AO33" i="4"/>
  <c r="AP33" i="4"/>
  <c r="AN33" i="4"/>
  <c r="AM33" i="4"/>
  <c r="C58" i="5"/>
  <c r="C56" i="5"/>
  <c r="C55" i="5"/>
  <c r="C52" i="5"/>
  <c r="C57" i="5"/>
  <c r="C50" i="5"/>
  <c r="C49" i="5"/>
  <c r="C48" i="5"/>
  <c r="U20" i="4"/>
  <c r="U4" i="4"/>
  <c r="T20" i="4"/>
  <c r="T4" i="4"/>
  <c r="BC38" i="4" l="1" a="1"/>
  <c r="Q25" i="8"/>
  <c r="BD38" i="4" a="1"/>
  <c r="R25" i="8"/>
  <c r="C36" i="5"/>
  <c r="AJ29" i="8"/>
  <c r="AJ30" i="8" s="1"/>
  <c r="C37" i="5"/>
  <c r="AK29" i="8"/>
  <c r="C39" i="5"/>
  <c r="AM29" i="8"/>
  <c r="AM30" i="8" s="1"/>
  <c r="C38" i="5"/>
  <c r="AL29" i="8"/>
  <c r="AL30" i="8" s="1"/>
  <c r="AS2" i="4"/>
  <c r="AO24" i="8"/>
  <c r="A41" i="5"/>
  <c r="AR43" i="4"/>
  <c r="AO30" i="8"/>
  <c r="AN30" i="8"/>
  <c r="S20" i="4"/>
  <c r="S4" i="4"/>
  <c r="Q37" i="4"/>
  <c r="Q4" i="4"/>
  <c r="R4" i="4"/>
  <c r="P4" i="4"/>
  <c r="AY38" i="4" l="1" a="1"/>
  <c r="M25" i="8"/>
  <c r="BA38" i="4" a="1"/>
  <c r="O25" i="8"/>
  <c r="AZ38" i="4" a="1"/>
  <c r="N25" i="8"/>
  <c r="BB38" i="4" a="1"/>
  <c r="P25" i="8"/>
  <c r="AT2" i="4"/>
  <c r="AP24" i="8"/>
  <c r="AP30" i="8" s="1"/>
  <c r="A42" i="5"/>
  <c r="AS43" i="4"/>
  <c r="O4" i="4"/>
  <c r="AX38" i="4" l="1" a="1"/>
  <c r="L25" i="8"/>
  <c r="AQ24" i="8"/>
  <c r="AQ30" i="8" s="1"/>
  <c r="A43" i="5"/>
  <c r="AT43" i="4"/>
  <c r="N4" i="4"/>
  <c r="M4" i="4"/>
  <c r="L4" i="4"/>
  <c r="I4" i="4"/>
  <c r="F25" i="8" s="1"/>
  <c r="H4" i="4"/>
  <c r="G4" i="4"/>
  <c r="F4" i="4"/>
  <c r="C25" i="8" s="1"/>
  <c r="E4" i="4"/>
  <c r="B25" i="8" s="1"/>
  <c r="F2" i="4"/>
  <c r="E27" i="1"/>
  <c r="D27" i="1"/>
  <c r="E14" i="1"/>
  <c r="D14" i="1"/>
  <c r="C14" i="1"/>
  <c r="C27" i="1"/>
  <c r="C4" i="4"/>
  <c r="Y3" i="5" s="1"/>
  <c r="C5" i="4"/>
  <c r="Y4" i="5" s="1"/>
  <c r="C6" i="4"/>
  <c r="Y5" i="5" s="1"/>
  <c r="C7" i="4"/>
  <c r="Y6" i="5" s="1"/>
  <c r="Y7" i="5"/>
  <c r="C9" i="4"/>
  <c r="Y8" i="5" s="1"/>
  <c r="C10" i="4"/>
  <c r="Y9" i="5" s="1"/>
  <c r="C11" i="4"/>
  <c r="Y10" i="5" s="1"/>
  <c r="C12" i="4"/>
  <c r="Y11" i="5" s="1"/>
  <c r="C13" i="4"/>
  <c r="Y12" i="5" s="1"/>
  <c r="C20" i="4"/>
  <c r="Y14" i="5" s="1"/>
  <c r="C21" i="4"/>
  <c r="Y15" i="5" s="1"/>
  <c r="C22" i="4"/>
  <c r="Y16" i="5" s="1"/>
  <c r="C23" i="4"/>
  <c r="Y17" i="5" s="1"/>
  <c r="C24" i="4"/>
  <c r="Y18" i="5" s="1"/>
  <c r="C25" i="4"/>
  <c r="Y19" i="5" s="1"/>
  <c r="C26" i="4"/>
  <c r="Y20" i="5" s="1"/>
  <c r="C27" i="4"/>
  <c r="Y21" i="5" s="1"/>
  <c r="C28" i="4"/>
  <c r="Y22" i="5" s="1"/>
  <c r="C29" i="4"/>
  <c r="Y23" i="5" s="1"/>
  <c r="C30" i="4"/>
  <c r="Y24" i="5" s="1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7" i="5"/>
  <c r="D6" i="5"/>
  <c r="D5" i="5"/>
  <c r="D4" i="5"/>
  <c r="D3" i="5"/>
  <c r="D2" i="5"/>
  <c r="AL31" i="4"/>
  <c r="AK31" i="4"/>
  <c r="AJ31" i="4"/>
  <c r="AI31" i="4"/>
  <c r="AI33" i="4" s="1"/>
  <c r="AF29" i="8" s="1"/>
  <c r="K34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K19" i="4"/>
  <c r="J19" i="4"/>
  <c r="E31" i="4"/>
  <c r="D30" i="4"/>
  <c r="Z24" i="5" s="1"/>
  <c r="D29" i="4"/>
  <c r="Z23" i="5" s="1"/>
  <c r="D28" i="4"/>
  <c r="Z22" i="5" s="1"/>
  <c r="D27" i="4"/>
  <c r="Z21" i="5" s="1"/>
  <c r="D26" i="4"/>
  <c r="Z20" i="5" s="1"/>
  <c r="D25" i="4"/>
  <c r="Z19" i="5" s="1"/>
  <c r="D24" i="4"/>
  <c r="Z18" i="5" s="1"/>
  <c r="D23" i="4"/>
  <c r="Z17" i="5" s="1"/>
  <c r="D22" i="4"/>
  <c r="Z16" i="5" s="1"/>
  <c r="D21" i="4"/>
  <c r="Z15" i="5" s="1"/>
  <c r="D20" i="4"/>
  <c r="Z14" i="5" s="1"/>
  <c r="D13" i="4"/>
  <c r="Z12" i="5" s="1"/>
  <c r="D12" i="4"/>
  <c r="Z11" i="5" s="1"/>
  <c r="D11" i="4"/>
  <c r="Z10" i="5" s="1"/>
  <c r="D10" i="4"/>
  <c r="Z9" i="5" s="1"/>
  <c r="D9" i="4"/>
  <c r="Z8" i="5" s="1"/>
  <c r="D8" i="4"/>
  <c r="Z7" i="5" s="1"/>
  <c r="D7" i="4"/>
  <c r="Z6" i="5" s="1"/>
  <c r="D6" i="4"/>
  <c r="Z5" i="5" s="1"/>
  <c r="D5" i="4"/>
  <c r="D4" i="4"/>
  <c r="Z3" i="5" s="1"/>
  <c r="D3" i="4"/>
  <c r="C3" i="4"/>
  <c r="Y2" i="5" s="1"/>
  <c r="B17" i="8" l="1"/>
  <c r="B7" i="8"/>
  <c r="Z4" i="5"/>
  <c r="B18" i="8"/>
  <c r="B8" i="8"/>
  <c r="A3" i="5"/>
  <c r="C24" i="8"/>
  <c r="AP38" i="4" a="1"/>
  <c r="D25" i="8"/>
  <c r="AQ38" i="4" a="1"/>
  <c r="E25" i="8"/>
  <c r="AU38" i="4" a="1"/>
  <c r="I25" i="8"/>
  <c r="AV38" i="4" a="1"/>
  <c r="J25" i="8"/>
  <c r="AW38" i="4" a="1"/>
  <c r="K25" i="8"/>
  <c r="L19" i="4"/>
  <c r="L33" i="4" s="1"/>
  <c r="I29" i="8" s="1"/>
  <c r="M19" i="4"/>
  <c r="AM38" i="4" a="1"/>
  <c r="Z2" i="5"/>
  <c r="E19" i="4"/>
  <c r="AN38" i="4" a="1"/>
  <c r="F19" i="4"/>
  <c r="AO38" i="4" a="1"/>
  <c r="I19" i="4"/>
  <c r="I33" i="4" s="1"/>
  <c r="F29" i="8" s="1"/>
  <c r="AR38" i="4" a="1"/>
  <c r="C32" i="5"/>
  <c r="AA38" i="4" a="1"/>
  <c r="O38" i="4" a="1"/>
  <c r="V38" i="4" a="1"/>
  <c r="U38" i="4" a="1"/>
  <c r="AE38" i="4" a="1"/>
  <c r="AC38" i="4" a="1"/>
  <c r="AL38" i="4" a="1"/>
  <c r="Z38" i="4" a="1"/>
  <c r="N38" i="4" a="1"/>
  <c r="AH38" i="4" a="1"/>
  <c r="AG38" i="4" a="1"/>
  <c r="H38" i="4" a="1"/>
  <c r="R38" i="4" a="1"/>
  <c r="Q38" i="4" a="1"/>
  <c r="AK38" i="4" a="1"/>
  <c r="Y38" i="4" a="1"/>
  <c r="M38" i="4" a="1"/>
  <c r="X38" i="4" a="1"/>
  <c r="I38" i="4" a="1"/>
  <c r="S38" i="4" a="1"/>
  <c r="AB38" i="4" a="1"/>
  <c r="AJ38" i="4" a="1"/>
  <c r="L38" i="4" a="1"/>
  <c r="T38" i="4" a="1"/>
  <c r="AD38" i="4" a="1"/>
  <c r="P38" i="4" a="1"/>
  <c r="AI38" i="4" a="1"/>
  <c r="W38" i="4" a="1"/>
  <c r="K38" i="4" a="1"/>
  <c r="J38" i="4" a="1"/>
  <c r="AF38" i="4" a="1"/>
  <c r="G38" i="4" a="1"/>
  <c r="H19" i="4"/>
  <c r="F38" i="4" a="1"/>
  <c r="E38" i="4" a="1"/>
  <c r="G19" i="4"/>
  <c r="G2" i="4"/>
  <c r="AL33" i="4"/>
  <c r="AI29" i="8" s="1"/>
  <c r="AJ33" i="4"/>
  <c r="AG29" i="8" s="1"/>
  <c r="C28" i="1"/>
  <c r="E28" i="1"/>
  <c r="D28" i="1"/>
  <c r="Z33" i="4"/>
  <c r="W29" i="8" s="1"/>
  <c r="U33" i="4"/>
  <c r="R29" i="8" s="1"/>
  <c r="AG33" i="4"/>
  <c r="AD29" i="8" s="1"/>
  <c r="M33" i="4"/>
  <c r="J29" i="8" s="1"/>
  <c r="N33" i="4"/>
  <c r="K29" i="8" s="1"/>
  <c r="AK33" i="4"/>
  <c r="AH29" i="8" s="1"/>
  <c r="P33" i="4"/>
  <c r="M29" i="8" s="1"/>
  <c r="AB33" i="4"/>
  <c r="Y29" i="8" s="1"/>
  <c r="Q33" i="4"/>
  <c r="N29" i="8" s="1"/>
  <c r="AC33" i="4"/>
  <c r="Z29" i="8" s="1"/>
  <c r="Y33" i="4"/>
  <c r="V29" i="8" s="1"/>
  <c r="D31" i="4"/>
  <c r="K33" i="4"/>
  <c r="W33" i="4"/>
  <c r="T29" i="8" s="1"/>
  <c r="F33" i="4"/>
  <c r="C29" i="8" s="1"/>
  <c r="C30" i="8" s="1"/>
  <c r="R33" i="4"/>
  <c r="O29" i="8" s="1"/>
  <c r="AD33" i="4"/>
  <c r="AA29" i="8" s="1"/>
  <c r="X33" i="4"/>
  <c r="U29" i="8" s="1"/>
  <c r="S33" i="4"/>
  <c r="P29" i="8" s="1"/>
  <c r="AE33" i="4"/>
  <c r="AB29" i="8" s="1"/>
  <c r="T33" i="4"/>
  <c r="Q29" i="8" s="1"/>
  <c r="AF33" i="4"/>
  <c r="AC29" i="8" s="1"/>
  <c r="O33" i="4"/>
  <c r="L29" i="8" s="1"/>
  <c r="AA33" i="4"/>
  <c r="X29" i="8" s="1"/>
  <c r="J33" i="4"/>
  <c r="G29" i="8" s="1"/>
  <c r="V33" i="4"/>
  <c r="S29" i="8" s="1"/>
  <c r="AH33" i="4"/>
  <c r="AE29" i="8" s="1"/>
  <c r="E33" i="4"/>
  <c r="B29" i="8" s="1"/>
  <c r="B30" i="8" s="1"/>
  <c r="C8" i="5" l="1"/>
  <c r="H29" i="8"/>
  <c r="A4" i="5"/>
  <c r="D24" i="8"/>
  <c r="B11" i="8"/>
  <c r="B21" i="8"/>
  <c r="D8" i="7"/>
  <c r="C8" i="7"/>
  <c r="B8" i="7"/>
  <c r="F8" i="7"/>
  <c r="E8" i="7"/>
  <c r="G8" i="7"/>
  <c r="C34" i="5"/>
  <c r="C35" i="5"/>
  <c r="C2" i="5"/>
  <c r="C31" i="5"/>
  <c r="C24" i="5"/>
  <c r="C29" i="5"/>
  <c r="C28" i="5"/>
  <c r="C27" i="5"/>
  <c r="K35" i="4"/>
  <c r="C26" i="5"/>
  <c r="C25" i="5"/>
  <c r="C30" i="5"/>
  <c r="C33" i="5"/>
  <c r="H33" i="4"/>
  <c r="C23" i="5"/>
  <c r="C22" i="5"/>
  <c r="C21" i="5"/>
  <c r="C20" i="5"/>
  <c r="C19" i="5"/>
  <c r="G33" i="4"/>
  <c r="D29" i="8" s="1"/>
  <c r="D30" i="8" s="1"/>
  <c r="H2" i="4"/>
  <c r="C18" i="5"/>
  <c r="C17" i="5"/>
  <c r="C16" i="5"/>
  <c r="C15" i="5"/>
  <c r="C14" i="5"/>
  <c r="C13" i="5"/>
  <c r="C12" i="5"/>
  <c r="C11" i="5"/>
  <c r="C10" i="5"/>
  <c r="C9" i="5"/>
  <c r="C7" i="5"/>
  <c r="C6" i="5"/>
  <c r="D33" i="4"/>
  <c r="C3" i="5"/>
  <c r="DV34" i="4" l="1"/>
  <c r="DW34" i="4"/>
  <c r="DY34" i="4"/>
  <c r="DV35" i="4"/>
  <c r="DW35" i="4"/>
  <c r="DY35" i="4"/>
  <c r="DU34" i="4"/>
  <c r="DU35" i="4"/>
  <c r="DN34" i="4"/>
  <c r="DO34" i="4"/>
  <c r="DP34" i="4"/>
  <c r="DQ34" i="4"/>
  <c r="DR34" i="4"/>
  <c r="DS34" i="4"/>
  <c r="DT34" i="4"/>
  <c r="DN35" i="4"/>
  <c r="DO35" i="4"/>
  <c r="DP35" i="4"/>
  <c r="DQ35" i="4"/>
  <c r="DR35" i="4"/>
  <c r="DS35" i="4"/>
  <c r="DT35" i="4"/>
  <c r="CU34" i="4"/>
  <c r="CV34" i="4"/>
  <c r="CW34" i="4"/>
  <c r="CX34" i="4"/>
  <c r="CY34" i="4"/>
  <c r="CZ34" i="4"/>
  <c r="DB34" i="4"/>
  <c r="DC34" i="4"/>
  <c r="DD34" i="4"/>
  <c r="DE34" i="4"/>
  <c r="DF34" i="4"/>
  <c r="DG34" i="4"/>
  <c r="DH34" i="4"/>
  <c r="DI34" i="4"/>
  <c r="DJ34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A34" i="4"/>
  <c r="DL34" i="4"/>
  <c r="DL35" i="4"/>
  <c r="DM34" i="4"/>
  <c r="DM35" i="4"/>
  <c r="DK34" i="4"/>
  <c r="DK35" i="4"/>
  <c r="CT34" i="4"/>
  <c r="CT35" i="4"/>
  <c r="CS34" i="4"/>
  <c r="CS35" i="4"/>
  <c r="CL34" i="4"/>
  <c r="CA34" i="4"/>
  <c r="CB34" i="4"/>
  <c r="CL35" i="4"/>
  <c r="CA35" i="4"/>
  <c r="CB35" i="4"/>
  <c r="CR34" i="4"/>
  <c r="CQ34" i="4"/>
  <c r="CP35" i="4"/>
  <c r="CP34" i="4"/>
  <c r="CO35" i="4"/>
  <c r="CO34" i="4"/>
  <c r="CN35" i="4"/>
  <c r="CN34" i="4"/>
  <c r="CM34" i="4"/>
  <c r="CJ34" i="4"/>
  <c r="CK34" i="4"/>
  <c r="CI35" i="4"/>
  <c r="CI34" i="4"/>
  <c r="CH35" i="4"/>
  <c r="CH34" i="4"/>
  <c r="CG34" i="4"/>
  <c r="CF35" i="4"/>
  <c r="CF34" i="4"/>
  <c r="CE35" i="4"/>
  <c r="CE34" i="4"/>
  <c r="CD35" i="4"/>
  <c r="CD34" i="4"/>
  <c r="CC34" i="4"/>
  <c r="BZ35" i="4"/>
  <c r="BZ34" i="4"/>
  <c r="CJ35" i="4"/>
  <c r="CM35" i="4"/>
  <c r="CR35" i="4"/>
  <c r="CC35" i="4"/>
  <c r="CG35" i="4"/>
  <c r="CK35" i="4"/>
  <c r="CQ35" i="4"/>
  <c r="A5" i="5"/>
  <c r="E24" i="8"/>
  <c r="C5" i="5"/>
  <c r="E29" i="8"/>
  <c r="E30" i="8" s="1"/>
  <c r="BN34" i="4"/>
  <c r="BO34" i="4"/>
  <c r="BP34" i="4"/>
  <c r="BS34" i="4"/>
  <c r="BX34" i="4"/>
  <c r="BS35" i="4"/>
  <c r="BP35" i="4"/>
  <c r="BQ34" i="4"/>
  <c r="BQ35" i="4"/>
  <c r="BT35" i="4"/>
  <c r="BX35" i="4"/>
  <c r="BU35" i="4"/>
  <c r="BN35" i="4"/>
  <c r="BO35" i="4"/>
  <c r="BR34" i="4"/>
  <c r="BY34" i="4"/>
  <c r="BW35" i="4"/>
  <c r="BW34" i="4"/>
  <c r="BV35" i="4"/>
  <c r="BV34" i="4"/>
  <c r="BU34" i="4"/>
  <c r="BT34" i="4"/>
  <c r="BR35" i="4"/>
  <c r="BM35" i="4"/>
  <c r="BM34" i="4"/>
  <c r="BY35" i="4"/>
  <c r="E63" i="5"/>
  <c r="E75" i="5"/>
  <c r="E87" i="5"/>
  <c r="E99" i="5"/>
  <c r="E77" i="5"/>
  <c r="E102" i="5"/>
  <c r="E68" i="5"/>
  <c r="E80" i="5"/>
  <c r="E92" i="5"/>
  <c r="E104" i="5"/>
  <c r="E64" i="5"/>
  <c r="E76" i="5"/>
  <c r="E88" i="5"/>
  <c r="E100" i="5"/>
  <c r="E65" i="5"/>
  <c r="E89" i="5"/>
  <c r="E101" i="5"/>
  <c r="E66" i="5"/>
  <c r="E78" i="5"/>
  <c r="E90" i="5"/>
  <c r="E67" i="5"/>
  <c r="E79" i="5"/>
  <c r="E91" i="5"/>
  <c r="E103" i="5"/>
  <c r="E69" i="5"/>
  <c r="E81" i="5"/>
  <c r="E93" i="5"/>
  <c r="E105" i="5"/>
  <c r="E71" i="5"/>
  <c r="E84" i="5"/>
  <c r="E70" i="5"/>
  <c r="E82" i="5"/>
  <c r="E94" i="5"/>
  <c r="E106" i="5"/>
  <c r="E83" i="5"/>
  <c r="E107" i="5"/>
  <c r="E72" i="5"/>
  <c r="E96" i="5"/>
  <c r="E108" i="5"/>
  <c r="E73" i="5"/>
  <c r="E85" i="5"/>
  <c r="E97" i="5"/>
  <c r="E109" i="5"/>
  <c r="B62" i="5"/>
  <c r="E62" i="5" s="1"/>
  <c r="E74" i="5"/>
  <c r="E86" i="5"/>
  <c r="E95" i="5"/>
  <c r="E98" i="5"/>
  <c r="BD34" i="4"/>
  <c r="BD35" i="4"/>
  <c r="BJ34" i="4"/>
  <c r="BK35" i="4"/>
  <c r="BK34" i="4"/>
  <c r="BJ35" i="4"/>
  <c r="BI35" i="4"/>
  <c r="BL35" i="4"/>
  <c r="BL34" i="4"/>
  <c r="BC34" i="4"/>
  <c r="BC35" i="4"/>
  <c r="BI34" i="4"/>
  <c r="BG35" i="4"/>
  <c r="BG34" i="4"/>
  <c r="BF35" i="4"/>
  <c r="BH34" i="4"/>
  <c r="BE34" i="4"/>
  <c r="BH35" i="4"/>
  <c r="BF34" i="4"/>
  <c r="BE35" i="4"/>
  <c r="Z25" i="5"/>
  <c r="AQ34" i="4"/>
  <c r="AR34" i="4"/>
  <c r="AS34" i="4"/>
  <c r="AT34" i="4"/>
  <c r="AU34" i="4"/>
  <c r="AV34" i="4"/>
  <c r="AW34" i="4"/>
  <c r="AX34" i="4"/>
  <c r="AQ35" i="4"/>
  <c r="AR35" i="4"/>
  <c r="AS35" i="4"/>
  <c r="AT35" i="4"/>
  <c r="AU35" i="4"/>
  <c r="AV35" i="4"/>
  <c r="AW35" i="4"/>
  <c r="AX35" i="4"/>
  <c r="BB34" i="4"/>
  <c r="BB35" i="4"/>
  <c r="BA34" i="4"/>
  <c r="BA35" i="4"/>
  <c r="AZ35" i="4"/>
  <c r="AZ34" i="4"/>
  <c r="AY34" i="4"/>
  <c r="AY35" i="4"/>
  <c r="AC25" i="5"/>
  <c r="AA25" i="5"/>
  <c r="AA24" i="5"/>
  <c r="AB24" i="5" s="1"/>
  <c r="AA23" i="5"/>
  <c r="AB23" i="5" s="1"/>
  <c r="AA22" i="5"/>
  <c r="AB22" i="5" s="1"/>
  <c r="AA21" i="5"/>
  <c r="AB21" i="5" s="1"/>
  <c r="AA20" i="5"/>
  <c r="AB20" i="5" s="1"/>
  <c r="AA19" i="5"/>
  <c r="AB19" i="5" s="1"/>
  <c r="AA18" i="5"/>
  <c r="AB18" i="5" s="1"/>
  <c r="AA17" i="5"/>
  <c r="AB17" i="5" s="1"/>
  <c r="AA16" i="5"/>
  <c r="AB16" i="5" s="1"/>
  <c r="AA15" i="5"/>
  <c r="AB15" i="5" s="1"/>
  <c r="AA14" i="5"/>
  <c r="AB14" i="5" s="1"/>
  <c r="AA13" i="5"/>
  <c r="AB13" i="5" s="1"/>
  <c r="AA12" i="5"/>
  <c r="AB12" i="5" s="1"/>
  <c r="AA11" i="5"/>
  <c r="AB11" i="5" s="1"/>
  <c r="AA10" i="5"/>
  <c r="AB10" i="5" s="1"/>
  <c r="AA9" i="5"/>
  <c r="AB9" i="5" s="1"/>
  <c r="AA8" i="5"/>
  <c r="AB8" i="5" s="1"/>
  <c r="AA7" i="5"/>
  <c r="AB7" i="5" s="1"/>
  <c r="AA6" i="5"/>
  <c r="AB6" i="5" s="1"/>
  <c r="AA5" i="5"/>
  <c r="AB5" i="5" s="1"/>
  <c r="AA4" i="5"/>
  <c r="AB4" i="5" s="1"/>
  <c r="AA3" i="5"/>
  <c r="AB3" i="5" s="1"/>
  <c r="AA2" i="5"/>
  <c r="AB2" i="5" s="1"/>
  <c r="B36" i="5"/>
  <c r="E36" i="5" s="1"/>
  <c r="B37" i="5"/>
  <c r="E37" i="5" s="1"/>
  <c r="B38" i="5"/>
  <c r="E38" i="5" s="1"/>
  <c r="B39" i="5"/>
  <c r="E39" i="5" s="1"/>
  <c r="B40" i="5"/>
  <c r="E40" i="5" s="1"/>
  <c r="B41" i="5"/>
  <c r="E41" i="5" s="1"/>
  <c r="B42" i="5"/>
  <c r="E42" i="5" s="1"/>
  <c r="B43" i="5"/>
  <c r="E43" i="5" s="1"/>
  <c r="B44" i="5"/>
  <c r="E44" i="5" s="1"/>
  <c r="B45" i="5"/>
  <c r="E45" i="5" s="1"/>
  <c r="B46" i="5"/>
  <c r="E46" i="5" s="1"/>
  <c r="B47" i="5"/>
  <c r="E47" i="5" s="1"/>
  <c r="B48" i="5"/>
  <c r="E48" i="5" s="1"/>
  <c r="B49" i="5"/>
  <c r="E49" i="5" s="1"/>
  <c r="B50" i="5"/>
  <c r="E50" i="5" s="1"/>
  <c r="B51" i="5"/>
  <c r="E51" i="5" s="1"/>
  <c r="B52" i="5"/>
  <c r="E52" i="5" s="1"/>
  <c r="B53" i="5"/>
  <c r="E53" i="5" s="1"/>
  <c r="B54" i="5"/>
  <c r="E54" i="5" s="1"/>
  <c r="B55" i="5"/>
  <c r="E55" i="5" s="1"/>
  <c r="B56" i="5"/>
  <c r="E56" i="5" s="1"/>
  <c r="B57" i="5"/>
  <c r="E57" i="5" s="1"/>
  <c r="B58" i="5"/>
  <c r="E58" i="5" s="1"/>
  <c r="B59" i="5"/>
  <c r="E59" i="5" s="1"/>
  <c r="B60" i="5"/>
  <c r="E60" i="5" s="1"/>
  <c r="B61" i="5"/>
  <c r="E61" i="5" s="1"/>
  <c r="B35" i="5"/>
  <c r="E35" i="5" s="1"/>
  <c r="AM34" i="4"/>
  <c r="AN34" i="4"/>
  <c r="AO34" i="4"/>
  <c r="AP34" i="4"/>
  <c r="AM35" i="4"/>
  <c r="AN35" i="4"/>
  <c r="AO35" i="4"/>
  <c r="AP35" i="4"/>
  <c r="AI34" i="4"/>
  <c r="AI35" i="4"/>
  <c r="AH34" i="4"/>
  <c r="AF34" i="4"/>
  <c r="AE34" i="4"/>
  <c r="AD34" i="4"/>
  <c r="AC34" i="4"/>
  <c r="AK34" i="4"/>
  <c r="AG34" i="4"/>
  <c r="AJ34" i="4"/>
  <c r="AL34" i="4"/>
  <c r="AH35" i="4"/>
  <c r="AF35" i="4"/>
  <c r="AE35" i="4"/>
  <c r="AD35" i="4"/>
  <c r="AC35" i="4"/>
  <c r="AK35" i="4"/>
  <c r="AG35" i="4"/>
  <c r="AJ35" i="4"/>
  <c r="AL35" i="4"/>
  <c r="AA34" i="4"/>
  <c r="AB34" i="4"/>
  <c r="AA35" i="4"/>
  <c r="AB35" i="4"/>
  <c r="B13" i="5"/>
  <c r="E13" i="5" s="1"/>
  <c r="E35" i="4"/>
  <c r="V35" i="4"/>
  <c r="J35" i="4"/>
  <c r="O35" i="4"/>
  <c r="T35" i="4"/>
  <c r="S35" i="4"/>
  <c r="X35" i="4"/>
  <c r="L35" i="4"/>
  <c r="R35" i="4"/>
  <c r="F35" i="4"/>
  <c r="W35" i="4"/>
  <c r="Y35" i="4"/>
  <c r="Q35" i="4"/>
  <c r="P35" i="4"/>
  <c r="N35" i="4"/>
  <c r="M35" i="4"/>
  <c r="I35" i="4"/>
  <c r="U35" i="4"/>
  <c r="Z35" i="4"/>
  <c r="Y34" i="4"/>
  <c r="X34" i="4"/>
  <c r="C4" i="5"/>
  <c r="G35" i="4"/>
  <c r="H35" i="4"/>
  <c r="Z34" i="4"/>
  <c r="V34" i="4"/>
  <c r="W34" i="4"/>
  <c r="T34" i="4"/>
  <c r="U34" i="4"/>
  <c r="I2" i="4"/>
  <c r="B8" i="5"/>
  <c r="E8" i="5" s="1"/>
  <c r="B31" i="5"/>
  <c r="E31" i="5" s="1"/>
  <c r="N34" i="4"/>
  <c r="E34" i="4"/>
  <c r="B17" i="5"/>
  <c r="E17" i="5" s="1"/>
  <c r="O34" i="4"/>
  <c r="B24" i="5"/>
  <c r="E24" i="5" s="1"/>
  <c r="B6" i="5"/>
  <c r="E6" i="5" s="1"/>
  <c r="B3" i="5"/>
  <c r="E3" i="5" s="1"/>
  <c r="B25" i="5"/>
  <c r="E25" i="5" s="1"/>
  <c r="P34" i="4"/>
  <c r="B7" i="5"/>
  <c r="E7" i="5" s="1"/>
  <c r="B29" i="5"/>
  <c r="E29" i="5" s="1"/>
  <c r="B33" i="5"/>
  <c r="E33" i="5" s="1"/>
  <c r="Q34" i="4"/>
  <c r="B19" i="5"/>
  <c r="E19" i="5" s="1"/>
  <c r="F34" i="4"/>
  <c r="L34" i="4"/>
  <c r="R34" i="4"/>
  <c r="G34" i="4"/>
  <c r="B5" i="5"/>
  <c r="E5" i="5" s="1"/>
  <c r="B20" i="5"/>
  <c r="E20" i="5" s="1"/>
  <c r="B21" i="5"/>
  <c r="E21" i="5" s="1"/>
  <c r="J34" i="4"/>
  <c r="B15" i="5"/>
  <c r="E15" i="5" s="1"/>
  <c r="B30" i="5"/>
  <c r="E30" i="5" s="1"/>
  <c r="B34" i="5"/>
  <c r="E34" i="5" s="1"/>
  <c r="B23" i="5"/>
  <c r="E23" i="5" s="1"/>
  <c r="B12" i="5"/>
  <c r="E12" i="5" s="1"/>
  <c r="B16" i="5"/>
  <c r="E16" i="5" s="1"/>
  <c r="H34" i="4"/>
  <c r="B2" i="5"/>
  <c r="E2" i="5" s="1"/>
  <c r="I34" i="4"/>
  <c r="B10" i="5"/>
  <c r="E10" i="5" s="1"/>
  <c r="B22" i="5"/>
  <c r="E22" i="5" s="1"/>
  <c r="B11" i="5"/>
  <c r="E11" i="5" s="1"/>
  <c r="B26" i="5"/>
  <c r="E26" i="5" s="1"/>
  <c r="B4" i="5"/>
  <c r="B27" i="5"/>
  <c r="E27" i="5" s="1"/>
  <c r="M34" i="4"/>
  <c r="S34" i="4"/>
  <c r="B14" i="5"/>
  <c r="E14" i="5" s="1"/>
  <c r="B28" i="5"/>
  <c r="E28" i="5" s="1"/>
  <c r="B9" i="5"/>
  <c r="E9" i="5" s="1"/>
  <c r="B18" i="5"/>
  <c r="E18" i="5" s="1"/>
  <c r="B32" i="5"/>
  <c r="E32" i="5" s="1"/>
  <c r="A6" i="5" l="1"/>
  <c r="F24" i="8"/>
  <c r="F30" i="8" s="1"/>
  <c r="AB25" i="5"/>
  <c r="E4" i="5"/>
  <c r="J2" i="4"/>
  <c r="A7" i="5" l="1"/>
  <c r="G24" i="8"/>
  <c r="G30" i="8" s="1"/>
  <c r="K2" i="4"/>
  <c r="A8" i="5" l="1"/>
  <c r="H24" i="8"/>
  <c r="H30" i="8" s="1"/>
  <c r="L2" i="4"/>
  <c r="A9" i="5" l="1"/>
  <c r="I24" i="8"/>
  <c r="I30" i="8" s="1"/>
  <c r="M2" i="4"/>
  <c r="A10" i="5" l="1"/>
  <c r="J24" i="8"/>
  <c r="J30" i="8" s="1"/>
  <c r="N2" i="4"/>
  <c r="K24" i="8" l="1"/>
  <c r="K30" i="8" s="1"/>
  <c r="A11" i="5"/>
  <c r="O2" i="4"/>
  <c r="L24" i="8" l="1"/>
  <c r="L30" i="8" s="1"/>
  <c r="P2" i="4"/>
  <c r="A12" i="5"/>
  <c r="M24" i="8" l="1"/>
  <c r="M30" i="8" s="1"/>
  <c r="Q2" i="4"/>
  <c r="A13" i="5"/>
  <c r="N24" i="8" l="1"/>
  <c r="N30" i="8" s="1"/>
  <c r="R2" i="4"/>
  <c r="A14" i="5"/>
  <c r="O24" i="8" l="1"/>
  <c r="O30" i="8" s="1"/>
  <c r="A15" i="5"/>
  <c r="S2" i="4"/>
  <c r="P24" i="8" l="1"/>
  <c r="P30" i="8" s="1"/>
  <c r="T2" i="4"/>
  <c r="A16" i="5"/>
  <c r="Q24" i="8" l="1"/>
  <c r="Q30" i="8" s="1"/>
  <c r="U2" i="4"/>
  <c r="A17" i="5"/>
  <c r="R24" i="8" l="1"/>
  <c r="R30" i="8" s="1"/>
  <c r="V2" i="4"/>
  <c r="A18" i="5"/>
  <c r="S24" i="8" l="1"/>
  <c r="S30" i="8" s="1"/>
  <c r="A19" i="5"/>
  <c r="W2" i="4"/>
  <c r="T24" i="8" l="1"/>
  <c r="T30" i="8" s="1"/>
  <c r="A20" i="5"/>
  <c r="X2" i="4"/>
  <c r="U24" i="8" l="1"/>
  <c r="U30" i="8" s="1"/>
  <c r="A21" i="5"/>
  <c r="Y2" i="4"/>
  <c r="V24" i="8" l="1"/>
  <c r="V30" i="8" s="1"/>
  <c r="Z2" i="4"/>
  <c r="A22" i="5"/>
  <c r="W24" i="8" l="1"/>
  <c r="W30" i="8" s="1"/>
  <c r="AA2" i="4"/>
  <c r="A23" i="5"/>
  <c r="X24" i="8" l="1"/>
  <c r="X30" i="8" s="1"/>
  <c r="AB2" i="4"/>
  <c r="A24" i="5"/>
  <c r="Y24" i="8" l="1"/>
  <c r="Y30" i="8" s="1"/>
  <c r="AC2" i="4"/>
  <c r="A25" i="5"/>
  <c r="Z24" i="8" l="1"/>
  <c r="Z30" i="8" s="1"/>
  <c r="AD2" i="4"/>
  <c r="A26" i="5"/>
  <c r="AA24" i="8" l="1"/>
  <c r="AA30" i="8" s="1"/>
  <c r="A27" i="5"/>
  <c r="AE2" i="4"/>
  <c r="AB24" i="8" l="1"/>
  <c r="AB30" i="8" s="1"/>
  <c r="AF2" i="4"/>
  <c r="A28" i="5"/>
  <c r="AC24" i="8" l="1"/>
  <c r="AC30" i="8" s="1"/>
  <c r="A29" i="5"/>
  <c r="AG2" i="4"/>
  <c r="AH2" i="4" l="1"/>
  <c r="AD24" i="8"/>
  <c r="AD30" i="8" s="1"/>
  <c r="A30" i="5"/>
  <c r="AI2" i="4" l="1"/>
  <c r="AE24" i="8"/>
  <c r="AE30" i="8" s="1"/>
  <c r="A31" i="5"/>
  <c r="AF24" i="8" l="1"/>
  <c r="AF30" i="8" s="1"/>
  <c r="AI43" i="4"/>
  <c r="AJ2" i="4"/>
  <c r="A32" i="5"/>
  <c r="AU2" i="4"/>
  <c r="AU43" i="4" l="1"/>
  <c r="AR24" i="8"/>
  <c r="AR30" i="8" s="1"/>
  <c r="AJ43" i="4"/>
  <c r="AG24" i="8"/>
  <c r="AG30" i="8" s="1"/>
  <c r="A33" i="5"/>
  <c r="AK2" i="4"/>
  <c r="AV2" i="4"/>
  <c r="A44" i="5"/>
  <c r="AV43" i="4" l="1"/>
  <c r="AS24" i="8"/>
  <c r="AS30" i="8" s="1"/>
  <c r="AH24" i="8"/>
  <c r="AH30" i="8" s="1"/>
  <c r="AK43" i="4"/>
  <c r="A34" i="5"/>
  <c r="AL2" i="4"/>
  <c r="A36" i="5"/>
  <c r="AN2" i="4"/>
  <c r="AK24" i="8" s="1"/>
  <c r="AK30" i="8" s="1"/>
  <c r="AW2" i="4"/>
  <c r="A45" i="5"/>
  <c r="AW43" i="4" l="1"/>
  <c r="AT24" i="8"/>
  <c r="AT30" i="8" s="1"/>
  <c r="AI24" i="8"/>
  <c r="AI30" i="8" s="1"/>
  <c r="AL43" i="4"/>
  <c r="A35" i="5"/>
  <c r="AN43" i="4"/>
  <c r="A37" i="5"/>
  <c r="AX2" i="4"/>
  <c r="A46" i="5"/>
  <c r="AX43" i="4" l="1"/>
  <c r="AU24" i="8"/>
  <c r="AU30" i="8" s="1"/>
  <c r="AY2" i="4"/>
  <c r="A47" i="5"/>
  <c r="AV24" i="8" l="1"/>
  <c r="AV30" i="8" s="1"/>
  <c r="AY43" i="4"/>
  <c r="AZ2" i="4"/>
  <c r="A48" i="5"/>
  <c r="AW24" i="8" l="1"/>
  <c r="AW30" i="8" s="1"/>
  <c r="BA2" i="4"/>
  <c r="A49" i="5"/>
  <c r="AX24" i="8" l="1"/>
  <c r="AX30" i="8" s="1"/>
  <c r="BA43" i="4"/>
  <c r="BB2" i="4"/>
  <c r="A50" i="5"/>
  <c r="AY24" i="8" l="1"/>
  <c r="AY30" i="8" s="1"/>
  <c r="BB43" i="4"/>
  <c r="BC2" i="4"/>
  <c r="A51" i="5"/>
  <c r="AZ24" i="8" l="1"/>
  <c r="AZ30" i="8" s="1"/>
  <c r="BC43" i="4"/>
  <c r="BD2" i="4"/>
  <c r="A52" i="5"/>
  <c r="BA24" i="8" l="1"/>
  <c r="BA30" i="8" s="1"/>
  <c r="BD43" i="4"/>
  <c r="BE2" i="4"/>
  <c r="A53" i="5"/>
  <c r="BE43" i="4" l="1"/>
  <c r="BB24" i="8"/>
  <c r="BB30" i="8" s="1"/>
  <c r="BF2" i="4"/>
  <c r="A54" i="5"/>
  <c r="BC24" i="8" l="1"/>
  <c r="BC30" i="8" s="1"/>
  <c r="BF43" i="4"/>
  <c r="BG2" i="4"/>
  <c r="A55" i="5"/>
  <c r="BG43" i="4" l="1"/>
  <c r="BD24" i="8"/>
  <c r="BD30" i="8" s="1"/>
  <c r="BH2" i="4"/>
  <c r="A56" i="5"/>
  <c r="BE24" i="8" l="1"/>
  <c r="BE30" i="8" s="1"/>
  <c r="BH43" i="4"/>
  <c r="A57" i="5"/>
  <c r="BI2" i="4"/>
  <c r="BI43" i="4" l="1"/>
  <c r="BF24" i="8"/>
  <c r="BF30" i="8" s="1"/>
  <c r="BJ2" i="4"/>
  <c r="A58" i="5"/>
  <c r="BJ43" i="4" l="1"/>
  <c r="BG24" i="8"/>
  <c r="BG30" i="8" s="1"/>
  <c r="BK2" i="4"/>
  <c r="A59" i="5"/>
  <c r="BH24" i="8" l="1"/>
  <c r="BH30" i="8" s="1"/>
  <c r="BK43" i="4"/>
  <c r="A60" i="5"/>
  <c r="BL2" i="4"/>
  <c r="BI24" i="8" l="1"/>
  <c r="BI30" i="8" s="1"/>
  <c r="D13" i="8" s="1"/>
  <c r="C10" i="8" a="1"/>
  <c r="C9" i="8" a="1"/>
  <c r="C8" i="8" a="1"/>
  <c r="C7" i="8" a="1"/>
  <c r="BL43" i="4"/>
  <c r="BM2" i="4"/>
  <c r="A61" i="5"/>
  <c r="BM43" i="4" l="1"/>
  <c r="G7" i="7" s="1"/>
  <c r="BN2" i="4"/>
  <c r="A62" i="5"/>
  <c r="C7" i="7"/>
  <c r="B9" i="7"/>
  <c r="G14" i="7"/>
  <c r="B7" i="7"/>
  <c r="B14" i="7"/>
  <c r="G9" i="7"/>
  <c r="E9" i="7"/>
  <c r="C9" i="7"/>
  <c r="F7" i="7"/>
  <c r="C14" i="7"/>
  <c r="C13" i="7"/>
  <c r="B13" i="7"/>
  <c r="G12" i="7"/>
  <c r="F13" i="7"/>
  <c r="G13" i="7"/>
  <c r="D7" i="7"/>
  <c r="E7" i="7"/>
  <c r="F14" i="7"/>
  <c r="E12" i="7"/>
  <c r="D13" i="7"/>
  <c r="D12" i="7"/>
  <c r="F12" i="7"/>
  <c r="C12" i="7"/>
  <c r="B12" i="7"/>
  <c r="E13" i="7"/>
  <c r="E14" i="7"/>
  <c r="F9" i="7"/>
  <c r="B10" i="7" l="1"/>
  <c r="B11" i="7" s="1"/>
  <c r="E10" i="7"/>
  <c r="E11" i="7" s="1"/>
  <c r="C10" i="7"/>
  <c r="C11" i="7" s="1"/>
  <c r="BO2" i="4"/>
  <c r="A63" i="5"/>
  <c r="F10" i="7"/>
  <c r="F11" i="7" s="1"/>
  <c r="D14" i="7"/>
  <c r="D9" i="7"/>
  <c r="D10" i="7" s="1"/>
  <c r="D11" i="7" s="1"/>
  <c r="G10" i="7"/>
  <c r="G11" i="7" s="1"/>
  <c r="A64" i="5" l="1"/>
  <c r="BP2" i="4"/>
  <c r="A65" i="5" l="1"/>
  <c r="BQ2" i="4"/>
  <c r="A66" i="5" l="1"/>
  <c r="BR2" i="4"/>
  <c r="A67" i="5" l="1"/>
  <c r="BS2" i="4"/>
  <c r="BT2" i="4" l="1"/>
  <c r="A68" i="5"/>
  <c r="A69" i="5" l="1"/>
  <c r="BU2" i="4"/>
  <c r="BV2" i="4" l="1"/>
  <c r="A70" i="5"/>
  <c r="BW2" i="4" l="1"/>
  <c r="A71" i="5"/>
  <c r="A72" i="5" l="1"/>
  <c r="BX2" i="4"/>
  <c r="A73" i="5" l="1"/>
  <c r="BY2" i="4"/>
  <c r="BZ2" i="4" l="1"/>
  <c r="A74" i="5"/>
  <c r="CA2" i="4" l="1"/>
  <c r="A75" i="5"/>
  <c r="A76" i="5" l="1"/>
  <c r="CB2" i="4"/>
  <c r="A77" i="5" l="1"/>
  <c r="CC2" i="4"/>
  <c r="A78" i="5" l="1"/>
  <c r="CD2" i="4"/>
  <c r="CE2" i="4" l="1"/>
  <c r="A79" i="5"/>
  <c r="CF2" i="4" l="1"/>
  <c r="A80" i="5"/>
  <c r="CG2" i="4" l="1"/>
  <c r="A81" i="5"/>
  <c r="A82" i="5" l="1"/>
  <c r="CH2" i="4"/>
  <c r="A83" i="5" l="1"/>
  <c r="CI2" i="4"/>
  <c r="A84" i="5" l="1"/>
  <c r="CJ2" i="4"/>
  <c r="CK2" i="4" l="1"/>
  <c r="A85" i="5"/>
  <c r="CL2" i="4" l="1"/>
  <c r="A86" i="5"/>
  <c r="A87" i="5" l="1"/>
  <c r="CM2" i="4"/>
  <c r="A88" i="5" l="1"/>
  <c r="CN2" i="4"/>
  <c r="A89" i="5" l="1"/>
  <c r="CO2" i="4"/>
  <c r="A90" i="5" l="1"/>
  <c r="CP2" i="4"/>
  <c r="CQ2" i="4" l="1"/>
  <c r="A91" i="5"/>
  <c r="CR2" i="4" l="1"/>
  <c r="A92" i="5"/>
  <c r="C19" i="8"/>
  <c r="C18" i="8"/>
  <c r="C17" i="8"/>
  <c r="C20" i="8"/>
  <c r="C21" i="8"/>
  <c r="E20" i="8"/>
  <c r="D20" i="8"/>
  <c r="E19" i="8"/>
  <c r="E18" i="8"/>
  <c r="D19" i="8"/>
  <c r="D18" i="8"/>
  <c r="D17" i="8"/>
  <c r="E17" i="8"/>
  <c r="E21" i="8"/>
  <c r="D21" i="8"/>
  <c r="C10" i="8"/>
  <c r="C9" i="8"/>
  <c r="C8" i="8"/>
  <c r="C7" i="8"/>
  <c r="FA38" i="4"/>
  <c r="EZ38" i="4"/>
  <c r="EY38" i="4"/>
  <c r="EX38" i="4"/>
  <c r="EW38" i="4"/>
  <c r="EV38" i="4"/>
  <c r="EU38" i="4"/>
  <c r="ET38" i="4"/>
  <c r="ES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F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S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Y38" i="4"/>
  <c r="CX38" i="4"/>
  <c r="CW38" i="4"/>
  <c r="CV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X38" i="4"/>
  <c r="BW38" i="4"/>
  <c r="BV38" i="4"/>
  <c r="BU38" i="4"/>
  <c r="BT38" i="4"/>
  <c r="BS38" i="4"/>
  <c r="BR38" i="4"/>
  <c r="BQ38" i="4"/>
  <c r="BP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A1" i="4"/>
  <c r="Z1" i="4"/>
  <c r="Y1" i="4"/>
  <c r="X1" i="4"/>
  <c r="W1" i="4"/>
  <c r="U1" i="4"/>
  <c r="T1" i="4"/>
  <c r="S1" i="4"/>
  <c r="Q1" i="4"/>
  <c r="P1" i="4"/>
  <c r="O1" i="4"/>
  <c r="N1" i="4"/>
  <c r="M1" i="4"/>
  <c r="L1" i="4"/>
  <c r="K1" i="4"/>
  <c r="J1" i="4"/>
  <c r="I1" i="4"/>
  <c r="H1" i="4"/>
  <c r="G1" i="4"/>
  <c r="F1" i="4"/>
  <c r="E1" i="4"/>
  <c r="E7" i="8" l="1"/>
  <c r="D7" i="8"/>
  <c r="C11" i="8"/>
  <c r="E8" i="8"/>
  <c r="D8" i="8"/>
  <c r="E9" i="8"/>
  <c r="D9" i="8"/>
  <c r="E10" i="8"/>
  <c r="D10" i="8"/>
  <c r="A93" i="5"/>
  <c r="CS2" i="4"/>
  <c r="CT2" i="4" l="1"/>
  <c r="A94" i="5"/>
  <c r="E11" i="8"/>
  <c r="D11" i="8"/>
  <c r="CU2" i="4" l="1"/>
  <c r="A95" i="5"/>
  <c r="CV2" i="4" l="1"/>
  <c r="A96" i="5"/>
  <c r="CW2" i="4" l="1"/>
  <c r="A97" i="5"/>
  <c r="CX2" i="4" l="1"/>
  <c r="A98" i="5"/>
  <c r="CY2" i="4" l="1"/>
  <c r="A99" i="5"/>
  <c r="CZ2" i="4" l="1"/>
  <c r="A100" i="5"/>
  <c r="DA2" i="4" l="1"/>
  <c r="A101" i="5"/>
  <c r="DB2" i="4" l="1"/>
  <c r="A102" i="5"/>
  <c r="DC2" i="4" l="1"/>
  <c r="A103" i="5"/>
  <c r="DD2" i="4" l="1"/>
  <c r="A104" i="5"/>
  <c r="DE2" i="4" l="1"/>
  <c r="A105" i="5"/>
  <c r="DF2" i="4" l="1"/>
  <c r="A106" i="5"/>
  <c r="DG2" i="4" l="1"/>
  <c r="A107" i="5"/>
  <c r="A108" i="5" l="1"/>
  <c r="DH2" i="4"/>
  <c r="A109" i="5" l="1"/>
  <c r="DI2" i="4"/>
  <c r="A110" i="5" l="1"/>
  <c r="DJ2" i="4"/>
  <c r="A111" i="5" l="1"/>
  <c r="DK2" i="4"/>
  <c r="A112" i="5" l="1"/>
  <c r="DL2" i="4"/>
  <c r="A113" i="5" l="1"/>
  <c r="DM2" i="4"/>
  <c r="A114" i="5" l="1"/>
  <c r="DN2" i="4"/>
  <c r="A115" i="5" l="1"/>
  <c r="DO2" i="4"/>
  <c r="A116" i="5" l="1"/>
  <c r="DP2" i="4"/>
  <c r="A117" i="5" l="1"/>
  <c r="DQ2" i="4"/>
  <c r="A118" i="5" l="1"/>
  <c r="DR2" i="4"/>
  <c r="A119" i="5" l="1"/>
  <c r="DS2" i="4"/>
  <c r="A120" i="5" l="1"/>
  <c r="DT2" i="4"/>
  <c r="A121" i="5" l="1"/>
  <c r="DU2" i="4"/>
  <c r="A122" i="5" l="1"/>
  <c r="DV2" i="4"/>
  <c r="A123" i="5" l="1"/>
  <c r="DW2" i="4"/>
  <c r="A124" i="5" l="1"/>
  <c r="DX2" i="4"/>
  <c r="A125" i="5" l="1"/>
  <c r="DY2" i="4"/>
  <c r="A126" i="5" l="1"/>
  <c r="DZ2" i="4"/>
  <c r="A127" i="5" l="1"/>
  <c r="EA2" i="4"/>
  <c r="A128" i="5" l="1"/>
  <c r="EB2" i="4"/>
  <c r="U25" i="5" l="1" a="1"/>
  <c r="U25" i="5" s="1"/>
  <c r="U24" i="5" a="1"/>
  <c r="U24" i="5" s="1"/>
  <c r="U23" i="5" a="1"/>
  <c r="U23" i="5" s="1"/>
  <c r="U22" i="5" a="1"/>
  <c r="U22" i="5" s="1"/>
  <c r="U26" i="5" a="1"/>
  <c r="U26" i="5" s="1"/>
  <c r="A129" i="5"/>
  <c r="EC2" i="4"/>
  <c r="V32" i="5" l="1"/>
  <c r="V33" i="5"/>
  <c r="V34" i="5"/>
  <c r="V35" i="5"/>
  <c r="V36" i="5"/>
  <c r="V37" i="5"/>
  <c r="V38" i="5"/>
  <c r="V39" i="5"/>
  <c r="V40" i="5"/>
  <c r="V41" i="5"/>
  <c r="V43" i="5"/>
  <c r="V44" i="5"/>
  <c r="V45" i="5"/>
  <c r="W14" i="5"/>
  <c r="W43" i="5" s="1"/>
  <c r="W15" i="5"/>
  <c r="W44" i="5" s="1"/>
  <c r="W16" i="5"/>
  <c r="W45" i="5" s="1"/>
  <c r="W3" i="5"/>
  <c r="W32" i="5" s="1"/>
  <c r="W4" i="5"/>
  <c r="W33" i="5" s="1"/>
  <c r="W5" i="5"/>
  <c r="W34" i="5" s="1"/>
  <c r="W6" i="5"/>
  <c r="W35" i="5" s="1"/>
  <c r="W7" i="5"/>
  <c r="W36" i="5" s="1"/>
  <c r="W8" i="5"/>
  <c r="W37" i="5" s="1"/>
  <c r="W9" i="5"/>
  <c r="W38" i="5" s="1"/>
  <c r="W10" i="5"/>
  <c r="W39" i="5" s="1"/>
  <c r="W11" i="5"/>
  <c r="W40" i="5" s="1"/>
  <c r="W12" i="5"/>
  <c r="W41" i="5" s="1"/>
  <c r="V42" i="5"/>
  <c r="A130" i="5"/>
  <c r="ED2" i="4"/>
  <c r="V31" i="5" l="1"/>
  <c r="V17" i="5"/>
  <c r="U19" i="5" s="1"/>
  <c r="W13" i="5"/>
  <c r="W42" i="5" s="1"/>
  <c r="W2" i="5"/>
  <c r="W31" i="5" s="1"/>
  <c r="A131" i="5"/>
  <c r="EE2" i="4"/>
  <c r="V46" i="5" l="1"/>
  <c r="A132" i="5"/>
  <c r="EF2" i="4"/>
  <c r="A133" i="5" l="1"/>
  <c r="EG2" i="4"/>
  <c r="A134" i="5" l="1"/>
  <c r="EH2" i="4"/>
  <c r="A135" i="5" l="1"/>
  <c r="EI2" i="4"/>
  <c r="A136" i="5" l="1"/>
  <c r="EJ2" i="4"/>
  <c r="A137" i="5" l="1"/>
  <c r="EK2" i="4"/>
  <c r="A138" i="5" l="1"/>
  <c r="EL2" i="4"/>
  <c r="A139" i="5" l="1"/>
  <c r="EM2" i="4"/>
  <c r="A140" i="5" l="1"/>
  <c r="EN2" i="4"/>
  <c r="A141" i="5" l="1"/>
  <c r="EO2" i="4"/>
  <c r="A142" i="5" l="1"/>
  <c r="EP2" i="4"/>
  <c r="A143" i="5" l="1"/>
  <c r="EQ2" i="4"/>
  <c r="A144" i="5" l="1"/>
  <c r="ER2" i="4"/>
  <c r="A145" i="5" l="1"/>
  <c r="ES2" i="4"/>
  <c r="A146" i="5" l="1"/>
  <c r="ET2" i="4"/>
  <c r="A147" i="5" l="1"/>
  <c r="EU2" i="4"/>
  <c r="A148" i="5" l="1"/>
  <c r="A149" i="5" l="1"/>
  <c r="A150" i="5" l="1"/>
  <c r="A151" i="5" l="1"/>
  <c r="A152" i="5" l="1"/>
  <c r="A154" i="5" l="1"/>
  <c r="A153" i="5"/>
  <c r="W17" i="5"/>
  <c r="W46" i="5" l="1"/>
  <c r="U20" i="5"/>
  <c r="C3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tc={1A6BC626-B844-46BF-8ADA-E62A57E07377}</author>
    <author>tc={171BFD51-DD01-43F9-85A8-B1D181812764}</author>
    <author>tc={AB7E6200-7954-46D4-B6F5-A3B7DE59FE4D}</author>
    <author>tc={C8C7DC2F-AB67-46EB-9A7D-68BBC0CC1EB1}</author>
    <author>tc={1D625232-26C4-4A19-81C4-24AB01280CDC}</author>
    <author>Sumit Misal</author>
    <author>Sudhanshu  Kumar</author>
  </authors>
  <commentList>
    <comment ref="E4" authorId="0" shapeId="0" xr:uid="{1A6BC626-B844-46BF-8ADA-E62A57E07377}">
      <text>
        <t>[Threaded comment]
Your version of Excel allows you to read this threaded comment; however, any edits to it will get removed if the file is opened in a newer version of Excel. Learn more: https://go.microsoft.com/fwlink/?linkid=870924
Comment:
    8MP Dairy night</t>
      </text>
    </comment>
    <comment ref="F4" authorId="1" shapeId="0" xr:uid="{171BFD51-DD01-43F9-85A8-B1D181812764}">
      <text>
        <t>[Threaded comment]
Your version of Excel allows you to read this threaded comment; however, any edits to it will get removed if the file is opened in a newer version of Excel. Learn more: https://go.microsoft.com/fwlink/?linkid=870924
Comment:
    9MP Dairy Night</t>
      </text>
    </comment>
    <comment ref="G4" authorId="2" shapeId="0" xr:uid="{AB7E6200-7954-46D4-B6F5-A3B7DE59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9MP DN</t>
      </text>
    </comment>
    <comment ref="H4" authorId="3" shapeId="0" xr:uid="{C8C7DC2F-AB67-46EB-9A7D-68BBC0CC1EB1}">
      <text>
        <t>[Threaded comment]
Your version of Excel allows you to read this threaded comment; however, any edits to it will get removed if the file is opened in a newer version of Excel. Learn more: https://go.microsoft.com/fwlink/?linkid=870924
Comment:
    9MP DN</t>
      </text>
    </comment>
    <comment ref="BG6" authorId="4" shapeId="0" xr:uid="{1D625232-26C4-4A19-81C4-24AB01280C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6MP LESS DUE TO AUDIT AT RMPM WH
</t>
      </text>
    </comment>
    <comment ref="DX32" authorId="5" shapeId="0" xr:uid="{F96019B0-1656-48AA-BD17-4092E5D97AB8}">
      <text>
        <r>
          <rPr>
            <sz val="11"/>
            <color theme="1"/>
            <rFont val="Aptos Narrow"/>
            <family val="2"/>
            <scheme val="minor"/>
          </rPr>
          <t xml:space="preserve">Sumit Misal:
2 octomber gandhiji jayanti PH
</t>
        </r>
      </text>
    </comment>
    <comment ref="AZ43" authorId="6" shapeId="0" xr:uid="{CDC18CFE-6C34-4372-A4AA-35E3FF706C90}">
      <text>
        <r>
          <rPr>
            <b/>
            <sz val="9"/>
            <color indexed="81"/>
            <rFont val="Tahoma"/>
            <family val="2"/>
          </rPr>
          <t>Sudhanshu  Kumar:</t>
        </r>
        <r>
          <rPr>
            <sz val="9"/>
            <color indexed="81"/>
            <rFont val="Tahoma"/>
            <family val="2"/>
          </rPr>
          <t xml:space="preserve">
Manual override: 18-Jul declared an off day. Attendance that came was planned, so it is excluded from weekly averages.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<sst xmlns="http://schemas.openxmlformats.org/spreadsheetml/2006/main" count="588" uniqueCount="230">
  <si>
    <t>WORKFORCE COMMAND CENTER</t>
  </si>
  <si>
    <t>Section</t>
  </si>
  <si>
    <t>Gap</t>
  </si>
  <si>
    <t>Date</t>
  </si>
  <si>
    <t>Plan</t>
  </si>
  <si>
    <t>Present</t>
  </si>
  <si>
    <t>OT Hours</t>
  </si>
  <si>
    <t>Daily manpower intelligence  •  KPI KEY:  GREEN ≥95%  |  AMBER 85–94.9%  |  RED &lt;85%</t>
  </si>
  <si>
    <t>All</t>
  </si>
  <si>
    <t>DATE</t>
  </si>
  <si>
    <t>CATEGORY</t>
  </si>
  <si>
    <t>PLANT</t>
  </si>
  <si>
    <t>SECTION</t>
  </si>
  <si>
    <t>Production</t>
  </si>
  <si>
    <t>C6</t>
  </si>
  <si>
    <t>C6 - Oil</t>
  </si>
  <si>
    <t>Support</t>
  </si>
  <si>
    <t>C39</t>
  </si>
  <si>
    <t>C6 - Ghee</t>
  </si>
  <si>
    <t>PLANNED MP</t>
  </si>
  <si>
    <t>TOTAL PRESENT</t>
  </si>
  <si>
    <t>ABSENT MP</t>
  </si>
  <si>
    <t>ATTENDANCE RATE</t>
  </si>
  <si>
    <t>APPROVED LEAVE (ALL)</t>
  </si>
  <si>
    <t>Printer</t>
  </si>
  <si>
    <t>C39 - MG batch Making</t>
  </si>
  <si>
    <t>FRM</t>
  </si>
  <si>
    <t>Supply/ Dispatch (Common)</t>
  </si>
  <si>
    <t>Printer (Common)</t>
  </si>
  <si>
    <t>Ghee</t>
  </si>
  <si>
    <t>C6 - Raw Agri (Millets)</t>
  </si>
  <si>
    <t>Supply</t>
  </si>
  <si>
    <t>C39 - Honey / all Spices</t>
  </si>
  <si>
    <t>PRODUCTION PRESENT</t>
  </si>
  <si>
    <t>SUPPORT PRESENT</t>
  </si>
  <si>
    <t>OT HOURS (ALL)</t>
  </si>
  <si>
    <t>PRODUCTION SHARE</t>
  </si>
  <si>
    <t>GAP VS PLAN</t>
  </si>
  <si>
    <t>C39 - Jaggery</t>
  </si>
  <si>
    <t>C39 - Atta</t>
  </si>
  <si>
    <t>C6 - Atta - 1</t>
  </si>
  <si>
    <t>C6 Atta - 2</t>
  </si>
  <si>
    <t>SECTION DETAIL — SELECTED DATE</t>
  </si>
  <si>
    <t>FRM - Khapal-Khapli</t>
  </si>
  <si>
    <t>Category</t>
  </si>
  <si>
    <t>Plant</t>
  </si>
  <si>
    <t>Plan MP</t>
  </si>
  <si>
    <t>Present MP</t>
  </si>
  <si>
    <t>Gap vs Plan</t>
  </si>
  <si>
    <t>Attendance %</t>
  </si>
  <si>
    <t>Total Ghee B Shift MP</t>
  </si>
  <si>
    <t>Total Ghee Night MP</t>
  </si>
  <si>
    <t>Total C6 Night MP</t>
  </si>
  <si>
    <t>Total C39 Night MP</t>
  </si>
  <si>
    <t>Supervisors + Executive+AM +HR</t>
  </si>
  <si>
    <t>C39-HK</t>
  </si>
  <si>
    <t>C6-HK</t>
  </si>
  <si>
    <t>Maintenance-C6&amp;C39</t>
  </si>
  <si>
    <t>Admin</t>
  </si>
  <si>
    <t>Lab</t>
  </si>
  <si>
    <t>Project</t>
  </si>
  <si>
    <t>Accounts</t>
  </si>
  <si>
    <t>IT</t>
  </si>
  <si>
    <t>QA</t>
  </si>
  <si>
    <t>TOTAL</t>
  </si>
  <si>
    <t>Positive gap means manpower below plan; negative gap means attendance exceeded plan.</t>
  </si>
  <si>
    <t>KPI KEY &amp; FILTER GUIDE</t>
  </si>
  <si>
    <t>ON PLAN
≥95%</t>
  </si>
  <si>
    <t>WATCH
85–94.9%</t>
  </si>
  <si>
    <t>ACTION
&lt;85%</t>
  </si>
  <si>
    <t>Date updates the complete dashboard. Category, Plant and Section refine KPI cards and charts. Select All for the full workforce view.</t>
  </si>
  <si>
    <t>Gap vs Plan: positive = shortage | negative = attendance above plan | OT and Approved Leave are organization-wide Daily Tracker measures.</t>
  </si>
  <si>
    <t>Over sections:</t>
  </si>
  <si>
    <t>Plan (MP)</t>
  </si>
  <si>
    <t xml:space="preserve"> B Shift MP Total Ghee</t>
  </si>
  <si>
    <t>Night MP Total Ghee</t>
  </si>
  <si>
    <t>Production Sub Total</t>
  </si>
  <si>
    <t>Support Sub Total</t>
  </si>
  <si>
    <t>Week Off, PH, DP</t>
  </si>
  <si>
    <t>Variance vs Plan</t>
  </si>
  <si>
    <t>—</t>
  </si>
  <si>
    <t>Ab %</t>
  </si>
  <si>
    <t xml:space="preserve">Approved Leave </t>
  </si>
  <si>
    <t>OT</t>
  </si>
  <si>
    <t>OT in Hours/Adhoc MP</t>
  </si>
  <si>
    <t>Total Ghee OT</t>
  </si>
  <si>
    <t>Total C6 OT</t>
  </si>
  <si>
    <t>Total C39 OT</t>
  </si>
  <si>
    <t>Total Maintanance OT</t>
  </si>
  <si>
    <t>Day Type (W / OFF)</t>
  </si>
  <si>
    <t>OFF</t>
  </si>
  <si>
    <t>Non Ghee Production(PKT)</t>
  </si>
  <si>
    <t>Ghee Production(PKT)</t>
  </si>
  <si>
    <t>Prod sub total</t>
  </si>
  <si>
    <t>Other sec</t>
  </si>
  <si>
    <t>OT days</t>
  </si>
  <si>
    <t>Sum</t>
  </si>
  <si>
    <t>salary</t>
  </si>
  <si>
    <t>aaradhya + vaibhav * 5 week offs + 1 PH</t>
  </si>
  <si>
    <t>Sum of sheed incl diff week off</t>
  </si>
  <si>
    <t>Diff</t>
  </si>
  <si>
    <t>Sanjiv Jha</t>
  </si>
  <si>
    <t>FInal diff</t>
  </si>
  <si>
    <t>MP with current Automation</t>
  </si>
  <si>
    <t>Male</t>
  </si>
  <si>
    <t>Female</t>
  </si>
  <si>
    <t>Sub Total</t>
  </si>
  <si>
    <t>Support Team</t>
  </si>
  <si>
    <t>Total</t>
  </si>
  <si>
    <t>MP Weekly Tracking — July 2026 (Production only)</t>
  </si>
  <si>
    <t>Metric</t>
  </si>
  <si>
    <t>Week 1</t>
  </si>
  <si>
    <t>Week 2</t>
  </si>
  <si>
    <t>Week 3</t>
  </si>
  <si>
    <t>Week 4</t>
  </si>
  <si>
    <t>Week 5</t>
  </si>
  <si>
    <t>MTD (Jul)</t>
  </si>
  <si>
    <t>Start Date</t>
  </si>
  <si>
    <t>End Date</t>
  </si>
  <si>
    <t>Working Days Counted</t>
  </si>
  <si>
    <t>Plan MP (per day) – Production</t>
  </si>
  <si>
    <t>Avg Production MP Present</t>
  </si>
  <si>
    <t>Avg Production MP Absent</t>
  </si>
  <si>
    <t>Absent %</t>
  </si>
  <si>
    <t>Approved Leave (all staff)</t>
  </si>
  <si>
    <t>Adhoc MP (Night Shift)</t>
  </si>
  <si>
    <t>OFF days in period</t>
  </si>
  <si>
    <t>MP Split — Present vs Planned (C6 / C39 / Common / FRM)</t>
  </si>
  <si>
    <t>Report Date (today)</t>
  </si>
  <si>
    <t>TODAY'S PRESENT VS PLANNED</t>
  </si>
  <si>
    <t>Planned MP</t>
  </si>
  <si>
    <t>Variance</t>
  </si>
  <si>
    <t>Present %</t>
  </si>
  <si>
    <t>Common</t>
  </si>
  <si>
    <t>Month</t>
  </si>
  <si>
    <t>Days counted</t>
  </si>
  <si>
    <t>MONTHLY AVERAGE — PRESENT VS PLANNED</t>
  </si>
  <si>
    <t>Avg Present MP</t>
  </si>
  <si>
    <t>Helper — daily MP by plant (source: Daily Tracker E:BL)</t>
  </si>
  <si>
    <t>Day Total (all sections)</t>
  </si>
  <si>
    <t>Include in month?</t>
  </si>
  <si>
    <t>Name</t>
  </si>
  <si>
    <t>Designation</t>
  </si>
  <si>
    <t xml:space="preserve">Section </t>
  </si>
  <si>
    <t>Monday</t>
  </si>
  <si>
    <t>Tuesday</t>
  </si>
  <si>
    <t>Wednesday</t>
  </si>
  <si>
    <t>Thursday</t>
  </si>
  <si>
    <t>Friday</t>
  </si>
  <si>
    <t>Saturday</t>
  </si>
  <si>
    <t>Sunday</t>
  </si>
  <si>
    <t>Aniket Sutar</t>
  </si>
  <si>
    <t>Supervisors</t>
  </si>
  <si>
    <t>09:00-17:30</t>
  </si>
  <si>
    <t>Off</t>
  </si>
  <si>
    <t>Ganesh Dongare</t>
  </si>
  <si>
    <t>Dhananjay Ranmode</t>
  </si>
  <si>
    <t>Gourav Shelar</t>
  </si>
  <si>
    <t>Executive</t>
  </si>
  <si>
    <t>Sushant</t>
  </si>
  <si>
    <t>Pratik Devkar</t>
  </si>
  <si>
    <t>Shriram Dhaigude</t>
  </si>
  <si>
    <t>Prashik</t>
  </si>
  <si>
    <t>MIS</t>
  </si>
  <si>
    <t>Ganesh Katkar</t>
  </si>
  <si>
    <t>Payal</t>
  </si>
  <si>
    <t>Dairy</t>
  </si>
  <si>
    <t>Sambhav</t>
  </si>
  <si>
    <t>Amey Sinde</t>
  </si>
  <si>
    <t>Ganesh Sonar</t>
  </si>
  <si>
    <t>Govind</t>
  </si>
  <si>
    <t>AM</t>
  </si>
  <si>
    <t>Samarth Sancheti</t>
  </si>
  <si>
    <t>Pranav</t>
  </si>
  <si>
    <t>Production Controller</t>
  </si>
  <si>
    <t>HO</t>
  </si>
  <si>
    <t>Shekhar</t>
  </si>
  <si>
    <t>Data Anlyst</t>
  </si>
  <si>
    <t>Sampat</t>
  </si>
  <si>
    <t>HR</t>
  </si>
  <si>
    <t>Samadhan</t>
  </si>
  <si>
    <t xml:space="preserve">Abhishek </t>
  </si>
  <si>
    <t>DGM</t>
  </si>
  <si>
    <t>Asim Bagwan</t>
  </si>
  <si>
    <t>Miller</t>
  </si>
  <si>
    <t>Standard MP</t>
  </si>
  <si>
    <t>OT in Hours</t>
  </si>
  <si>
    <t xml:space="preserve">Absent </t>
  </si>
  <si>
    <t>Absent MP</t>
  </si>
  <si>
    <t>Planned</t>
  </si>
  <si>
    <t>Avg Present</t>
  </si>
  <si>
    <t>Avg Absent</t>
  </si>
  <si>
    <t>Approved Leave</t>
  </si>
  <si>
    <t>Supply/ Dispatch</t>
  </si>
  <si>
    <t>C6 Row Agri (millet)</t>
  </si>
  <si>
    <t>Total Present MP :</t>
  </si>
  <si>
    <t>Total Absent MP :</t>
  </si>
  <si>
    <t>Total Approved Leave MP :</t>
  </si>
  <si>
    <t>Total OT Ghee :</t>
  </si>
  <si>
    <t>Total OT C6 :</t>
  </si>
  <si>
    <t>Total OT C39 :</t>
  </si>
  <si>
    <t>Total OT Maintenance :</t>
  </si>
  <si>
    <t>Overall Average</t>
  </si>
  <si>
    <t>Total B Shift MP Ghee  :</t>
  </si>
  <si>
    <t>Total Night MP Ghee  :</t>
  </si>
  <si>
    <t>Total Night MP C6  :</t>
  </si>
  <si>
    <t>Total Night MP C39  :</t>
  </si>
  <si>
    <t>Factory</t>
  </si>
  <si>
    <t>RM/PM &amp; FG WH</t>
  </si>
  <si>
    <t>Date:</t>
  </si>
  <si>
    <t>Standard</t>
  </si>
  <si>
    <t>Total Present</t>
  </si>
  <si>
    <t>Total Absent</t>
  </si>
  <si>
    <t>Remark</t>
  </si>
  <si>
    <t>C6 Atta grinding 1</t>
  </si>
  <si>
    <t>C6 Atta grinding 2</t>
  </si>
  <si>
    <t>KPA Atta Blending</t>
  </si>
  <si>
    <t>Atta Packing</t>
  </si>
  <si>
    <t>Millet</t>
  </si>
  <si>
    <t xml:space="preserve">Oil Extraction </t>
  </si>
  <si>
    <t>Oil Packing</t>
  </si>
  <si>
    <t>KPA Batch Preperation</t>
  </si>
  <si>
    <t>Night</t>
  </si>
  <si>
    <t>Printer &amp; Store</t>
  </si>
  <si>
    <t>Total B Shift Ghee MP</t>
  </si>
  <si>
    <t>Total C39 NIght MP</t>
  </si>
  <si>
    <t>Total MP</t>
  </si>
  <si>
    <t>OT in Hrs</t>
  </si>
  <si>
    <t>Total Maintenance OT</t>
  </si>
  <si>
    <t>Total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</si>
</sst>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\+0;\-0;0"/>
    <numFmt numFmtId="165" formatCode="dd\-mmm"/>
    <numFmt numFmtId="166" formatCode="[$-409]d\-mmm;@"/>
    <numFmt numFmtId="167" formatCode="0.0"/>
    <numFmt numFmtId="168" formatCode="_(* #,##0_);_(* \(#,##0\);_(* &quot;-&quot;??_);_(@_)"/>
    <numFmt numFmtId="169" formatCode="#,##0;\-#,##0;&quot;—&quot;"/>
    <numFmt numFmtId="170" formatCode="0;;\-"/>
    <numFmt numFmtId="171" formatCode="#,##0;\(#,##0\);\-"/>
    <numFmt numFmtId="172" formatCode="0.0%;\(0.0%\);\-"/>
    <numFmt numFmtId="173" formatCode="_(* #,##0.0_);_(* \(#,##0.0\);_(* &quot;-&quot;??_);_(@_)"/>
    <numFmt numFmtId="174" formatCode="dd\-mmm\-yyyy"/>
    <numFmt numFmtId="175" formatCode="0;\(0\);\-"/>
    <numFmt numFmtId="176" formatCode="0.0%"/>
    <numFmt numFmtId="177" formatCode="mmm\-yyyy"/>
    <numFmt numFmtId="178" formatCode="0.0;\(0.0\);\-"/>
    <numFmt numFmtId="179" formatCode="#,##0;[Red]\-#,##0"/>
  </numFmts>
  <fonts count="3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i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00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theme="1"/>
      <name val="Aptos Narrow"/>
      <family val="2"/>
      <scheme val="minor"/>
    </font>
    <font>
      <b/>
      <sz val="10"/>
      <color rgb="FF80808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</font>
    <font>
      <sz val="12"/>
      <color theme="1"/>
      <name val="Calibri"/>
    </font>
    <font>
      <b/>
      <sz val="14"/>
      <color theme="1"/>
      <name val="Calibri"/>
      <family val="2"/>
    </font>
    <font>
      <b/>
      <sz val="11"/>
      <color rgb="FF0B2638"/>
      <name val="Aptos Narrow"/>
      <family val="2"/>
      <scheme val="minor"/>
    </font>
    <font>
      <sz val="11"/>
      <color rgb="FF334E68"/>
      <name val="Aptos Narrow"/>
      <family val="2"/>
      <scheme val="minor"/>
    </font>
    <font>
      <i/>
      <sz val="11"/>
      <color rgb="FF334E68"/>
      <name val="Aptos Narrow"/>
      <family val="2"/>
      <scheme val="minor"/>
    </font>
    <font>
      <b/>
      <sz val="11"/>
      <color rgb="FF0F4C5C"/>
      <name val="Aptos Narrow"/>
      <family val="2"/>
      <scheme val="minor"/>
    </font>
    <font>
      <b/>
      <sz val="21"/>
      <color rgb="FF102A43"/>
      <name val="Aptos Narrow"/>
      <family val="2"/>
      <scheme val="minor"/>
    </font>
    <font>
      <b/>
      <sz val="11"/>
      <color rgb="FFEAF7F6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6A4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DFAE6"/>
        <bgColor indexed="64"/>
      </patternFill>
    </fill>
    <fill>
      <patternFill patternType="solid">
        <fgColor rgb="FFF1FAF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5EB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8EC"/>
        <bgColor indexed="64"/>
      </patternFill>
    </fill>
    <fill>
      <patternFill patternType="solid">
        <fgColor rgb="FF102A43"/>
        <bgColor indexed="64"/>
      </patternFill>
    </fill>
    <fill>
      <patternFill patternType="solid">
        <fgColor rgb="FFEAF7F6"/>
        <bgColor indexed="64"/>
      </patternFill>
    </fill>
    <fill>
      <patternFill patternType="solid">
        <fgColor rgb="FF0B2638"/>
        <bgColor indexed="64"/>
      </patternFill>
    </fill>
    <fill>
      <patternFill patternType="solid">
        <fgColor rgb="FF2EAD73"/>
        <bgColor indexed="64"/>
      </patternFill>
    </fill>
    <fill>
      <patternFill patternType="solid">
        <fgColor rgb="FFF4B942"/>
        <bgColor indexed="64"/>
      </patternFill>
    </fill>
    <fill>
      <patternFill patternType="solid">
        <fgColor rgb="FFE45756"/>
        <bgColor indexed="64"/>
      </patternFill>
    </fill>
    <fill>
      <patternFill patternType="solid">
        <fgColor rgb="FFEAF0F3"/>
        <bgColor indexed="64"/>
      </patternFill>
    </fill>
    <fill>
      <patternFill patternType="solid">
        <fgColor rgb="FFD9E7EC"/>
        <bgColor indexed="64"/>
      </patternFill>
    </fill>
    <fill>
      <patternFill patternType="solid">
        <fgColor rgb="FFDCEFF0"/>
        <bgColor indexed="64"/>
      </patternFill>
    </fill>
    <fill>
      <patternFill patternType="solid">
        <fgColor rgb="FF486581"/>
        <bgColor indexed="64"/>
      </patternFill>
    </fill>
    <fill>
      <patternFill patternType="solid">
        <fgColor rgb="FFE8EEF3"/>
        <bgColor indexed="64"/>
      </patternFill>
    </fill>
    <fill>
      <patternFill patternType="solid">
        <fgColor rgb="FF0F8B8D"/>
        <bgColor indexed="64"/>
      </patternFill>
    </fill>
    <fill>
      <patternFill patternType="solid">
        <fgColor rgb="FFDDF3F1"/>
        <bgColor indexed="64"/>
      </patternFill>
    </fill>
    <fill>
      <patternFill patternType="solid">
        <fgColor rgb="FFE76F51"/>
        <bgColor indexed="64"/>
      </patternFill>
    </fill>
    <fill>
      <patternFill patternType="solid">
        <fgColor rgb="FFFBE6E1"/>
        <bgColor indexed="64"/>
      </patternFill>
    </fill>
    <fill>
      <patternFill patternType="solid">
        <fgColor rgb="FFE0F3E9"/>
        <bgColor indexed="64"/>
      </patternFill>
    </fill>
    <fill>
      <patternFill patternType="solid">
        <fgColor rgb="FF5B6FB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1D6F8A"/>
        <bgColor indexed="64"/>
      </patternFill>
    </fill>
    <fill>
      <patternFill patternType="solid">
        <fgColor rgb="FFE1F0F5"/>
        <bgColor indexed="64"/>
      </patternFill>
    </fill>
    <fill>
      <patternFill patternType="solid">
        <fgColor rgb="FF577590"/>
        <bgColor indexed="64"/>
      </patternFill>
    </fill>
    <fill>
      <patternFill patternType="solid">
        <fgColor rgb="FFE7EDF1"/>
        <bgColor indexed="64"/>
      </patternFill>
    </fill>
    <fill>
      <patternFill patternType="solid">
        <fgColor rgb="FF8E6CBB"/>
        <bgColor indexed="64"/>
      </patternFill>
    </fill>
    <fill>
      <patternFill patternType="solid">
        <fgColor rgb="FFEEE8F5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DFF2EF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CECD8"/>
        <bgColor indexed="64"/>
      </patternFill>
    </fill>
    <fill>
      <patternFill patternType="solid">
        <fgColor rgb="FF163B50"/>
        <bgColor indexed="64"/>
      </patternFill>
    </fill>
    <fill>
      <patternFill patternType="solid">
        <fgColor rgb="FF7030A0"/>
        <bgColor indexed="64"/>
      </patternFill>
    </fill>
  </fills>
  <borders count="9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1F4E79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/>
      <diagonal/>
    </border>
    <border>
      <left style="thin">
        <color rgb="FFBFBFBF"/>
      </left>
      <right style="thin">
        <color rgb="FFBFBFBF"/>
      </right>
      <top style="medium">
        <color rgb="FF1F4E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1F4E79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 style="medium">
        <color rgb="FF1F4E79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rgb="FF1F4E79"/>
      </bottom>
      <diagonal/>
    </border>
    <border>
      <left style="medium">
        <color rgb="FF1F4E79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medium">
        <color rgb="FF1F4E79"/>
      </left>
      <right style="thin">
        <color rgb="FFBDD7EE"/>
      </right>
      <top style="medium">
        <color rgb="FF1F4E79"/>
      </top>
      <bottom style="medium">
        <color rgb="FF1F4E79"/>
      </bottom>
      <diagonal/>
    </border>
    <border>
      <left style="thin">
        <color rgb="FFBDD7EE"/>
      </left>
      <right style="thin">
        <color rgb="FFBDD7EE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medium">
        <color rgb="FF1F4E79"/>
      </left>
      <right style="thin">
        <color rgb="FFBDD7EE"/>
      </right>
      <top/>
      <bottom style="medium">
        <color rgb="FF1F4E79"/>
      </bottom>
      <diagonal/>
    </border>
    <border>
      <left style="thin">
        <color rgb="FFBDD7EE"/>
      </left>
      <right style="thin">
        <color rgb="FFBDD7EE"/>
      </right>
      <top/>
      <bottom style="medium">
        <color rgb="FF1F4E79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/>
      <right style="thin">
        <color rgb="FFBFBFBF"/>
      </right>
      <top style="medium">
        <color rgb="FF1F4E79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4E79"/>
      </left>
      <right style="thin">
        <color rgb="FFBFBFBF"/>
      </right>
      <top/>
      <bottom style="medium">
        <color rgb="FF1F4E79"/>
      </bottom>
      <diagonal/>
    </border>
    <border>
      <left/>
      <right style="thin">
        <color rgb="FFBFBFBF"/>
      </right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/>
      <bottom style="medium">
        <color rgb="FF1F4E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BFBFBF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000000"/>
      </top>
      <bottom style="thin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000000"/>
      </top>
      <bottom style="thin">
        <color theme="0" tint="-4.9989318521683403E-2"/>
      </bottom>
      <diagonal/>
    </border>
    <border>
      <left/>
      <right/>
      <top style="thin">
        <color rgb="FFC9D7DE"/>
      </top>
      <bottom style="thin">
        <color rgb="FFE3EAEE"/>
      </bottom>
      <diagonal/>
    </border>
    <border>
      <left/>
      <right/>
      <top style="thin">
        <color rgb="FFE3EAEE"/>
      </top>
      <bottom style="thin">
        <color rgb="FFE3EAEE"/>
      </bottom>
      <diagonal/>
    </border>
    <border>
      <left/>
      <right/>
      <top style="thin">
        <color rgb="FFE3EAEE"/>
      </top>
      <bottom style="thin">
        <color rgb="FFC9D7DE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343">
    <xf numFmtId="0" fontId="0" fillId="0" borderId="0" xfId="0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7" borderId="5" xfId="0" applyFill="1" applyBorder="1"/>
    <xf numFmtId="0" fontId="0" fillId="7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0" fillId="7" borderId="7" xfId="0" applyFill="1" applyBorder="1"/>
    <xf numFmtId="0" fontId="0" fillId="7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left"/>
    </xf>
    <xf numFmtId="0" fontId="4" fillId="10" borderId="13" xfId="0" applyFont="1" applyFill="1" applyBorder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center"/>
    </xf>
    <xf numFmtId="16" fontId="4" fillId="10" borderId="7" xfId="0" applyNumberFormat="1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4" fillId="12" borderId="0" xfId="0" applyFont="1" applyFill="1"/>
    <xf numFmtId="165" fontId="0" fillId="0" borderId="0" xfId="0" applyNumberFormat="1"/>
    <xf numFmtId="0" fontId="2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 indent="2"/>
    </xf>
    <xf numFmtId="0" fontId="5" fillId="11" borderId="1" xfId="0" applyFont="1" applyFill="1" applyBorder="1" applyAlignment="1">
      <alignment horizontal="center" vertical="center" wrapText="1" indent="2"/>
    </xf>
    <xf numFmtId="16" fontId="5" fillId="11" borderId="1" xfId="0" applyNumberFormat="1" applyFont="1" applyFill="1" applyBorder="1" applyAlignment="1">
      <alignment horizontal="center" vertical="center" wrapText="1" indent="2"/>
    </xf>
    <xf numFmtId="0" fontId="0" fillId="0" borderId="0" xfId="0" applyAlignment="1">
      <alignment horizontal="center" vertical="center" wrapText="1" indent="2"/>
    </xf>
    <xf numFmtId="0" fontId="4" fillId="4" borderId="1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wrapText="1"/>
    </xf>
    <xf numFmtId="0" fontId="2" fillId="0" borderId="15" xfId="0" applyFont="1" applyBorder="1"/>
    <xf numFmtId="0" fontId="7" fillId="0" borderId="0" xfId="0" applyFont="1"/>
    <xf numFmtId="0" fontId="7" fillId="14" borderId="17" xfId="0" applyFont="1" applyFill="1" applyBorder="1" applyAlignment="1">
      <alignment horizontal="left"/>
    </xf>
    <xf numFmtId="0" fontId="7" fillId="14" borderId="17" xfId="0" applyFont="1" applyFill="1" applyBorder="1" applyAlignment="1">
      <alignment horizontal="center"/>
    </xf>
    <xf numFmtId="0" fontId="7" fillId="14" borderId="17" xfId="0" applyFont="1" applyFill="1" applyBorder="1" applyAlignment="1">
      <alignment horizontal="center" vertical="center" wrapText="1"/>
    </xf>
    <xf numFmtId="0" fontId="7" fillId="17" borderId="17" xfId="0" applyFont="1" applyFill="1" applyBorder="1" applyAlignment="1">
      <alignment horizontal="left"/>
    </xf>
    <xf numFmtId="0" fontId="7" fillId="17" borderId="17" xfId="0" applyFont="1" applyFill="1" applyBorder="1" applyAlignment="1">
      <alignment horizontal="center"/>
    </xf>
    <xf numFmtId="0" fontId="7" fillId="17" borderId="17" xfId="0" applyFont="1" applyFill="1" applyBorder="1" applyAlignment="1">
      <alignment horizontal="center" vertical="center" wrapText="1"/>
    </xf>
    <xf numFmtId="0" fontId="7" fillId="14" borderId="21" xfId="0" applyFont="1" applyFill="1" applyBorder="1" applyAlignment="1">
      <alignment horizontal="left"/>
    </xf>
    <xf numFmtId="0" fontId="7" fillId="14" borderId="21" xfId="0" applyFont="1" applyFill="1" applyBorder="1" applyAlignment="1">
      <alignment horizontal="center"/>
    </xf>
    <xf numFmtId="0" fontId="7" fillId="14" borderId="2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7" fillId="14" borderId="25" xfId="0" applyFont="1" applyFill="1" applyBorder="1" applyAlignment="1">
      <alignment horizontal="left"/>
    </xf>
    <xf numFmtId="0" fontId="7" fillId="14" borderId="25" xfId="0" applyFont="1" applyFill="1" applyBorder="1" applyAlignment="1">
      <alignment horizontal="center"/>
    </xf>
    <xf numFmtId="0" fontId="7" fillId="14" borderId="25" xfId="0" applyFont="1" applyFill="1" applyBorder="1" applyAlignment="1">
      <alignment horizontal="center" vertical="center" wrapText="1"/>
    </xf>
    <xf numFmtId="0" fontId="8" fillId="15" borderId="24" xfId="0" applyFont="1" applyFill="1" applyBorder="1" applyAlignment="1">
      <alignment vertical="center"/>
    </xf>
    <xf numFmtId="0" fontId="8" fillId="15" borderId="25" xfId="0" applyFont="1" applyFill="1" applyBorder="1" applyAlignment="1">
      <alignment horizontal="left"/>
    </xf>
    <xf numFmtId="0" fontId="8" fillId="15" borderId="25" xfId="0" applyFont="1" applyFill="1" applyBorder="1" applyAlignment="1">
      <alignment horizontal="center"/>
    </xf>
    <xf numFmtId="0" fontId="7" fillId="17" borderId="21" xfId="0" applyFont="1" applyFill="1" applyBorder="1" applyAlignment="1">
      <alignment horizontal="left"/>
    </xf>
    <xf numFmtId="0" fontId="7" fillId="17" borderId="21" xfId="0" applyFont="1" applyFill="1" applyBorder="1" applyAlignment="1">
      <alignment horizontal="center"/>
    </xf>
    <xf numFmtId="0" fontId="7" fillId="17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vertical="center"/>
    </xf>
    <xf numFmtId="0" fontId="10" fillId="3" borderId="23" xfId="0" applyFont="1" applyFill="1" applyBorder="1" applyAlignment="1">
      <alignment horizontal="left"/>
    </xf>
    <xf numFmtId="0" fontId="7" fillId="3" borderId="23" xfId="0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 wrapText="1"/>
    </xf>
    <xf numFmtId="0" fontId="7" fillId="17" borderId="25" xfId="0" applyFont="1" applyFill="1" applyBorder="1" applyAlignment="1">
      <alignment horizontal="left"/>
    </xf>
    <xf numFmtId="0" fontId="7" fillId="17" borderId="25" xfId="0" applyFont="1" applyFill="1" applyBorder="1" applyAlignment="1">
      <alignment horizontal="center"/>
    </xf>
    <xf numFmtId="0" fontId="7" fillId="17" borderId="25" xfId="0" applyFont="1" applyFill="1" applyBorder="1" applyAlignment="1">
      <alignment horizontal="center" vertical="center" wrapText="1"/>
    </xf>
    <xf numFmtId="0" fontId="8" fillId="2" borderId="26" xfId="0" applyFont="1" applyFill="1" applyBorder="1"/>
    <xf numFmtId="0" fontId="8" fillId="2" borderId="27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center"/>
    </xf>
    <xf numFmtId="0" fontId="8" fillId="18" borderId="18" xfId="0" applyFont="1" applyFill="1" applyBorder="1"/>
    <xf numFmtId="0" fontId="8" fillId="18" borderId="19" xfId="0" applyFont="1" applyFill="1" applyBorder="1" applyAlignment="1">
      <alignment horizontal="left"/>
    </xf>
    <xf numFmtId="0" fontId="8" fillId="18" borderId="19" xfId="0" applyFont="1" applyFill="1" applyBorder="1" applyAlignment="1">
      <alignment horizontal="center"/>
    </xf>
    <xf numFmtId="0" fontId="6" fillId="0" borderId="14" xfId="0" applyFont="1" applyBorder="1"/>
    <xf numFmtId="9" fontId="1" fillId="3" borderId="9" xfId="1" applyFont="1" applyFill="1" applyBorder="1" applyAlignment="1">
      <alignment horizontal="center"/>
    </xf>
    <xf numFmtId="9" fontId="1" fillId="3" borderId="28" xfId="1" applyFont="1" applyFill="1" applyBorder="1" applyAlignment="1">
      <alignment horizontal="center"/>
    </xf>
    <xf numFmtId="16" fontId="4" fillId="10" borderId="29" xfId="0" applyNumberFormat="1" applyFont="1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4" fillId="10" borderId="29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64" fontId="1" fillId="3" borderId="29" xfId="0" applyNumberFormat="1" applyFont="1" applyFill="1" applyBorder="1" applyAlignment="1">
      <alignment horizontal="center"/>
    </xf>
    <xf numFmtId="9" fontId="1" fillId="3" borderId="29" xfId="1" applyFont="1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4" fillId="10" borderId="32" xfId="0" applyFon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4" fillId="10" borderId="33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164" fontId="1" fillId="3" borderId="28" xfId="0" applyNumberFormat="1" applyFont="1" applyFill="1" applyBorder="1" applyAlignment="1">
      <alignment horizontal="center"/>
    </xf>
    <xf numFmtId="16" fontId="5" fillId="11" borderId="34" xfId="0" applyNumberFormat="1" applyFont="1" applyFill="1" applyBorder="1" applyAlignment="1">
      <alignment horizontal="center" vertical="center" wrapText="1" indent="2"/>
    </xf>
    <xf numFmtId="16" fontId="0" fillId="0" borderId="0" xfId="0" applyNumberFormat="1"/>
    <xf numFmtId="1" fontId="1" fillId="3" borderId="29" xfId="1" applyNumberFormat="1" applyFont="1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168" fontId="0" fillId="0" borderId="0" xfId="2" applyNumberFormat="1" applyFont="1"/>
    <xf numFmtId="0" fontId="12" fillId="12" borderId="14" xfId="0" applyFont="1" applyFill="1" applyBorder="1" applyAlignment="1">
      <alignment horizontal="center" vertical="center"/>
    </xf>
    <xf numFmtId="168" fontId="4" fillId="12" borderId="14" xfId="2" applyNumberFormat="1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0" fillId="0" borderId="14" xfId="0" applyBorder="1"/>
    <xf numFmtId="168" fontId="0" fillId="0" borderId="14" xfId="2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1" fillId="0" borderId="14" xfId="0" applyFont="1" applyBorder="1"/>
    <xf numFmtId="167" fontId="1" fillId="0" borderId="14" xfId="2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67" fontId="1" fillId="0" borderId="14" xfId="0" applyNumberFormat="1" applyFont="1" applyBorder="1" applyAlignment="1">
      <alignment horizontal="center"/>
    </xf>
    <xf numFmtId="166" fontId="0" fillId="0" borderId="0" xfId="0" applyNumberFormat="1"/>
    <xf numFmtId="0" fontId="13" fillId="0" borderId="0" xfId="0" applyFont="1"/>
    <xf numFmtId="0" fontId="14" fillId="0" borderId="0" xfId="0" applyFont="1"/>
    <xf numFmtId="0" fontId="1" fillId="3" borderId="0" xfId="0" applyFont="1" applyFill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4" fillId="22" borderId="41" xfId="0" applyFont="1" applyFill="1" applyBorder="1" applyAlignment="1">
      <alignment vertical="center"/>
    </xf>
    <xf numFmtId="0" fontId="0" fillId="0" borderId="9" xfId="0" applyBorder="1" applyAlignment="1">
      <alignment vertical="center"/>
    </xf>
    <xf numFmtId="165" fontId="15" fillId="0" borderId="9" xfId="0" applyNumberFormat="1" applyFont="1" applyBorder="1" applyAlignment="1">
      <alignment vertical="center"/>
    </xf>
    <xf numFmtId="165" fontId="0" fillId="3" borderId="9" xfId="0" applyNumberFormat="1" applyFill="1" applyBorder="1" applyAlignment="1">
      <alignment vertical="center"/>
    </xf>
    <xf numFmtId="0" fontId="0" fillId="0" borderId="5" xfId="0" applyBorder="1" applyAlignment="1">
      <alignment vertical="center"/>
    </xf>
    <xf numFmtId="165" fontId="15" fillId="0" borderId="5" xfId="0" applyNumberFormat="1" applyFont="1" applyBorder="1" applyAlignment="1">
      <alignment vertical="center"/>
    </xf>
    <xf numFmtId="165" fontId="0" fillId="3" borderId="5" xfId="0" applyNumberFormat="1" applyFill="1" applyBorder="1" applyAlignment="1">
      <alignment vertical="center"/>
    </xf>
    <xf numFmtId="170" fontId="0" fillId="0" borderId="5" xfId="0" applyNumberFormat="1" applyBorder="1" applyAlignment="1">
      <alignment vertical="center"/>
    </xf>
    <xf numFmtId="171" fontId="16" fillId="0" borderId="5" xfId="0" applyNumberFormat="1" applyFont="1" applyBorder="1" applyAlignment="1">
      <alignment vertical="center"/>
    </xf>
    <xf numFmtId="0" fontId="1" fillId="24" borderId="5" xfId="0" applyFont="1" applyFill="1" applyBorder="1" applyAlignment="1">
      <alignment vertical="center"/>
    </xf>
    <xf numFmtId="171" fontId="1" fillId="24" borderId="5" xfId="0" applyNumberFormat="1" applyFont="1" applyFill="1" applyBorder="1" applyAlignment="1">
      <alignment vertical="center"/>
    </xf>
    <xf numFmtId="0" fontId="0" fillId="24" borderId="5" xfId="0" applyFill="1" applyBorder="1" applyAlignment="1">
      <alignment vertical="center"/>
    </xf>
    <xf numFmtId="172" fontId="1" fillId="24" borderId="5" xfId="0" applyNumberFormat="1" applyFont="1" applyFill="1" applyBorder="1" applyAlignment="1">
      <alignment vertical="center"/>
    </xf>
    <xf numFmtId="173" fontId="0" fillId="0" borderId="5" xfId="2" applyNumberFormat="1" applyFont="1" applyBorder="1" applyAlignment="1">
      <alignment vertical="center"/>
    </xf>
    <xf numFmtId="168" fontId="0" fillId="0" borderId="5" xfId="2" applyNumberFormat="1" applyFont="1" applyBorder="1" applyAlignment="1">
      <alignment vertical="center"/>
    </xf>
    <xf numFmtId="0" fontId="21" fillId="0" borderId="35" xfId="0" applyFont="1" applyBorder="1" applyAlignment="1">
      <alignment vertical="center"/>
    </xf>
    <xf numFmtId="170" fontId="21" fillId="0" borderId="0" xfId="0" applyNumberFormat="1" applyFont="1" applyAlignment="1">
      <alignment vertical="center"/>
    </xf>
    <xf numFmtId="167" fontId="0" fillId="0" borderId="0" xfId="0" applyNumberFormat="1"/>
    <xf numFmtId="0" fontId="4" fillId="5" borderId="42" xfId="0" applyFont="1" applyFill="1" applyBorder="1" applyAlignment="1">
      <alignment horizontal="center" vertical="center"/>
    </xf>
    <xf numFmtId="0" fontId="4" fillId="10" borderId="47" xfId="0" applyFont="1" applyFill="1" applyBorder="1" applyAlignment="1">
      <alignment horizontal="center"/>
    </xf>
    <xf numFmtId="0" fontId="4" fillId="4" borderId="46" xfId="0" applyFont="1" applyFill="1" applyBorder="1" applyAlignment="1">
      <alignment horizontal="center"/>
    </xf>
    <xf numFmtId="0" fontId="1" fillId="3" borderId="42" xfId="0" applyFont="1" applyFill="1" applyBorder="1"/>
    <xf numFmtId="0" fontId="22" fillId="0" borderId="0" xfId="0" applyFont="1"/>
    <xf numFmtId="0" fontId="1" fillId="0" borderId="0" xfId="0" applyFont="1"/>
    <xf numFmtId="0" fontId="16" fillId="0" borderId="0" xfId="0" applyFont="1"/>
    <xf numFmtId="165" fontId="16" fillId="0" borderId="0" xfId="0" applyNumberFormat="1" applyFont="1"/>
    <xf numFmtId="174" fontId="15" fillId="25" borderId="0" xfId="0" applyNumberFormat="1" applyFont="1" applyFill="1" applyAlignment="1">
      <alignment horizontal="center"/>
    </xf>
    <xf numFmtId="0" fontId="1" fillId="26" borderId="0" xfId="0" applyFont="1" applyFill="1"/>
    <xf numFmtId="0" fontId="1" fillId="26" borderId="0" xfId="0" applyFont="1" applyFill="1" applyAlignment="1">
      <alignment horizontal="center"/>
    </xf>
    <xf numFmtId="175" fontId="0" fillId="0" borderId="0" xfId="0" applyNumberFormat="1"/>
    <xf numFmtId="176" fontId="0" fillId="0" borderId="0" xfId="0" applyNumberFormat="1"/>
    <xf numFmtId="175" fontId="1" fillId="0" borderId="0" xfId="0" applyNumberFormat="1" applyFont="1"/>
    <xf numFmtId="176" fontId="1" fillId="0" borderId="0" xfId="0" applyNumberFormat="1" applyFont="1"/>
    <xf numFmtId="177" fontId="15" fillId="25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178" fontId="0" fillId="0" borderId="0" xfId="0" applyNumberFormat="1"/>
    <xf numFmtId="167" fontId="1" fillId="0" borderId="0" xfId="0" applyNumberFormat="1" applyFont="1"/>
    <xf numFmtId="178" fontId="1" fillId="0" borderId="0" xfId="0" applyNumberFormat="1" applyFont="1"/>
    <xf numFmtId="0" fontId="0" fillId="0" borderId="29" xfId="0" applyBorder="1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 vertical="center"/>
    </xf>
    <xf numFmtId="16" fontId="4" fillId="10" borderId="49" xfId="0" applyNumberFormat="1" applyFont="1" applyFill="1" applyBorder="1" applyAlignment="1">
      <alignment horizontal="center" vertical="center"/>
    </xf>
    <xf numFmtId="16" fontId="4" fillId="10" borderId="50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27" borderId="53" xfId="0" applyFont="1" applyFill="1" applyBorder="1" applyAlignment="1">
      <alignment horizontal="center" vertical="center"/>
    </xf>
    <xf numFmtId="0" fontId="1" fillId="27" borderId="54" xfId="0" applyFont="1" applyFill="1" applyBorder="1" applyAlignment="1">
      <alignment horizontal="center" vertical="center"/>
    </xf>
    <xf numFmtId="0" fontId="0" fillId="29" borderId="51" xfId="0" applyFill="1" applyBorder="1" applyAlignment="1">
      <alignment horizontal="center" vertical="center"/>
    </xf>
    <xf numFmtId="0" fontId="0" fillId="19" borderId="29" xfId="0" applyFill="1" applyBorder="1" applyAlignment="1">
      <alignment horizontal="center" vertical="center"/>
    </xf>
    <xf numFmtId="0" fontId="1" fillId="28" borderId="54" xfId="0" applyFont="1" applyFill="1" applyBorder="1" applyAlignment="1">
      <alignment horizontal="center" vertical="center"/>
    </xf>
    <xf numFmtId="0" fontId="1" fillId="28" borderId="55" xfId="0" applyFont="1" applyFill="1" applyBorder="1" applyAlignment="1">
      <alignment horizontal="center" vertical="center"/>
    </xf>
    <xf numFmtId="0" fontId="9" fillId="22" borderId="37" xfId="0" applyFont="1" applyFill="1" applyBorder="1" applyAlignment="1">
      <alignment horizontal="center" vertical="center"/>
    </xf>
    <xf numFmtId="166" fontId="9" fillId="22" borderId="38" xfId="0" applyNumberFormat="1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left" vertical="center" indent="1"/>
    </xf>
    <xf numFmtId="169" fontId="2" fillId="20" borderId="5" xfId="0" applyNumberFormat="1" applyFont="1" applyFill="1" applyBorder="1" applyAlignment="1">
      <alignment horizontal="center" vertical="center"/>
    </xf>
    <xf numFmtId="169" fontId="2" fillId="21" borderId="39" xfId="0" applyNumberFormat="1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left" vertical="center" wrapText="1" indent="1"/>
    </xf>
    <xf numFmtId="169" fontId="3" fillId="23" borderId="7" xfId="0" applyNumberFormat="1" applyFont="1" applyFill="1" applyBorder="1" applyAlignment="1">
      <alignment horizontal="center" vertical="center"/>
    </xf>
    <xf numFmtId="169" fontId="3" fillId="23" borderId="40" xfId="0" applyNumberFormat="1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9" fontId="0" fillId="0" borderId="0" xfId="0" applyNumberFormat="1"/>
    <xf numFmtId="1" fontId="0" fillId="0" borderId="0" xfId="0" applyNumberFormat="1"/>
    <xf numFmtId="0" fontId="0" fillId="25" borderId="0" xfId="0" applyFill="1"/>
    <xf numFmtId="0" fontId="4" fillId="28" borderId="12" xfId="0" applyFont="1" applyFill="1" applyBorder="1" applyAlignment="1">
      <alignment horizontal="center"/>
    </xf>
    <xf numFmtId="0" fontId="4" fillId="28" borderId="47" xfId="0" applyFont="1" applyFill="1" applyBorder="1" applyAlignment="1">
      <alignment horizontal="center"/>
    </xf>
    <xf numFmtId="0" fontId="4" fillId="28" borderId="13" xfId="0" applyFont="1" applyFill="1" applyBorder="1" applyAlignment="1">
      <alignment horizontal="center"/>
    </xf>
    <xf numFmtId="0" fontId="1" fillId="28" borderId="13" xfId="0" applyFont="1" applyFill="1" applyBorder="1" applyAlignment="1">
      <alignment horizontal="left"/>
    </xf>
    <xf numFmtId="0" fontId="23" fillId="28" borderId="13" xfId="0" applyFont="1" applyFill="1" applyBorder="1" applyAlignment="1">
      <alignment horizontal="center" vertical="center"/>
    </xf>
    <xf numFmtId="0" fontId="23" fillId="28" borderId="13" xfId="0" applyFont="1" applyFill="1" applyBorder="1" applyAlignment="1">
      <alignment horizontal="center"/>
    </xf>
    <xf numFmtId="0" fontId="23" fillId="28" borderId="33" xfId="0" applyFont="1" applyFill="1" applyBorder="1" applyAlignment="1">
      <alignment horizontal="center"/>
    </xf>
    <xf numFmtId="0" fontId="23" fillId="28" borderId="29" xfId="0" applyFont="1" applyFill="1" applyBorder="1" applyAlignment="1">
      <alignment horizontal="center"/>
    </xf>
    <xf numFmtId="0" fontId="4" fillId="11" borderId="34" xfId="0" applyFont="1" applyFill="1" applyBorder="1" applyAlignment="1">
      <alignment horizontal="center" vertical="center" wrapText="1" indent="2"/>
    </xf>
    <xf numFmtId="0" fontId="5" fillId="11" borderId="34" xfId="0" applyFont="1" applyFill="1" applyBorder="1" applyAlignment="1">
      <alignment horizontal="center" vertical="center" wrapText="1" indent="2"/>
    </xf>
    <xf numFmtId="16" fontId="5" fillId="11" borderId="56" xfId="0" applyNumberFormat="1" applyFont="1" applyFill="1" applyBorder="1" applyAlignment="1">
      <alignment horizontal="center" vertical="center" wrapText="1" indent="2"/>
    </xf>
    <xf numFmtId="16" fontId="5" fillId="11" borderId="57" xfId="0" applyNumberFormat="1" applyFont="1" applyFill="1" applyBorder="1" applyAlignment="1">
      <alignment horizontal="center" vertical="center" wrapText="1" indent="2"/>
    </xf>
    <xf numFmtId="0" fontId="1" fillId="28" borderId="29" xfId="0" applyFont="1" applyFill="1" applyBorder="1" applyAlignment="1">
      <alignment horizontal="center" vertical="center"/>
    </xf>
    <xf numFmtId="0" fontId="1" fillId="28" borderId="59" xfId="0" applyFont="1" applyFill="1" applyBorder="1" applyAlignment="1">
      <alignment horizontal="center" vertical="center"/>
    </xf>
    <xf numFmtId="0" fontId="1" fillId="28" borderId="58" xfId="0" applyFont="1" applyFill="1" applyBorder="1" applyAlignment="1">
      <alignment horizontal="center" vertical="center"/>
    </xf>
    <xf numFmtId="0" fontId="1" fillId="28" borderId="57" xfId="0" applyFont="1" applyFill="1" applyBorder="1" applyAlignment="1">
      <alignment horizontal="center" vertical="center"/>
    </xf>
    <xf numFmtId="0" fontId="1" fillId="28" borderId="29" xfId="0" applyFont="1" applyFill="1" applyBorder="1"/>
    <xf numFmtId="0" fontId="1" fillId="19" borderId="29" xfId="0" applyFont="1" applyFill="1" applyBorder="1" applyAlignment="1">
      <alignment horizontal="center" vertical="center"/>
    </xf>
    <xf numFmtId="169" fontId="28" fillId="0" borderId="0" xfId="0" applyNumberFormat="1" applyFont="1" applyAlignment="1">
      <alignment horizontal="right" vertical="center"/>
    </xf>
    <xf numFmtId="0" fontId="24" fillId="30" borderId="29" xfId="0" applyFont="1" applyFill="1" applyBorder="1" applyAlignment="1">
      <alignment horizontal="center" vertical="center"/>
    </xf>
    <xf numFmtId="0" fontId="1" fillId="19" borderId="59" xfId="0" applyFont="1" applyFill="1" applyBorder="1" applyAlignment="1">
      <alignment horizontal="center" vertical="center"/>
    </xf>
    <xf numFmtId="0" fontId="4" fillId="10" borderId="60" xfId="0" applyFont="1" applyFill="1" applyBorder="1" applyAlignment="1">
      <alignment horizontal="center"/>
    </xf>
    <xf numFmtId="0" fontId="4" fillId="10" borderId="61" xfId="0" applyFont="1" applyFill="1" applyBorder="1" applyAlignment="1">
      <alignment horizontal="center"/>
    </xf>
    <xf numFmtId="0" fontId="4" fillId="10" borderId="62" xfId="0" applyFont="1" applyFill="1" applyBorder="1" applyAlignment="1">
      <alignment horizontal="left"/>
    </xf>
    <xf numFmtId="0" fontId="4" fillId="10" borderId="62" xfId="0" applyFont="1" applyFill="1" applyBorder="1" applyAlignment="1">
      <alignment horizontal="center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2" fillId="0" borderId="64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0" fillId="0" borderId="70" xfId="0" applyBorder="1"/>
    <xf numFmtId="0" fontId="0" fillId="0" borderId="69" xfId="0" applyBorder="1"/>
    <xf numFmtId="0" fontId="0" fillId="0" borderId="71" xfId="0" applyBorder="1"/>
    <xf numFmtId="0" fontId="2" fillId="0" borderId="80" xfId="0" applyFont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0" fillId="0" borderId="80" xfId="0" applyBorder="1"/>
    <xf numFmtId="0" fontId="2" fillId="0" borderId="66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7" fillId="0" borderId="75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5" fillId="32" borderId="83" xfId="0" applyFont="1" applyFill="1" applyBorder="1" applyAlignment="1">
      <alignment horizontal="center" vertical="center"/>
    </xf>
    <xf numFmtId="0" fontId="25" fillId="32" borderId="83" xfId="0" applyFont="1" applyFill="1" applyBorder="1" applyAlignment="1">
      <alignment horizontal="center"/>
    </xf>
    <xf numFmtId="0" fontId="3" fillId="32" borderId="78" xfId="0" applyFont="1" applyFill="1" applyBorder="1" applyAlignment="1">
      <alignment horizontal="center"/>
    </xf>
    <xf numFmtId="0" fontId="3" fillId="32" borderId="79" xfId="0" applyFont="1" applyFill="1" applyBorder="1" applyAlignment="1">
      <alignment horizontal="center"/>
    </xf>
    <xf numFmtId="0" fontId="0" fillId="32" borderId="78" xfId="0" applyFill="1" applyBorder="1"/>
    <xf numFmtId="0" fontId="27" fillId="32" borderId="83" xfId="0" applyFont="1" applyFill="1" applyBorder="1" applyAlignment="1">
      <alignment horizontal="center" vertical="center"/>
    </xf>
    <xf numFmtId="0" fontId="0" fillId="32" borderId="79" xfId="0" applyFill="1" applyBorder="1"/>
    <xf numFmtId="0" fontId="13" fillId="32" borderId="83" xfId="0" applyFont="1" applyFill="1" applyBorder="1" applyAlignment="1">
      <alignment horizontal="center" vertical="center"/>
    </xf>
    <xf numFmtId="0" fontId="30" fillId="19" borderId="73" xfId="0" applyFont="1" applyFill="1" applyBorder="1" applyAlignment="1">
      <alignment horizontal="center"/>
    </xf>
    <xf numFmtId="0" fontId="3" fillId="19" borderId="67" xfId="0" applyFont="1" applyFill="1" applyBorder="1" applyAlignment="1">
      <alignment horizontal="center"/>
    </xf>
    <xf numFmtId="0" fontId="3" fillId="19" borderId="0" xfId="0" applyFont="1" applyFill="1" applyAlignment="1">
      <alignment horizontal="center"/>
    </xf>
    <xf numFmtId="0" fontId="0" fillId="19" borderId="67" xfId="0" applyFill="1" applyBorder="1"/>
    <xf numFmtId="0" fontId="0" fillId="6" borderId="42" xfId="0" applyFill="1" applyBorder="1"/>
    <xf numFmtId="0" fontId="0" fillId="6" borderId="43" xfId="0" applyFill="1" applyBorder="1"/>
    <xf numFmtId="0" fontId="0" fillId="6" borderId="44" xfId="0" applyFill="1" applyBorder="1"/>
    <xf numFmtId="0" fontId="0" fillId="6" borderId="45" xfId="0" applyFill="1" applyBorder="1"/>
    <xf numFmtId="0" fontId="24" fillId="30" borderId="59" xfId="0" applyFont="1" applyFill="1" applyBorder="1" applyAlignment="1">
      <alignment vertical="center"/>
    </xf>
    <xf numFmtId="0" fontId="4" fillId="4" borderId="47" xfId="0" applyFont="1" applyFill="1" applyBorder="1" applyAlignment="1">
      <alignment horizontal="center"/>
    </xf>
    <xf numFmtId="0" fontId="4" fillId="4" borderId="87" xfId="0" applyFont="1" applyFill="1" applyBorder="1" applyAlignment="1">
      <alignment horizontal="center" vertical="center"/>
    </xf>
    <xf numFmtId="0" fontId="4" fillId="4" borderId="88" xfId="0" applyFont="1" applyFill="1" applyBorder="1" applyAlignment="1">
      <alignment horizontal="center" vertical="center"/>
    </xf>
    <xf numFmtId="0" fontId="4" fillId="4" borderId="89" xfId="0" applyFont="1" applyFill="1" applyBorder="1" applyAlignment="1">
      <alignment horizontal="center" vertical="center"/>
    </xf>
    <xf numFmtId="0" fontId="4" fillId="0" borderId="0" xfId="0" applyFont="1"/>
    <xf numFmtId="168" fontId="0" fillId="0" borderId="0" xfId="2" applyNumberFormat="1" applyFont="1" applyFill="1"/>
    <xf numFmtId="0" fontId="25" fillId="32" borderId="75" xfId="0" applyFont="1" applyFill="1" applyBorder="1" applyAlignment="1">
      <alignment horizontal="center" vertical="center"/>
    </xf>
    <xf numFmtId="0" fontId="26" fillId="29" borderId="75" xfId="0" applyFont="1" applyFill="1" applyBorder="1" applyAlignment="1">
      <alignment horizontal="center" vertical="center"/>
    </xf>
    <xf numFmtId="0" fontId="27" fillId="29" borderId="75" xfId="0" applyFont="1" applyFill="1" applyBorder="1" applyAlignment="1">
      <alignment horizontal="center" vertical="center"/>
    </xf>
    <xf numFmtId="0" fontId="27" fillId="29" borderId="82" xfId="0" applyFont="1" applyFill="1" applyBorder="1" applyAlignment="1">
      <alignment horizontal="center" vertical="center"/>
    </xf>
    <xf numFmtId="0" fontId="2" fillId="32" borderId="65" xfId="0" applyFont="1" applyFill="1" applyBorder="1" applyAlignment="1">
      <alignment horizontal="center" vertical="center" wrapText="1"/>
    </xf>
    <xf numFmtId="0" fontId="2" fillId="32" borderId="70" xfId="0" applyFont="1" applyFill="1" applyBorder="1" applyAlignment="1">
      <alignment horizontal="center" vertical="center" wrapText="1"/>
    </xf>
    <xf numFmtId="0" fontId="0" fillId="32" borderId="65" xfId="0" applyFill="1" applyBorder="1"/>
    <xf numFmtId="0" fontId="30" fillId="28" borderId="72" xfId="0" applyFont="1" applyFill="1" applyBorder="1" applyAlignment="1">
      <alignment horizontal="left" vertical="center" wrapText="1"/>
    </xf>
    <xf numFmtId="0" fontId="30" fillId="28" borderId="72" xfId="0" applyFont="1" applyFill="1" applyBorder="1" applyAlignment="1">
      <alignment horizontal="center" vertical="center" wrapText="1"/>
    </xf>
    <xf numFmtId="0" fontId="30" fillId="28" borderId="63" xfId="0" applyFont="1" applyFill="1" applyBorder="1" applyAlignment="1">
      <alignment horizontal="center" vertical="center" wrapText="1"/>
    </xf>
    <xf numFmtId="0" fontId="30" fillId="28" borderId="68" xfId="0" applyFont="1" applyFill="1" applyBorder="1" applyAlignment="1">
      <alignment horizontal="center" vertical="center" wrapText="1"/>
    </xf>
    <xf numFmtId="0" fontId="13" fillId="28" borderId="63" xfId="0" applyFont="1" applyFill="1" applyBorder="1" applyAlignment="1">
      <alignment horizontal="center" vertical="center"/>
    </xf>
    <xf numFmtId="0" fontId="0" fillId="28" borderId="5" xfId="0" applyFill="1" applyBorder="1"/>
    <xf numFmtId="0" fontId="0" fillId="20" borderId="5" xfId="0" applyFill="1" applyBorder="1"/>
    <xf numFmtId="0" fontId="0" fillId="32" borderId="0" xfId="0" applyFill="1"/>
    <xf numFmtId="0" fontId="0" fillId="34" borderId="0" xfId="0" applyFill="1"/>
    <xf numFmtId="0" fontId="24" fillId="0" borderId="29" xfId="0" applyFont="1" applyBorder="1" applyAlignment="1">
      <alignment horizontal="center" vertical="center"/>
    </xf>
    <xf numFmtId="0" fontId="24" fillId="35" borderId="29" xfId="0" applyFont="1" applyFill="1" applyBorder="1" applyAlignment="1">
      <alignment horizontal="center" vertical="center"/>
    </xf>
    <xf numFmtId="0" fontId="24" fillId="19" borderId="29" xfId="0" applyFont="1" applyFill="1" applyBorder="1" applyAlignment="1">
      <alignment horizontal="center" vertical="center"/>
    </xf>
    <xf numFmtId="0" fontId="25" fillId="19" borderId="29" xfId="0" applyFont="1" applyFill="1" applyBorder="1" applyAlignment="1">
      <alignment horizontal="center" vertical="center" wrapText="1"/>
    </xf>
    <xf numFmtId="169" fontId="0" fillId="0" borderId="0" xfId="0" applyNumberFormat="1"/>
    <xf numFmtId="0" fontId="4" fillId="37" borderId="0" xfId="0" applyFont="1" applyFill="1"/>
    <xf numFmtId="0" fontId="0" fillId="0" borderId="90" xfId="0" applyBorder="1"/>
    <xf numFmtId="0" fontId="0" fillId="0" borderId="91" xfId="0" applyBorder="1"/>
    <xf numFmtId="176" fontId="0" fillId="0" borderId="91" xfId="0" applyNumberFormat="1" applyBorder="1"/>
    <xf numFmtId="0" fontId="0" fillId="0" borderId="92" xfId="0" applyBorder="1"/>
    <xf numFmtId="0" fontId="1" fillId="36" borderId="92" xfId="0" applyFont="1" applyFill="1" applyBorder="1"/>
    <xf numFmtId="3" fontId="1" fillId="36" borderId="92" xfId="0" applyNumberFormat="1" applyFont="1" applyFill="1" applyBorder="1"/>
    <xf numFmtId="179" fontId="1" fillId="36" borderId="92" xfId="0" applyNumberFormat="1" applyFont="1" applyFill="1" applyBorder="1"/>
    <xf numFmtId="176" fontId="1" fillId="36" borderId="92" xfId="0" applyNumberFormat="1" applyFont="1" applyFill="1" applyBorder="1"/>
    <xf numFmtId="0" fontId="0" fillId="0" borderId="0" xfId="0" applyAlignment="1">
      <alignment horizontal="center" vertical="center"/>
    </xf>
    <xf numFmtId="0" fontId="37" fillId="66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166" fontId="0" fillId="0" borderId="29" xfId="0" applyNumberFormat="1" applyBorder="1" applyAlignment="1">
      <alignment horizontal="center" vertical="center"/>
    </xf>
    <xf numFmtId="0" fontId="4" fillId="4" borderId="86" xfId="0" applyFont="1" applyFill="1" applyBorder="1" applyAlignment="1">
      <alignment horizontal="center" vertical="center" textRotation="90"/>
    </xf>
    <xf numFmtId="0" fontId="4" fillId="4" borderId="0" xfId="0" applyFont="1" applyFill="1" applyAlignment="1">
      <alignment horizontal="center" vertical="center" textRotation="90"/>
    </xf>
    <xf numFmtId="0" fontId="4" fillId="4" borderId="81" xfId="0" applyFont="1" applyFill="1" applyBorder="1" applyAlignment="1">
      <alignment horizontal="center" vertical="center" textRotation="90"/>
    </xf>
    <xf numFmtId="0" fontId="4" fillId="5" borderId="8" xfId="0" applyFont="1" applyFill="1" applyBorder="1" applyAlignment="1">
      <alignment horizontal="center" vertical="center" textRotation="90"/>
    </xf>
    <xf numFmtId="0" fontId="4" fillId="5" borderId="4" xfId="0" applyFont="1" applyFill="1" applyBorder="1" applyAlignment="1">
      <alignment horizontal="center" vertical="center" textRotation="90"/>
    </xf>
    <xf numFmtId="0" fontId="4" fillId="5" borderId="6" xfId="0" applyFont="1" applyFill="1" applyBorder="1" applyAlignment="1">
      <alignment horizontal="center" vertical="center" textRotation="90"/>
    </xf>
    <xf numFmtId="0" fontId="1" fillId="31" borderId="29" xfId="0" applyFont="1" applyFill="1" applyBorder="1" applyAlignment="1">
      <alignment horizontal="center" vertical="center"/>
    </xf>
    <xf numFmtId="0" fontId="36" fillId="65" borderId="0" xfId="0" applyFont="1" applyFill="1" applyAlignment="1">
      <alignment horizontal="center"/>
    </xf>
    <xf numFmtId="174" fontId="31" fillId="38" borderId="0" xfId="0" applyNumberFormat="1" applyFont="1" applyFill="1" applyAlignment="1">
      <alignment horizontal="center" vertical="center"/>
    </xf>
    <xf numFmtId="0" fontId="4" fillId="46" borderId="0" xfId="0" applyFont="1" applyFill="1" applyAlignment="1">
      <alignment horizontal="center" vertical="center"/>
    </xf>
    <xf numFmtId="0" fontId="35" fillId="47" borderId="0" xfId="0" applyFont="1" applyFill="1" applyAlignment="1">
      <alignment horizontal="center" vertical="center"/>
    </xf>
    <xf numFmtId="0" fontId="4" fillId="48" borderId="0" xfId="0" applyFont="1" applyFill="1" applyAlignment="1">
      <alignment horizontal="center" vertical="center"/>
    </xf>
    <xf numFmtId="0" fontId="35" fillId="49" borderId="0" xfId="0" applyFont="1" applyFill="1" applyAlignment="1">
      <alignment horizontal="center" vertical="center"/>
    </xf>
    <xf numFmtId="0" fontId="4" fillId="50" borderId="0" xfId="0" applyFont="1" applyFill="1" applyAlignment="1">
      <alignment horizontal="center" vertical="center"/>
    </xf>
    <xf numFmtId="0" fontId="35" fillId="51" borderId="0" xfId="0" applyFont="1" applyFill="1" applyAlignment="1">
      <alignment horizontal="center" vertical="center"/>
    </xf>
    <xf numFmtId="0" fontId="4" fillId="40" borderId="0" xfId="0" applyFont="1" applyFill="1" applyAlignment="1">
      <alignment horizontal="center" vertical="center"/>
    </xf>
    <xf numFmtId="176" fontId="35" fillId="52" borderId="0" xfId="0" applyNumberFormat="1" applyFont="1" applyFill="1" applyAlignment="1">
      <alignment horizontal="center" vertical="center"/>
    </xf>
    <xf numFmtId="0" fontId="4" fillId="53" borderId="0" xfId="0" applyFont="1" applyFill="1" applyAlignment="1">
      <alignment horizontal="center" vertical="center"/>
    </xf>
    <xf numFmtId="0" fontId="35" fillId="54" borderId="0" xfId="0" applyFont="1" applyFill="1" applyAlignment="1">
      <alignment horizontal="center" vertical="center"/>
    </xf>
    <xf numFmtId="0" fontId="35" fillId="56" borderId="0" xfId="0" applyFont="1" applyFill="1" applyAlignment="1">
      <alignment horizontal="center" vertical="center"/>
    </xf>
    <xf numFmtId="0" fontId="4" fillId="57" borderId="0" xfId="0" applyFont="1" applyFill="1" applyAlignment="1">
      <alignment horizontal="center" vertical="center"/>
    </xf>
    <xf numFmtId="0" fontId="35" fillId="58" borderId="0" xfId="0" applyFont="1" applyFill="1" applyAlignment="1">
      <alignment horizontal="center" vertical="center"/>
    </xf>
    <xf numFmtId="0" fontId="4" fillId="59" borderId="0" xfId="0" applyFont="1" applyFill="1" applyAlignment="1">
      <alignment horizontal="center" vertical="center"/>
    </xf>
    <xf numFmtId="0" fontId="35" fillId="60" borderId="0" xfId="0" applyFont="1" applyFill="1" applyAlignment="1">
      <alignment horizontal="center" vertical="center"/>
    </xf>
    <xf numFmtId="0" fontId="4" fillId="55" borderId="0" xfId="0" applyFont="1" applyFill="1" applyAlignment="1">
      <alignment horizontal="center" vertical="center"/>
    </xf>
    <xf numFmtId="0" fontId="33" fillId="44" borderId="0" xfId="0" applyFont="1" applyFill="1" applyAlignment="1">
      <alignment horizontal="center"/>
    </xf>
    <xf numFmtId="0" fontId="34" fillId="45" borderId="0" xfId="0" applyFont="1" applyFill="1" applyAlignment="1">
      <alignment horizontal="center"/>
    </xf>
    <xf numFmtId="0" fontId="31" fillId="38" borderId="0" xfId="0" applyFont="1" applyFill="1" applyAlignment="1">
      <alignment horizontal="center" vertical="center"/>
    </xf>
    <xf numFmtId="0" fontId="4" fillId="40" borderId="0" xfId="0" applyFont="1" applyFill="1" applyAlignment="1">
      <alignment horizontal="center" vertical="center" wrapText="1"/>
    </xf>
    <xf numFmtId="0" fontId="4" fillId="41" borderId="0" xfId="0" applyFont="1" applyFill="1" applyAlignment="1">
      <alignment horizontal="center" vertical="center" wrapText="1"/>
    </xf>
    <xf numFmtId="0" fontId="4" fillId="42" borderId="0" xfId="0" applyFont="1" applyFill="1" applyAlignment="1">
      <alignment horizontal="center" vertical="center" wrapText="1"/>
    </xf>
    <xf numFmtId="0" fontId="32" fillId="43" borderId="0" xfId="0" applyFont="1" applyFill="1" applyAlignment="1">
      <alignment vertical="center" wrapText="1"/>
    </xf>
    <xf numFmtId="0" fontId="4" fillId="61" borderId="0" xfId="0" applyFont="1" applyFill="1" applyAlignment="1">
      <alignment horizontal="center" vertical="center"/>
    </xf>
    <xf numFmtId="176" fontId="35" fillId="62" borderId="0" xfId="0" applyNumberFormat="1" applyFont="1" applyFill="1" applyAlignment="1">
      <alignment horizontal="center" vertical="center"/>
    </xf>
    <xf numFmtId="0" fontId="4" fillId="63" borderId="0" xfId="0" applyFont="1" applyFill="1" applyAlignment="1">
      <alignment horizontal="center" vertical="center"/>
    </xf>
    <xf numFmtId="0" fontId="35" fillId="64" borderId="0" xfId="0" applyFont="1" applyFill="1" applyAlignment="1">
      <alignment horizontal="center" vertical="center"/>
    </xf>
    <xf numFmtId="0" fontId="9" fillId="13" borderId="20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0" fontId="9" fillId="13" borderId="24" xfId="0" applyFont="1" applyFill="1" applyBorder="1" applyAlignment="1">
      <alignment horizontal="center" vertical="center"/>
    </xf>
    <xf numFmtId="0" fontId="9" fillId="16" borderId="20" xfId="0" applyFont="1" applyFill="1" applyBorder="1" applyAlignment="1">
      <alignment horizontal="center" vertical="center"/>
    </xf>
    <xf numFmtId="0" fontId="9" fillId="16" borderId="16" xfId="0" applyFont="1" applyFill="1" applyBorder="1" applyAlignment="1">
      <alignment horizontal="center" vertical="center"/>
    </xf>
    <xf numFmtId="0" fontId="9" fillId="16" borderId="24" xfId="0" applyFont="1" applyFill="1" applyBorder="1" applyAlignment="1">
      <alignment horizontal="center" vertical="center"/>
    </xf>
    <xf numFmtId="0" fontId="30" fillId="33" borderId="74" xfId="0" applyFont="1" applyFill="1" applyBorder="1" applyAlignment="1">
      <alignment horizontal="center" vertical="center"/>
    </xf>
    <xf numFmtId="0" fontId="30" fillId="33" borderId="75" xfId="0" applyFont="1" applyFill="1" applyBorder="1" applyAlignment="1">
      <alignment horizontal="center" vertical="center"/>
    </xf>
    <xf numFmtId="0" fontId="30" fillId="33" borderId="76" xfId="0" applyFont="1" applyFill="1" applyBorder="1" applyAlignment="1">
      <alignment horizontal="center" vertical="center"/>
    </xf>
    <xf numFmtId="0" fontId="30" fillId="20" borderId="72" xfId="0" applyFont="1" applyFill="1" applyBorder="1" applyAlignment="1">
      <alignment horizontal="center" vertical="center"/>
    </xf>
    <xf numFmtId="0" fontId="30" fillId="20" borderId="73" xfId="0" applyFont="1" applyFill="1" applyBorder="1" applyAlignment="1">
      <alignment horizontal="center" vertical="center"/>
    </xf>
    <xf numFmtId="0" fontId="30" fillId="34" borderId="72" xfId="0" applyFont="1" applyFill="1" applyBorder="1" applyAlignment="1">
      <alignment horizontal="center" vertical="center"/>
    </xf>
    <xf numFmtId="0" fontId="30" fillId="34" borderId="73" xfId="0" applyFont="1" applyFill="1" applyBorder="1" applyAlignment="1">
      <alignment horizontal="center" vertical="center"/>
    </xf>
    <xf numFmtId="0" fontId="30" fillId="34" borderId="77" xfId="0" applyFont="1" applyFill="1" applyBorder="1" applyAlignment="1">
      <alignment horizontal="center" vertical="center"/>
    </xf>
    <xf numFmtId="0" fontId="30" fillId="19" borderId="83" xfId="0" applyFont="1" applyFill="1" applyBorder="1" applyAlignment="1">
      <alignment horizontal="center" vertical="center"/>
    </xf>
    <xf numFmtId="0" fontId="30" fillId="19" borderId="85" xfId="0" applyFont="1" applyFill="1" applyBorder="1" applyAlignment="1">
      <alignment horizontal="center" vertical="center"/>
    </xf>
    <xf numFmtId="0" fontId="0" fillId="0" borderId="0" xfId="0" applyAlignment="1"/>
    <xf numFmtId="0" fontId="4" fillId="39" borderId="0" xfId="0" applyFont="1" applyFill="1" applyAlignment="1"/>
    <xf numFmtId="0" fontId="4" fillId="4" borderId="0" xfId="0" applyFont="1" applyFill="1" applyAlignment="1"/>
  </cellXfs>
  <cellStyles count="3">
    <cellStyle name="Comma" xfId="2" builtinId="3"/>
    <cellStyle name="Normal" xfId="0" builtinId="0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#,##0;\-#,##0;&quot;—&quot;"/>
      <alignment horizontal="right" vertical="center" textRotation="0" wrapText="0" indent="0" justifyLastLine="0" shrinkToFit="0" readingOrder="0"/>
    </dxf>
    <dxf>
      <numFmt numFmtId="0" formatCode="General"/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7F6000"/>
      </font>
      <fill>
        <patternFill patternType="solid">
          <fgColor indexed="64"/>
          <bgColor rgb="FFFFE699"/>
        </patternFill>
      </fill>
    </dxf>
    <dxf>
      <font>
        <b/>
        <i val="0"/>
        <color rgb="FFC00000"/>
      </font>
      <fill>
        <patternFill patternType="solid">
          <fgColor indexed="64"/>
          <bgColor rgb="FFFFCCC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7F6000"/>
      </font>
      <fill>
        <patternFill patternType="solid">
          <fgColor indexed="64"/>
          <bgColor rgb="FFFFE699"/>
        </patternFill>
      </fill>
    </dxf>
    <dxf>
      <font>
        <b/>
        <i val="0"/>
        <color rgb="FFC00000"/>
      </font>
      <fill>
        <patternFill patternType="solid">
          <fgColor indexed="64"/>
          <bgColor rgb="FFFFCCCC"/>
        </patternFill>
      </fill>
    </dxf>
    <dxf>
      <font>
        <b/>
        <i val="0"/>
        <color rgb="FF7F6000"/>
      </font>
      <fill>
        <patternFill patternType="solid">
          <fgColor indexed="64"/>
          <bgColor rgb="FFFFE699"/>
        </patternFill>
      </fill>
    </dxf>
    <dxf>
      <font>
        <b/>
        <i val="0"/>
        <color rgb="FFC00000"/>
      </font>
      <fill>
        <patternFill patternType="solid">
          <fgColor indexed="64"/>
          <bgColor rgb="FFFFCCC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7F6000"/>
      </font>
      <fill>
        <patternFill patternType="solid">
          <fgColor indexed="64"/>
          <bgColor rgb="FFFFE699"/>
        </patternFill>
      </fill>
    </dxf>
    <dxf>
      <font>
        <b/>
        <i val="0"/>
        <color rgb="FFC00000"/>
      </font>
      <fill>
        <patternFill patternType="solid">
          <fgColor indexed="64"/>
          <bgColor rgb="FFFFCCC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7F6000"/>
      </font>
      <fill>
        <patternFill patternType="solid">
          <fgColor indexed="64"/>
          <bgColor rgb="FFFFE699"/>
        </patternFill>
      </fill>
    </dxf>
    <dxf>
      <font>
        <b/>
        <i val="0"/>
        <color rgb="FFC00000"/>
      </font>
      <fill>
        <patternFill patternType="solid">
          <fgColor indexed="64"/>
          <bgColor rgb="FFFFCCCC"/>
        </patternFill>
      </fill>
    </dxf>
    <dxf>
      <font>
        <color rgb="FF999999"/>
      </font>
      <fill>
        <patternFill patternType="solid">
          <fgColor indexed="64"/>
          <bgColor rgb="FFF2F2F2"/>
        </patternFill>
      </fill>
    </dxf>
    <dxf>
      <font>
        <color rgb="FF999999"/>
      </font>
      <fill>
        <patternFill patternType="solid">
          <fgColor indexed="64"/>
          <bgColor rgb="FFF2F2F2"/>
        </patternFill>
      </fill>
    </dxf>
    <dxf>
      <font>
        <color rgb="FFA0AEC0"/>
      </font>
      <fill>
        <patternFill patternType="solid">
          <fgColor indexed="64"/>
          <bgColor rgb="FFF1F4F6"/>
        </patternFill>
      </fill>
    </dxf>
    <dxf>
      <font>
        <color rgb="FF8B1E1E"/>
      </font>
      <fill>
        <patternFill patternType="solid">
          <fgColor indexed="64"/>
          <bgColor rgb="FFF7C7C3"/>
        </patternFill>
      </fill>
    </dxf>
    <dxf>
      <font>
        <color rgb="FF7A5200"/>
      </font>
      <fill>
        <patternFill patternType="solid">
          <fgColor indexed="64"/>
          <bgColor rgb="FFFCE7AE"/>
        </patternFill>
      </fill>
    </dxf>
    <dxf>
      <font>
        <color rgb="FF155D3A"/>
      </font>
      <fill>
        <patternFill patternType="solid">
          <fgColor indexed="64"/>
          <bgColor rgb="FFBFE8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14-Day Planned vs Present — Filtered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Planned MP</c:v>
          </c:tx>
          <c:spPr>
            <a:ln w="28575" cap="rnd" cmpd="sng" algn="ctr">
              <a:solidFill>
                <a:srgbClr val="78909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Dashboard!$R$3:$R$16</c:f>
              <c:numCache>
                <c:formatCode>[$-409]d\-mmm;@</c:formatCode>
                <c:ptCount val="14"/>
                <c:pt idx="0">
                  <c:v>46295</c:v>
                </c:pt>
                <c:pt idx="1">
                  <c:v>46296</c:v>
                </c:pt>
                <c:pt idx="2">
                  <c:v>46297</c:v>
                </c:pt>
                <c:pt idx="3">
                  <c:v>46298</c:v>
                </c:pt>
                <c:pt idx="4">
                  <c:v>46299</c:v>
                </c:pt>
                <c:pt idx="5">
                  <c:v>46300</c:v>
                </c:pt>
                <c:pt idx="6">
                  <c:v>46301</c:v>
                </c:pt>
                <c:pt idx="7">
                  <c:v>46302</c:v>
                </c:pt>
                <c:pt idx="8">
                  <c:v>46303</c:v>
                </c:pt>
                <c:pt idx="9">
                  <c:v>46304</c:v>
                </c:pt>
                <c:pt idx="10">
                  <c:v>46305</c:v>
                </c:pt>
                <c:pt idx="11">
                  <c:v>46306</c:v>
                </c:pt>
                <c:pt idx="12">
                  <c:v>46307</c:v>
                </c:pt>
                <c:pt idx="13">
                  <c:v>46308</c:v>
                </c:pt>
              </c:numCache>
            </c:numRef>
          </c:cat>
          <c:val>
            <c:numRef>
              <c:f>Dashboard!$S$3:$S$16</c:f>
              <c:numCache>
                <c:formatCode>General</c:formatCode>
                <c:ptCount val="14"/>
                <c:pt idx="0">
                  <c:v>266</c:v>
                </c:pt>
                <c:pt idx="1">
                  <c:v>266</c:v>
                </c:pt>
                <c:pt idx="2">
                  <c:v>266</c:v>
                </c:pt>
                <c:pt idx="3">
                  <c:v>266</c:v>
                </c:pt>
                <c:pt idx="4">
                  <c:v>266</c:v>
                </c:pt>
                <c:pt idx="5">
                  <c:v>266</c:v>
                </c:pt>
                <c:pt idx="6">
                  <c:v>266</c:v>
                </c:pt>
                <c:pt idx="7">
                  <c:v>266</c:v>
                </c:pt>
                <c:pt idx="8">
                  <c:v>266</c:v>
                </c:pt>
                <c:pt idx="9">
                  <c:v>266</c:v>
                </c:pt>
                <c:pt idx="10">
                  <c:v>266</c:v>
                </c:pt>
                <c:pt idx="11">
                  <c:v>266</c:v>
                </c:pt>
                <c:pt idx="12">
                  <c:v>266</c:v>
                </c:pt>
                <c:pt idx="13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9-4F5E-8DD4-48458495B268}"/>
            </c:ext>
          </c:extLst>
        </c:ser>
        <c:ser>
          <c:idx val="1"/>
          <c:order val="1"/>
          <c:tx>
            <c:v>Present MP</c:v>
          </c:tx>
          <c:spPr>
            <a:ln w="28575" cap="rnd" cmpd="sng" algn="ctr">
              <a:solidFill>
                <a:srgbClr val="0F8B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Dashboard!$R$3:$R$16</c:f>
              <c:numCache>
                <c:formatCode>[$-409]d\-mmm;@</c:formatCode>
                <c:ptCount val="14"/>
                <c:pt idx="0">
                  <c:v>46295</c:v>
                </c:pt>
                <c:pt idx="1">
                  <c:v>46296</c:v>
                </c:pt>
                <c:pt idx="2">
                  <c:v>46297</c:v>
                </c:pt>
                <c:pt idx="3">
                  <c:v>46298</c:v>
                </c:pt>
                <c:pt idx="4">
                  <c:v>46299</c:v>
                </c:pt>
                <c:pt idx="5">
                  <c:v>46300</c:v>
                </c:pt>
                <c:pt idx="6">
                  <c:v>46301</c:v>
                </c:pt>
                <c:pt idx="7">
                  <c:v>46302</c:v>
                </c:pt>
                <c:pt idx="8">
                  <c:v>46303</c:v>
                </c:pt>
                <c:pt idx="9">
                  <c:v>46304</c:v>
                </c:pt>
                <c:pt idx="10">
                  <c:v>46305</c:v>
                </c:pt>
                <c:pt idx="11">
                  <c:v>46306</c:v>
                </c:pt>
                <c:pt idx="12">
                  <c:v>46307</c:v>
                </c:pt>
                <c:pt idx="13">
                  <c:v>46308</c:v>
                </c:pt>
              </c:numCache>
            </c:numRef>
          </c:cat>
          <c:val>
            <c:numRef>
              <c:f>Dashboard!$T$3:$T$16</c:f>
              <c:numCache>
                <c:formatCode>General</c:formatCode>
                <c:ptCount val="14"/>
                <c:pt idx="0">
                  <c:v>222</c:v>
                </c:pt>
                <c:pt idx="1">
                  <c:v>222</c:v>
                </c:pt>
                <c:pt idx="2">
                  <c:v>0</c:v>
                </c:pt>
                <c:pt idx="3">
                  <c:v>194</c:v>
                </c:pt>
                <c:pt idx="4">
                  <c:v>103</c:v>
                </c:pt>
                <c:pt idx="5">
                  <c:v>196</c:v>
                </c:pt>
                <c:pt idx="6">
                  <c:v>227</c:v>
                </c:pt>
                <c:pt idx="7">
                  <c:v>222</c:v>
                </c:pt>
                <c:pt idx="8">
                  <c:v>155</c:v>
                </c:pt>
                <c:pt idx="9">
                  <c:v>231</c:v>
                </c:pt>
                <c:pt idx="10">
                  <c:v>211</c:v>
                </c:pt>
                <c:pt idx="11">
                  <c:v>91</c:v>
                </c:pt>
                <c:pt idx="12">
                  <c:v>195</c:v>
                </c:pt>
                <c:pt idx="13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9-4F5E-8DD4-48458495B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8588168"/>
        <c:axId val="1338619912"/>
      </c:lineChart>
      <c:dateAx>
        <c:axId val="1338588168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619912"/>
        <c:crosses val="autoZero"/>
        <c:auto val="0"/>
        <c:lblOffset val="100"/>
        <c:baseTimeUnit val="days"/>
        <c:majorUnit val="2"/>
        <c:majorTimeUnit val="days"/>
      </c:dateAx>
      <c:valAx>
        <c:axId val="1338619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58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Manpower Gaps — Filtered 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Gap vs Plan</c:v>
          </c:tx>
          <c:spPr>
            <a:solidFill>
              <a:srgbClr val="E76F5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Dashboard!$P$3:$P$12</c:f>
              <c:strCache>
                <c:ptCount val="10"/>
                <c:pt idx="0">
                  <c:v>C39 - Atta</c:v>
                </c:pt>
                <c:pt idx="1">
                  <c:v>Supervisors + Executive+AM +HR</c:v>
                </c:pt>
                <c:pt idx="2">
                  <c:v>C6 Atta - 2</c:v>
                </c:pt>
                <c:pt idx="3">
                  <c:v>Supply/ Dispatch (Common)</c:v>
                </c:pt>
                <c:pt idx="4">
                  <c:v>Night MP Total Ghee</c:v>
                </c:pt>
                <c:pt idx="5">
                  <c:v>C39 - Honey / all Spices</c:v>
                </c:pt>
                <c:pt idx="6">
                  <c:v>C6 - Oil</c:v>
                </c:pt>
                <c:pt idx="7">
                  <c:v>C6 - Ghee</c:v>
                </c:pt>
                <c:pt idx="8">
                  <c:v>Total C6 Night MP</c:v>
                </c:pt>
                <c:pt idx="9">
                  <c:v>QA</c:v>
                </c:pt>
              </c:strCache>
            </c:strRef>
          </c:cat>
          <c:val>
            <c:numRef>
              <c:f>Dashboard!$Q$3:$Q$12</c:f>
              <c:numCache>
                <c:formatCode>General</c:formatCode>
                <c:ptCount val="10"/>
                <c:pt idx="0">
                  <c:v>13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1-405F-949C-BE230164F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1888648"/>
        <c:axId val="2111635464"/>
      </c:barChart>
      <c:catAx>
        <c:axId val="1971888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635464"/>
        <c:crosses val="autoZero"/>
        <c:auto val="1"/>
        <c:lblAlgn val="ctr"/>
        <c:lblOffset val="100"/>
        <c:noMultiLvlLbl val="0"/>
      </c:catAx>
      <c:valAx>
        <c:axId val="21116354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8864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Today's Present vs Planned MP by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 Split'!$B$6</c:f>
              <c:strCache>
                <c:ptCount val="1"/>
                <c:pt idx="0">
                  <c:v>Planned 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 Split'!$A$7:$A$10</c:f>
              <c:strCache>
                <c:ptCount val="4"/>
                <c:pt idx="0">
                  <c:v>C6</c:v>
                </c:pt>
                <c:pt idx="1">
                  <c:v>C39</c:v>
                </c:pt>
                <c:pt idx="2">
                  <c:v>Common</c:v>
                </c:pt>
                <c:pt idx="3">
                  <c:v>FRM</c:v>
                </c:pt>
              </c:strCache>
            </c:strRef>
          </c:cat>
          <c:val>
            <c:numRef>
              <c:f>'MP Split'!$B$7:$B$10</c:f>
              <c:numCache>
                <c:formatCode>General</c:formatCode>
                <c:ptCount val="4"/>
                <c:pt idx="0">
                  <c:v>55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9-409A-A2F1-042D174BFC2B}"/>
            </c:ext>
          </c:extLst>
        </c:ser>
        <c:ser>
          <c:idx val="1"/>
          <c:order val="1"/>
          <c:tx>
            <c:strRef>
              <c:f>'MP Split'!$C$6</c:f>
              <c:strCache>
                <c:ptCount val="1"/>
                <c:pt idx="0">
                  <c:v>Present 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 Split'!$A$7:$A$10</c:f>
              <c:strCache>
                <c:ptCount val="4"/>
                <c:pt idx="0">
                  <c:v>C6</c:v>
                </c:pt>
                <c:pt idx="1">
                  <c:v>C39</c:v>
                </c:pt>
                <c:pt idx="2">
                  <c:v>Common</c:v>
                </c:pt>
                <c:pt idx="3">
                  <c:v>FRM</c:v>
                </c:pt>
              </c:strCache>
            </c:strRef>
          </c:cat>
          <c:val>
            <c:numRef>
              <c:f>'MP Split'!$C$7:$C$10</c:f>
              <c:numCache>
                <c:formatCode>General</c:formatCode>
                <c:ptCount val="4"/>
                <c:pt idx="0">
                  <c:v>44</c:v>
                </c:pt>
                <c:pt idx="1">
                  <c:v>64</c:v>
                </c:pt>
                <c:pt idx="2">
                  <c:v>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9-409A-A2F1-042D174BF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923631"/>
        <c:axId val="1178119919"/>
      </c:barChart>
      <c:catAx>
        <c:axId val="119692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19919"/>
        <c:crosses val="autoZero"/>
        <c:auto val="1"/>
        <c:lblAlgn val="ctr"/>
        <c:lblOffset val="100"/>
        <c:noMultiLvlLbl val="0"/>
      </c:catAx>
      <c:valAx>
        <c:axId val="11781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92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Average Present vs Planned MP by Plant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'MP Split'!$B$16</c:f>
              <c:strCache>
                <c:ptCount val="1"/>
                <c:pt idx="0">
                  <c:v>Planned 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 Split'!$A$17:$A$20</c:f>
              <c:strCache>
                <c:ptCount val="4"/>
                <c:pt idx="0">
                  <c:v>C6</c:v>
                </c:pt>
                <c:pt idx="1">
                  <c:v>C39</c:v>
                </c:pt>
                <c:pt idx="2">
                  <c:v>Common</c:v>
                </c:pt>
                <c:pt idx="3">
                  <c:v>FRM</c:v>
                </c:pt>
              </c:strCache>
            </c:strRef>
          </c:cat>
          <c:val>
            <c:numRef>
              <c:f>'MP Split'!$B$17:$B$20</c:f>
              <c:numCache>
                <c:formatCode>General</c:formatCode>
                <c:ptCount val="4"/>
                <c:pt idx="0">
                  <c:v>55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1-4E96-ABC2-07B58086EB6B}"/>
            </c:ext>
          </c:extLst>
        </c:ser>
        <c:ser>
          <c:idx val="1"/>
          <c:order val="1"/>
          <c:tx>
            <c:strRef>
              <c:f>'MP Split'!$C$16</c:f>
              <c:strCache>
                <c:ptCount val="1"/>
                <c:pt idx="0">
                  <c:v>Avg Present 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'MP Split'!$A$17:$A$20</c:f>
              <c:strCache>
                <c:ptCount val="4"/>
                <c:pt idx="0">
                  <c:v>C6</c:v>
                </c:pt>
                <c:pt idx="1">
                  <c:v>C39</c:v>
                </c:pt>
                <c:pt idx="2">
                  <c:v>Common</c:v>
                </c:pt>
                <c:pt idx="3">
                  <c:v>FRM</c:v>
                </c:pt>
              </c:strCache>
            </c:strRef>
          </c:cat>
          <c:val>
            <c:numRef>
              <c:f>'MP Split'!$C$17:$C$20</c:f>
              <c:numCache>
                <c:formatCode>0.0</c:formatCode>
                <c:ptCount val="4"/>
                <c:pt idx="0">
                  <c:v>36.466666666666669</c:v>
                </c:pt>
                <c:pt idx="1">
                  <c:v>57</c:v>
                </c:pt>
                <c:pt idx="2">
                  <c:v>0</c:v>
                </c:pt>
                <c:pt idx="3">
                  <c:v>2.9666666666666668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01-4E96-ABC2-07B58086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878559"/>
        <c:axId val="1178313359"/>
      </c:barChart>
      <c:catAx>
        <c:axId val="111887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313359"/>
        <c:crosses val="autoZero"/>
        <c:auto val="1"/>
        <c:lblAlgn val="ctr"/>
        <c:lblOffset val="100"/>
        <c:noMultiLvlLbl val="0"/>
      </c:catAx>
      <c:valAx>
        <c:axId val="11783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87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Manpower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Chart!$C$1</c:f>
              <c:strCache>
                <c:ptCount val="1"/>
                <c:pt idx="0">
                  <c:v>Present 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Chart!$A$47:$A$61</c:f>
              <c:numCache>
                <c:formatCode>dd\-mmm</c:formatCode>
                <c:ptCount val="15"/>
                <c:pt idx="0">
                  <c:v>46219</c:v>
                </c:pt>
                <c:pt idx="1">
                  <c:v>46220</c:v>
                </c:pt>
                <c:pt idx="2">
                  <c:v>46221</c:v>
                </c:pt>
                <c:pt idx="3">
                  <c:v>46222</c:v>
                </c:pt>
                <c:pt idx="4">
                  <c:v>46223</c:v>
                </c:pt>
                <c:pt idx="5">
                  <c:v>46224</c:v>
                </c:pt>
                <c:pt idx="6">
                  <c:v>46225</c:v>
                </c:pt>
                <c:pt idx="7">
                  <c:v>46226</c:v>
                </c:pt>
                <c:pt idx="8">
                  <c:v>46227</c:v>
                </c:pt>
                <c:pt idx="9">
                  <c:v>46228</c:v>
                </c:pt>
                <c:pt idx="10">
                  <c:v>46229</c:v>
                </c:pt>
                <c:pt idx="11">
                  <c:v>46230</c:v>
                </c:pt>
                <c:pt idx="12">
                  <c:v>46231</c:v>
                </c:pt>
                <c:pt idx="13">
                  <c:v>46232</c:v>
                </c:pt>
                <c:pt idx="14">
                  <c:v>46233</c:v>
                </c:pt>
              </c:numCache>
            </c:numRef>
          </c:cat>
          <c:val>
            <c:numRef>
              <c:f>Chart!$C$47:$C$61</c:f>
              <c:numCache>
                <c:formatCode>General</c:formatCode>
                <c:ptCount val="15"/>
                <c:pt idx="0">
                  <c:v>225</c:v>
                </c:pt>
                <c:pt idx="1">
                  <c:v>210</c:v>
                </c:pt>
                <c:pt idx="2">
                  <c:v>106</c:v>
                </c:pt>
                <c:pt idx="3">
                  <c:v>96</c:v>
                </c:pt>
                <c:pt idx="4">
                  <c:v>204</c:v>
                </c:pt>
                <c:pt idx="5">
                  <c:v>218</c:v>
                </c:pt>
                <c:pt idx="6">
                  <c:v>226</c:v>
                </c:pt>
                <c:pt idx="7">
                  <c:v>213</c:v>
                </c:pt>
                <c:pt idx="8">
                  <c:v>228</c:v>
                </c:pt>
                <c:pt idx="9">
                  <c:v>194</c:v>
                </c:pt>
                <c:pt idx="10">
                  <c:v>68</c:v>
                </c:pt>
                <c:pt idx="11">
                  <c:v>194</c:v>
                </c:pt>
                <c:pt idx="12">
                  <c:v>218</c:v>
                </c:pt>
                <c:pt idx="13">
                  <c:v>230</c:v>
                </c:pt>
                <c:pt idx="14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5B-4C79-A9F3-A29ACEA03B12}"/>
            </c:ext>
          </c:extLst>
        </c:ser>
        <c:ser>
          <c:idx val="1"/>
          <c:order val="1"/>
          <c:tx>
            <c:strRef>
              <c:f>Chart!$D$1</c:f>
              <c:strCache>
                <c:ptCount val="1"/>
                <c:pt idx="0">
                  <c:v>OT in 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Chart!$A$47:$A$61</c:f>
              <c:numCache>
                <c:formatCode>dd\-mmm</c:formatCode>
                <c:ptCount val="15"/>
                <c:pt idx="0">
                  <c:v>46219</c:v>
                </c:pt>
                <c:pt idx="1">
                  <c:v>46220</c:v>
                </c:pt>
                <c:pt idx="2">
                  <c:v>46221</c:v>
                </c:pt>
                <c:pt idx="3">
                  <c:v>46222</c:v>
                </c:pt>
                <c:pt idx="4">
                  <c:v>46223</c:v>
                </c:pt>
                <c:pt idx="5">
                  <c:v>46224</c:v>
                </c:pt>
                <c:pt idx="6">
                  <c:v>46225</c:v>
                </c:pt>
                <c:pt idx="7">
                  <c:v>46226</c:v>
                </c:pt>
                <c:pt idx="8">
                  <c:v>46227</c:v>
                </c:pt>
                <c:pt idx="9">
                  <c:v>46228</c:v>
                </c:pt>
                <c:pt idx="10">
                  <c:v>46229</c:v>
                </c:pt>
                <c:pt idx="11">
                  <c:v>46230</c:v>
                </c:pt>
                <c:pt idx="12">
                  <c:v>46231</c:v>
                </c:pt>
                <c:pt idx="13">
                  <c:v>46232</c:v>
                </c:pt>
                <c:pt idx="14">
                  <c:v>46233</c:v>
                </c:pt>
              </c:numCache>
            </c:numRef>
          </c:cat>
          <c:val>
            <c:numRef>
              <c:f>Chart!$D$47:$D$61</c:f>
              <c:numCache>
                <c:formatCode>General</c:formatCode>
                <c:ptCount val="15"/>
                <c:pt idx="0">
                  <c:v>150.5</c:v>
                </c:pt>
                <c:pt idx="1">
                  <c:v>150</c:v>
                </c:pt>
                <c:pt idx="2">
                  <c:v>32</c:v>
                </c:pt>
                <c:pt idx="3">
                  <c:v>136</c:v>
                </c:pt>
                <c:pt idx="4">
                  <c:v>#N/A</c:v>
                </c:pt>
                <c:pt idx="5">
                  <c:v>135.5</c:v>
                </c:pt>
                <c:pt idx="6">
                  <c:v>187</c:v>
                </c:pt>
                <c:pt idx="7">
                  <c:v>193</c:v>
                </c:pt>
                <c:pt idx="8">
                  <c:v>157.5</c:v>
                </c:pt>
                <c:pt idx="9">
                  <c:v>140</c:v>
                </c:pt>
                <c:pt idx="10">
                  <c:v>87</c:v>
                </c:pt>
                <c:pt idx="11">
                  <c:v>30</c:v>
                </c:pt>
                <c:pt idx="12">
                  <c:v>112</c:v>
                </c:pt>
                <c:pt idx="13">
                  <c:v>142</c:v>
                </c:pt>
                <c:pt idx="14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5B-4C79-A9F3-A29ACEA03B12}"/>
            </c:ext>
          </c:extLst>
        </c:ser>
        <c:ser>
          <c:idx val="2"/>
          <c:order val="2"/>
          <c:tx>
            <c:strRef>
              <c:f>Chart!$E$1</c:f>
              <c:strCache>
                <c:ptCount val="1"/>
                <c:pt idx="0">
                  <c:v>Absent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Chart!$A$47:$A$61</c:f>
              <c:numCache>
                <c:formatCode>dd\-mmm</c:formatCode>
                <c:ptCount val="15"/>
                <c:pt idx="0">
                  <c:v>46219</c:v>
                </c:pt>
                <c:pt idx="1">
                  <c:v>46220</c:v>
                </c:pt>
                <c:pt idx="2">
                  <c:v>46221</c:v>
                </c:pt>
                <c:pt idx="3">
                  <c:v>46222</c:v>
                </c:pt>
                <c:pt idx="4">
                  <c:v>46223</c:v>
                </c:pt>
                <c:pt idx="5">
                  <c:v>46224</c:v>
                </c:pt>
                <c:pt idx="6">
                  <c:v>46225</c:v>
                </c:pt>
                <c:pt idx="7">
                  <c:v>46226</c:v>
                </c:pt>
                <c:pt idx="8">
                  <c:v>46227</c:v>
                </c:pt>
                <c:pt idx="9">
                  <c:v>46228</c:v>
                </c:pt>
                <c:pt idx="10">
                  <c:v>46229</c:v>
                </c:pt>
                <c:pt idx="11">
                  <c:v>46230</c:v>
                </c:pt>
                <c:pt idx="12">
                  <c:v>46231</c:v>
                </c:pt>
                <c:pt idx="13">
                  <c:v>46232</c:v>
                </c:pt>
                <c:pt idx="14">
                  <c:v>46233</c:v>
                </c:pt>
              </c:numCache>
            </c:numRef>
          </c:cat>
          <c:val>
            <c:numRef>
              <c:f>Chart!$E$47:$E$61</c:f>
              <c:numCache>
                <c:formatCode>General</c:formatCode>
                <c:ptCount val="15"/>
                <c:pt idx="0">
                  <c:v>41</c:v>
                </c:pt>
                <c:pt idx="1">
                  <c:v>56</c:v>
                </c:pt>
                <c:pt idx="2">
                  <c:v>160</c:v>
                </c:pt>
                <c:pt idx="3">
                  <c:v>170</c:v>
                </c:pt>
                <c:pt idx="4">
                  <c:v>62</c:v>
                </c:pt>
                <c:pt idx="5">
                  <c:v>48</c:v>
                </c:pt>
                <c:pt idx="6">
                  <c:v>40</c:v>
                </c:pt>
                <c:pt idx="7">
                  <c:v>53</c:v>
                </c:pt>
                <c:pt idx="8">
                  <c:v>38</c:v>
                </c:pt>
                <c:pt idx="9">
                  <c:v>72</c:v>
                </c:pt>
                <c:pt idx="10">
                  <c:v>198</c:v>
                </c:pt>
                <c:pt idx="11">
                  <c:v>72</c:v>
                </c:pt>
                <c:pt idx="12">
                  <c:v>48</c:v>
                </c:pt>
                <c:pt idx="13">
                  <c:v>36</c:v>
                </c:pt>
                <c:pt idx="1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5B-4C79-A9F3-A29ACEA03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571343"/>
        <c:axId val="1580571823"/>
      </c:lineChart>
      <c:dateAx>
        <c:axId val="1580571343"/>
        <c:scaling>
          <c:orientation val="minMax"/>
        </c:scaling>
        <c:delete val="0"/>
        <c:axPos val="b"/>
        <c:numFmt formatCode="d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71823"/>
        <c:crosses val="autoZero"/>
        <c:auto val="1"/>
        <c:lblOffset val="100"/>
        <c:baseTimeUnit val="days"/>
      </c:dateAx>
      <c:valAx>
        <c:axId val="15805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7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Section-wise: Avg Present vs Planned vs Avg Absent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Chart!$AA$1</c:f>
              <c:strCache>
                <c:ptCount val="1"/>
                <c:pt idx="0">
                  <c:v> Avg Present 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Chart!$Y$2:$Y$25</c:f>
              <c:strCache>
                <c:ptCount val="24"/>
                <c:pt idx="0">
                  <c:v>C6 - Oil</c:v>
                </c:pt>
                <c:pt idx="1">
                  <c:v>C6 - Ghee</c:v>
                </c:pt>
                <c:pt idx="2">
                  <c:v>C39 - MG batch Making</c:v>
                </c:pt>
                <c:pt idx="3">
                  <c:v>Supply/ Dispatch (Common)</c:v>
                </c:pt>
                <c:pt idx="4">
                  <c:v>Printer (Common)</c:v>
                </c:pt>
                <c:pt idx="5">
                  <c:v>C6 - Raw Agri (Millets)</c:v>
                </c:pt>
                <c:pt idx="6">
                  <c:v>C39 - Honey / all Spices</c:v>
                </c:pt>
                <c:pt idx="7">
                  <c:v>C39 - Jaggery</c:v>
                </c:pt>
                <c:pt idx="8">
                  <c:v>C39 - Atta</c:v>
                </c:pt>
                <c:pt idx="9">
                  <c:v>C6 - Atta - 1</c:v>
                </c:pt>
                <c:pt idx="10">
                  <c:v>C6 Atta - 2</c:v>
                </c:pt>
                <c:pt idx="11">
                  <c:v>FRM - Khapal-Khapli</c:v>
                </c:pt>
                <c:pt idx="12">
                  <c:v>Supervisors + Executive+AM +HR</c:v>
                </c:pt>
                <c:pt idx="13">
                  <c:v>C39-HK</c:v>
                </c:pt>
                <c:pt idx="14">
                  <c:v>C6-HK</c:v>
                </c:pt>
                <c:pt idx="15">
                  <c:v>Maintenance-C6&amp;C39</c:v>
                </c:pt>
                <c:pt idx="16">
                  <c:v>Admin</c:v>
                </c:pt>
                <c:pt idx="17">
                  <c:v>Lab</c:v>
                </c:pt>
                <c:pt idx="18">
                  <c:v>Project</c:v>
                </c:pt>
                <c:pt idx="19">
                  <c:v>Accounts</c:v>
                </c:pt>
                <c:pt idx="20">
                  <c:v>IT</c:v>
                </c:pt>
                <c:pt idx="21">
                  <c:v>QA</c:v>
                </c:pt>
                <c:pt idx="22">
                  <c:v>FRM</c:v>
                </c:pt>
                <c:pt idx="23">
                  <c:v>Overall Average</c:v>
                </c:pt>
              </c:strCache>
            </c:strRef>
          </c:cat>
          <c:val>
            <c:numRef>
              <c:f>Chart!$AA$2:$AA$25</c:f>
              <c:numCache>
                <c:formatCode>_(* #,##0_);_(* \(#,##0\);_(* "-"??_);_(@_)</c:formatCode>
                <c:ptCount val="24"/>
                <c:pt idx="0">
                  <c:v>12.75925925925926</c:v>
                </c:pt>
                <c:pt idx="1">
                  <c:v>33.355932203389834</c:v>
                </c:pt>
                <c:pt idx="2">
                  <c:v>9.0566037735849054</c:v>
                </c:pt>
                <c:pt idx="3">
                  <c:v>11.055555555555555</c:v>
                </c:pt>
                <c:pt idx="4">
                  <c:v>6.1886792452830193</c:v>
                </c:pt>
                <c:pt idx="5">
                  <c:v>13.283018867924529</c:v>
                </c:pt>
                <c:pt idx="6">
                  <c:v>12.433962264150944</c:v>
                </c:pt>
                <c:pt idx="7">
                  <c:v>13.39622641509434</c:v>
                </c:pt>
                <c:pt idx="8">
                  <c:v>24.464285714285715</c:v>
                </c:pt>
                <c:pt idx="9">
                  <c:v>10.074074074074074</c:v>
                </c:pt>
                <c:pt idx="10">
                  <c:v>3.2641509433962264</c:v>
                </c:pt>
                <c:pt idx="11">
                  <c:v>4.2380952380952381</c:v>
                </c:pt>
                <c:pt idx="12">
                  <c:v>16.051724137931036</c:v>
                </c:pt>
                <c:pt idx="13">
                  <c:v>4.2280701754385968</c:v>
                </c:pt>
                <c:pt idx="14">
                  <c:v>7.9090909090909092</c:v>
                </c:pt>
                <c:pt idx="15">
                  <c:v>4.5172413793103452</c:v>
                </c:pt>
                <c:pt idx="16">
                  <c:v>2.925925925925926</c:v>
                </c:pt>
                <c:pt idx="17">
                  <c:v>0.96296296296296291</c:v>
                </c:pt>
                <c:pt idx="18">
                  <c:v>1.6037735849056605</c:v>
                </c:pt>
                <c:pt idx="19">
                  <c:v>1.6037735849056605</c:v>
                </c:pt>
                <c:pt idx="20">
                  <c:v>1.3396226415094339</c:v>
                </c:pt>
                <c:pt idx="21">
                  <c:v>6.2777777777777777</c:v>
                </c:pt>
                <c:pt idx="22">
                  <c:v>0.64150943396226412</c:v>
                </c:pt>
                <c:pt idx="23" formatCode="0.0">
                  <c:v>186.5084745762712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2-4E06-A7E7-6B5BB9CC8F33}"/>
            </c:ext>
          </c:extLst>
        </c:ser>
        <c:ser>
          <c:idx val="1"/>
          <c:order val="1"/>
          <c:tx>
            <c:strRef>
              <c:f>Chart!$Z$1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Chart!$Y$2:$Y$25</c:f>
              <c:strCache>
                <c:ptCount val="24"/>
                <c:pt idx="0">
                  <c:v>C6 - Oil</c:v>
                </c:pt>
                <c:pt idx="1">
                  <c:v>C6 - Ghee</c:v>
                </c:pt>
                <c:pt idx="2">
                  <c:v>C39 - MG batch Making</c:v>
                </c:pt>
                <c:pt idx="3">
                  <c:v>Supply/ Dispatch (Common)</c:v>
                </c:pt>
                <c:pt idx="4">
                  <c:v>Printer (Common)</c:v>
                </c:pt>
                <c:pt idx="5">
                  <c:v>C6 - Raw Agri (Millets)</c:v>
                </c:pt>
                <c:pt idx="6">
                  <c:v>C39 - Honey / all Spices</c:v>
                </c:pt>
                <c:pt idx="7">
                  <c:v>C39 - Jaggery</c:v>
                </c:pt>
                <c:pt idx="8">
                  <c:v>C39 - Atta</c:v>
                </c:pt>
                <c:pt idx="9">
                  <c:v>C6 - Atta - 1</c:v>
                </c:pt>
                <c:pt idx="10">
                  <c:v>C6 Atta - 2</c:v>
                </c:pt>
                <c:pt idx="11">
                  <c:v>FRM - Khapal-Khapli</c:v>
                </c:pt>
                <c:pt idx="12">
                  <c:v>Supervisors + Executive+AM +HR</c:v>
                </c:pt>
                <c:pt idx="13">
                  <c:v>C39-HK</c:v>
                </c:pt>
                <c:pt idx="14">
                  <c:v>C6-HK</c:v>
                </c:pt>
                <c:pt idx="15">
                  <c:v>Maintenance-C6&amp;C39</c:v>
                </c:pt>
                <c:pt idx="16">
                  <c:v>Admin</c:v>
                </c:pt>
                <c:pt idx="17">
                  <c:v>Lab</c:v>
                </c:pt>
                <c:pt idx="18">
                  <c:v>Project</c:v>
                </c:pt>
                <c:pt idx="19">
                  <c:v>Accounts</c:v>
                </c:pt>
                <c:pt idx="20">
                  <c:v>IT</c:v>
                </c:pt>
                <c:pt idx="21">
                  <c:v>QA</c:v>
                </c:pt>
                <c:pt idx="22">
                  <c:v>FRM</c:v>
                </c:pt>
                <c:pt idx="23">
                  <c:v>Overall Average</c:v>
                </c:pt>
              </c:strCache>
            </c:strRef>
          </c:cat>
          <c:val>
            <c:numRef>
              <c:f>Chart!$Z$2:$Z$25</c:f>
              <c:numCache>
                <c:formatCode>0</c:formatCode>
                <c:ptCount val="24"/>
                <c:pt idx="0">
                  <c:v>14</c:v>
                </c:pt>
                <c:pt idx="1">
                  <c:v>24</c:v>
                </c:pt>
                <c:pt idx="2">
                  <c:v>7</c:v>
                </c:pt>
                <c:pt idx="3">
                  <c:v>11</c:v>
                </c:pt>
                <c:pt idx="4">
                  <c:v>6</c:v>
                </c:pt>
                <c:pt idx="5">
                  <c:v>16</c:v>
                </c:pt>
                <c:pt idx="6">
                  <c:v>22</c:v>
                </c:pt>
                <c:pt idx="7">
                  <c:v>9</c:v>
                </c:pt>
                <c:pt idx="8">
                  <c:v>22</c:v>
                </c:pt>
                <c:pt idx="9">
                  <c:v>14</c:v>
                </c:pt>
                <c:pt idx="10">
                  <c:v>11</c:v>
                </c:pt>
                <c:pt idx="11">
                  <c:v>0</c:v>
                </c:pt>
                <c:pt idx="12">
                  <c:v>21</c:v>
                </c:pt>
                <c:pt idx="13">
                  <c:v>5</c:v>
                </c:pt>
                <c:pt idx="14">
                  <c:v>9</c:v>
                </c:pt>
                <c:pt idx="15">
                  <c:v>6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9</c:v>
                </c:pt>
                <c:pt idx="22">
                  <c:v>2</c:v>
                </c:pt>
                <c:pt idx="23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2-4E06-A7E7-6B5BB9CC8F33}"/>
            </c:ext>
          </c:extLst>
        </c:ser>
        <c:ser>
          <c:idx val="2"/>
          <c:order val="2"/>
          <c:tx>
            <c:strRef>
              <c:f>Chart!$AB$1</c:f>
              <c:strCache>
                <c:ptCount val="1"/>
                <c:pt idx="0">
                  <c:v> Avg Absent 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Chart!$Y$2:$Y$25</c:f>
              <c:strCache>
                <c:ptCount val="24"/>
                <c:pt idx="0">
                  <c:v>C6 - Oil</c:v>
                </c:pt>
                <c:pt idx="1">
                  <c:v>C6 - Ghee</c:v>
                </c:pt>
                <c:pt idx="2">
                  <c:v>C39 - MG batch Making</c:v>
                </c:pt>
                <c:pt idx="3">
                  <c:v>Supply/ Dispatch (Common)</c:v>
                </c:pt>
                <c:pt idx="4">
                  <c:v>Printer (Common)</c:v>
                </c:pt>
                <c:pt idx="5">
                  <c:v>C6 - Raw Agri (Millets)</c:v>
                </c:pt>
                <c:pt idx="6">
                  <c:v>C39 - Honey / all Spices</c:v>
                </c:pt>
                <c:pt idx="7">
                  <c:v>C39 - Jaggery</c:v>
                </c:pt>
                <c:pt idx="8">
                  <c:v>C39 - Atta</c:v>
                </c:pt>
                <c:pt idx="9">
                  <c:v>C6 - Atta - 1</c:v>
                </c:pt>
                <c:pt idx="10">
                  <c:v>C6 Atta - 2</c:v>
                </c:pt>
                <c:pt idx="11">
                  <c:v>FRM - Khapal-Khapli</c:v>
                </c:pt>
                <c:pt idx="12">
                  <c:v>Supervisors + Executive+AM +HR</c:v>
                </c:pt>
                <c:pt idx="13">
                  <c:v>C39-HK</c:v>
                </c:pt>
                <c:pt idx="14">
                  <c:v>C6-HK</c:v>
                </c:pt>
                <c:pt idx="15">
                  <c:v>Maintenance-C6&amp;C39</c:v>
                </c:pt>
                <c:pt idx="16">
                  <c:v>Admin</c:v>
                </c:pt>
                <c:pt idx="17">
                  <c:v>Lab</c:v>
                </c:pt>
                <c:pt idx="18">
                  <c:v>Project</c:v>
                </c:pt>
                <c:pt idx="19">
                  <c:v>Accounts</c:v>
                </c:pt>
                <c:pt idx="20">
                  <c:v>IT</c:v>
                </c:pt>
                <c:pt idx="21">
                  <c:v>QA</c:v>
                </c:pt>
                <c:pt idx="22">
                  <c:v>FRM</c:v>
                </c:pt>
                <c:pt idx="23">
                  <c:v>Overall Average</c:v>
                </c:pt>
              </c:strCache>
            </c:strRef>
          </c:cat>
          <c:val>
            <c:numRef>
              <c:f>Chart!$AB$2:$AB$25</c:f>
              <c:numCache>
                <c:formatCode>_(* #,##0_);_(* \(#,##0\);_(* "-"??_);_(@_)</c:formatCode>
                <c:ptCount val="24"/>
                <c:pt idx="0">
                  <c:v>1.2407407407407405</c:v>
                </c:pt>
                <c:pt idx="1">
                  <c:v>-9.355932203389834</c:v>
                </c:pt>
                <c:pt idx="2">
                  <c:v>-2.0566037735849054</c:v>
                </c:pt>
                <c:pt idx="3">
                  <c:v>-5.5555555555555358E-2</c:v>
                </c:pt>
                <c:pt idx="4">
                  <c:v>-0.18867924528301927</c:v>
                </c:pt>
                <c:pt idx="5">
                  <c:v>2.7169811320754711</c:v>
                </c:pt>
                <c:pt idx="6">
                  <c:v>9.566037735849056</c:v>
                </c:pt>
                <c:pt idx="7">
                  <c:v>-4.3962264150943398</c:v>
                </c:pt>
                <c:pt idx="8">
                  <c:v>-2.4642857142857153</c:v>
                </c:pt>
                <c:pt idx="9">
                  <c:v>3.9259259259259256</c:v>
                </c:pt>
                <c:pt idx="10">
                  <c:v>7.7358490566037741</c:v>
                </c:pt>
                <c:pt idx="11">
                  <c:v>-4.2380952380952381</c:v>
                </c:pt>
                <c:pt idx="12">
                  <c:v>4.9482758620689644</c:v>
                </c:pt>
                <c:pt idx="13">
                  <c:v>0.77192982456140324</c:v>
                </c:pt>
                <c:pt idx="14">
                  <c:v>1.0909090909090908</c:v>
                </c:pt>
                <c:pt idx="15">
                  <c:v>1.4827586206896548</c:v>
                </c:pt>
                <c:pt idx="16">
                  <c:v>1.074074074074074</c:v>
                </c:pt>
                <c:pt idx="17">
                  <c:v>3.703703703703709E-2</c:v>
                </c:pt>
                <c:pt idx="18">
                  <c:v>0.39622641509433953</c:v>
                </c:pt>
                <c:pt idx="19">
                  <c:v>0.39622641509433953</c:v>
                </c:pt>
                <c:pt idx="20">
                  <c:v>0.66037735849056611</c:v>
                </c:pt>
                <c:pt idx="21">
                  <c:v>2.7222222222222223</c:v>
                </c:pt>
                <c:pt idx="22">
                  <c:v>1.358490566037736</c:v>
                </c:pt>
                <c:pt idx="23" formatCode="0.0">
                  <c:v>79.491525423728802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42-4E06-A7E7-6B5BB9CC8F33}"/>
            </c:ext>
          </c:extLst>
        </c:ser>
        <c:ser>
          <c:idx val="3"/>
          <c:order val="3"/>
          <c:tx>
            <c:strRef>
              <c:f>Chart!$AC$1</c:f>
              <c:strCache>
                <c:ptCount val="1"/>
                <c:pt idx="0">
                  <c:v>Approved Leave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Chart!$Y$2:$Y$25</c:f>
              <c:strCache>
                <c:ptCount val="24"/>
                <c:pt idx="0">
                  <c:v>C6 - Oil</c:v>
                </c:pt>
                <c:pt idx="1">
                  <c:v>C6 - Ghee</c:v>
                </c:pt>
                <c:pt idx="2">
                  <c:v>C39 - MG batch Making</c:v>
                </c:pt>
                <c:pt idx="3">
                  <c:v>Supply/ Dispatch (Common)</c:v>
                </c:pt>
                <c:pt idx="4">
                  <c:v>Printer (Common)</c:v>
                </c:pt>
                <c:pt idx="5">
                  <c:v>C6 - Raw Agri (Millets)</c:v>
                </c:pt>
                <c:pt idx="6">
                  <c:v>C39 - Honey / all Spices</c:v>
                </c:pt>
                <c:pt idx="7">
                  <c:v>C39 - Jaggery</c:v>
                </c:pt>
                <c:pt idx="8">
                  <c:v>C39 - Atta</c:v>
                </c:pt>
                <c:pt idx="9">
                  <c:v>C6 - Atta - 1</c:v>
                </c:pt>
                <c:pt idx="10">
                  <c:v>C6 Atta - 2</c:v>
                </c:pt>
                <c:pt idx="11">
                  <c:v>FRM - Khapal-Khapli</c:v>
                </c:pt>
                <c:pt idx="12">
                  <c:v>Supervisors + Executive+AM +HR</c:v>
                </c:pt>
                <c:pt idx="13">
                  <c:v>C39-HK</c:v>
                </c:pt>
                <c:pt idx="14">
                  <c:v>C6-HK</c:v>
                </c:pt>
                <c:pt idx="15">
                  <c:v>Maintenance-C6&amp;C39</c:v>
                </c:pt>
                <c:pt idx="16">
                  <c:v>Admin</c:v>
                </c:pt>
                <c:pt idx="17">
                  <c:v>Lab</c:v>
                </c:pt>
                <c:pt idx="18">
                  <c:v>Project</c:v>
                </c:pt>
                <c:pt idx="19">
                  <c:v>Accounts</c:v>
                </c:pt>
                <c:pt idx="20">
                  <c:v>IT</c:v>
                </c:pt>
                <c:pt idx="21">
                  <c:v>QA</c:v>
                </c:pt>
                <c:pt idx="22">
                  <c:v>FRM</c:v>
                </c:pt>
                <c:pt idx="23">
                  <c:v>Overall Average</c:v>
                </c:pt>
              </c:strCache>
            </c:strRef>
          </c:cat>
          <c:val>
            <c:numRef>
              <c:f>Chart!$AC$2:$AC$25</c:f>
              <c:numCache>
                <c:formatCode>General</c:formatCode>
                <c:ptCount val="24"/>
                <c:pt idx="23" formatCode="0.0">
                  <c:v>2.9090909090909092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42-4E06-A7E7-6B5BB9CC8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86351"/>
        <c:axId val="1487764463"/>
      </c:barChart>
      <c:catAx>
        <c:axId val="71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764463"/>
        <c:crosses val="autoZero"/>
        <c:auto val="1"/>
        <c:lblAlgn val="ctr"/>
        <c:lblOffset val="100"/>
        <c:noMultiLvlLbl val="0"/>
      </c:catAx>
      <c:valAx>
        <c:axId val="14877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Headcount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Factory 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Present 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8734422903019493E-2"/>
                  <c:y val="3.6227747002004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2F-48BB-A6C7-89E4E109E9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Chart!$A$130:$A$145</c:f>
              <c:numCache>
                <c:formatCode>d\-mmm</c:formatCode>
                <c:ptCount val="16"/>
                <c:pt idx="0">
                  <c:v>46302</c:v>
                </c:pt>
                <c:pt idx="1">
                  <c:v>46303</c:v>
                </c:pt>
                <c:pt idx="2">
                  <c:v>46304</c:v>
                </c:pt>
                <c:pt idx="3">
                  <c:v>46305</c:v>
                </c:pt>
                <c:pt idx="4">
                  <c:v>46306</c:v>
                </c:pt>
                <c:pt idx="5">
                  <c:v>46307</c:v>
                </c:pt>
                <c:pt idx="6">
                  <c:v>46308</c:v>
                </c:pt>
                <c:pt idx="7">
                  <c:v>46309</c:v>
                </c:pt>
                <c:pt idx="8">
                  <c:v>46310</c:v>
                </c:pt>
                <c:pt idx="9">
                  <c:v>46311</c:v>
                </c:pt>
                <c:pt idx="10">
                  <c:v>46312</c:v>
                </c:pt>
                <c:pt idx="11">
                  <c:v>46313</c:v>
                </c:pt>
                <c:pt idx="12">
                  <c:v>46314</c:v>
                </c:pt>
                <c:pt idx="13">
                  <c:v>46315</c:v>
                </c:pt>
                <c:pt idx="14">
                  <c:v>46316</c:v>
                </c:pt>
                <c:pt idx="15">
                  <c:v>46317</c:v>
                </c:pt>
              </c:numCache>
            </c:numRef>
          </c:cat>
          <c:val>
            <c:numRef>
              <c:f>Chart!$C$130:$C$145</c:f>
              <c:numCache>
                <c:formatCode>General</c:formatCode>
                <c:ptCount val="16"/>
                <c:pt idx="0">
                  <c:v>222</c:v>
                </c:pt>
                <c:pt idx="1">
                  <c:v>155</c:v>
                </c:pt>
                <c:pt idx="2">
                  <c:v>231</c:v>
                </c:pt>
                <c:pt idx="3">
                  <c:v>211</c:v>
                </c:pt>
                <c:pt idx="4">
                  <c:v>91</c:v>
                </c:pt>
                <c:pt idx="5">
                  <c:v>195</c:v>
                </c:pt>
                <c:pt idx="6">
                  <c:v>234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B-4BC4-A510-38CB017992D1}"/>
            </c:ext>
          </c:extLst>
        </c:ser>
        <c:ser>
          <c:idx val="1"/>
          <c:order val="1"/>
          <c:tx>
            <c:v>Total OT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Chart!$A$130:$A$145</c:f>
              <c:numCache>
                <c:formatCode>d\-mmm</c:formatCode>
                <c:ptCount val="16"/>
                <c:pt idx="0">
                  <c:v>46302</c:v>
                </c:pt>
                <c:pt idx="1">
                  <c:v>46303</c:v>
                </c:pt>
                <c:pt idx="2">
                  <c:v>46304</c:v>
                </c:pt>
                <c:pt idx="3">
                  <c:v>46305</c:v>
                </c:pt>
                <c:pt idx="4">
                  <c:v>46306</c:v>
                </c:pt>
                <c:pt idx="5">
                  <c:v>46307</c:v>
                </c:pt>
                <c:pt idx="6">
                  <c:v>46308</c:v>
                </c:pt>
                <c:pt idx="7">
                  <c:v>46309</c:v>
                </c:pt>
                <c:pt idx="8">
                  <c:v>46310</c:v>
                </c:pt>
                <c:pt idx="9">
                  <c:v>46311</c:v>
                </c:pt>
                <c:pt idx="10">
                  <c:v>46312</c:v>
                </c:pt>
                <c:pt idx="11">
                  <c:v>46313</c:v>
                </c:pt>
                <c:pt idx="12">
                  <c:v>46314</c:v>
                </c:pt>
                <c:pt idx="13">
                  <c:v>46315</c:v>
                </c:pt>
                <c:pt idx="14">
                  <c:v>46316</c:v>
                </c:pt>
                <c:pt idx="15">
                  <c:v>46317</c:v>
                </c:pt>
              </c:numCache>
            </c:numRef>
          </c:cat>
          <c:val>
            <c:numRef>
              <c:f>Chart!$D$130:$D$145</c:f>
              <c:numCache>
                <c:formatCode>General</c:formatCode>
                <c:ptCount val="16"/>
                <c:pt idx="0">
                  <c:v>85</c:v>
                </c:pt>
                <c:pt idx="1">
                  <c:v>92</c:v>
                </c:pt>
                <c:pt idx="2">
                  <c:v>101</c:v>
                </c:pt>
                <c:pt idx="3">
                  <c:v>90</c:v>
                </c:pt>
                <c:pt idx="4">
                  <c:v>96</c:v>
                </c:pt>
                <c:pt idx="5">
                  <c:v>#N/A</c:v>
                </c:pt>
                <c:pt idx="6">
                  <c:v>92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EB-4BC4-A510-38CB017992D1}"/>
            </c:ext>
          </c:extLst>
        </c:ser>
        <c:ser>
          <c:idx val="2"/>
          <c:order val="2"/>
          <c:tx>
            <c:v>Target MP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4845958426319713E-2"/>
                  <c:y val="-5.13460470944682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2F-48BB-A6C7-89E4E109E9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Chart!$A$130:$A$145</c:f>
              <c:numCache>
                <c:formatCode>d\-mmm</c:formatCode>
                <c:ptCount val="16"/>
                <c:pt idx="0">
                  <c:v>46302</c:v>
                </c:pt>
                <c:pt idx="1">
                  <c:v>46303</c:v>
                </c:pt>
                <c:pt idx="2">
                  <c:v>46304</c:v>
                </c:pt>
                <c:pt idx="3">
                  <c:v>46305</c:v>
                </c:pt>
                <c:pt idx="4">
                  <c:v>46306</c:v>
                </c:pt>
                <c:pt idx="5">
                  <c:v>46307</c:v>
                </c:pt>
                <c:pt idx="6">
                  <c:v>46308</c:v>
                </c:pt>
                <c:pt idx="7">
                  <c:v>46309</c:v>
                </c:pt>
                <c:pt idx="8">
                  <c:v>46310</c:v>
                </c:pt>
                <c:pt idx="9">
                  <c:v>46311</c:v>
                </c:pt>
                <c:pt idx="10">
                  <c:v>46312</c:v>
                </c:pt>
                <c:pt idx="11">
                  <c:v>46313</c:v>
                </c:pt>
                <c:pt idx="12">
                  <c:v>46314</c:v>
                </c:pt>
                <c:pt idx="13">
                  <c:v>46315</c:v>
                </c:pt>
                <c:pt idx="14">
                  <c:v>46316</c:v>
                </c:pt>
                <c:pt idx="15">
                  <c:v>46317</c:v>
                </c:pt>
              </c:numCache>
            </c:numRef>
          </c:cat>
          <c:val>
            <c:numRef>
              <c:f>Chart!$F$130:$F$145</c:f>
              <c:numCache>
                <c:formatCode>General</c:formatCode>
                <c:ptCount val="16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EB-4BC4-A510-38CB0179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570056"/>
        <c:axId val="445535240"/>
      </c:lineChart>
      <c:dateAx>
        <c:axId val="4455700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35240"/>
        <c:crosses val="autoZero"/>
        <c:auto val="1"/>
        <c:lblOffset val="100"/>
        <c:baseTimeUnit val="days"/>
      </c:dateAx>
      <c:valAx>
        <c:axId val="445535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5570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Chart!$Y$45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Chart!$X$46:$X$56</c:f>
              <c:numCache>
                <c:formatCode>[$-409]d\-mmm;@</c:formatCode>
                <c:ptCount val="11"/>
              </c:numCache>
            </c:numRef>
          </c:cat>
          <c:val>
            <c:numRef>
              <c:f>Chart!$Y$46:$Y$56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E-47FA-8F8A-B6F0C3A995DC}"/>
            </c:ext>
          </c:extLst>
        </c:ser>
        <c:ser>
          <c:idx val="1"/>
          <c:order val="1"/>
          <c:tx>
            <c:strRef>
              <c:f>Chart!$Z$45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Chart!$X$46:$X$56</c:f>
              <c:numCache>
                <c:formatCode>[$-409]d\-mmm;@</c:formatCode>
                <c:ptCount val="11"/>
              </c:numCache>
            </c:numRef>
          </c:cat>
          <c:val>
            <c:numRef>
              <c:f>Chart!$Z$46:$Z$56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6E-47FA-8F8A-B6F0C3A9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953288"/>
        <c:axId val="585956360"/>
      </c:lineChart>
      <c:catAx>
        <c:axId val="585953288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56360"/>
        <c:crosses val="autoZero"/>
        <c:auto val="1"/>
        <c:lblAlgn val="ctr"/>
        <c:lblOffset val="100"/>
        <c:noMultiLvlLbl val="1"/>
      </c:catAx>
      <c:valAx>
        <c:axId val="585956360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58595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19050</xdr:rowOff>
    </xdr:from>
    <xdr:to>
      <xdr:col>14</xdr:col>
      <xdr:colOff>38100</xdr:colOff>
      <xdr:row>30</xdr:row>
      <xdr:rowOff>19050</xdr:rowOff>
    </xdr:to>
    <xdr:graphicFrame macro="">
      <xdr:nvGraphicFramePr>
        <xdr:cNvPr id="3" name="Attendance Trend">
          <a:extLst>
            <a:ext uri="{FF2B5EF4-FFF2-40B4-BE49-F238E27FC236}">
              <a16:creationId xmlns:a16="http://schemas.microsoft.com/office/drawing/2014/main" id="{9E1E9EF5-5469-F7C8-142D-2FA1BAC06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4" name="Top Manpower Gaps">
          <a:extLst>
            <a:ext uri="{FF2B5EF4-FFF2-40B4-BE49-F238E27FC236}">
              <a16:creationId xmlns:a16="http://schemas.microsoft.com/office/drawing/2014/main" id="{E47891B8-8BD3-7B32-CB79-C261E9FA1A69}"/>
            </a:ext>
            <a:ext uri="{147F2762-F138-4A5C-976F-8EAC2B608ADB}">
              <a16:predDERef xmlns:a16="http://schemas.microsoft.com/office/drawing/2014/main" pred="{9E1E9EF5-5469-F7C8-142D-2FA1BAC06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TodayChart">
          <a:extLst>
            <a:ext uri="{FF2B5EF4-FFF2-40B4-BE49-F238E27FC236}">
              <a16:creationId xmlns:a16="http://schemas.microsoft.com/office/drawing/2014/main" id="{FEC97608-127A-24AD-CE9F-C7DD955E8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3" name="MonthlyChart">
          <a:extLst>
            <a:ext uri="{FF2B5EF4-FFF2-40B4-BE49-F238E27FC236}">
              <a16:creationId xmlns:a16="http://schemas.microsoft.com/office/drawing/2014/main" id="{C84F5DD8-7980-3291-8C6F-D0C2B1D2C234}"/>
            </a:ext>
            <a:ext uri="{147F2762-F138-4A5C-976F-8EAC2B608ADB}">
              <a16:predDERef xmlns:a16="http://schemas.microsoft.com/office/drawing/2014/main" pred="{FEC97608-127A-24AD-CE9F-C7DD955E8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0</xdr:rowOff>
    </xdr:from>
    <xdr:to>
      <xdr:col>18</xdr:col>
      <xdr:colOff>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32DF0-1D64-4E8E-3B73-4F6AFAB9E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923925</xdr:colOff>
      <xdr:row>18</xdr:row>
      <xdr:rowOff>161925</xdr:rowOff>
    </xdr:from>
    <xdr:to>
      <xdr:col>18</xdr:col>
      <xdr:colOff>542925</xdr:colOff>
      <xdr:row>52</xdr:row>
      <xdr:rowOff>47625</xdr:rowOff>
    </xdr:to>
    <xdr:graphicFrame macro="">
      <xdr:nvGraphicFramePr>
        <xdr:cNvPr id="5" name="SectionMPChart">
          <a:extLst>
            <a:ext uri="{FF2B5EF4-FFF2-40B4-BE49-F238E27FC236}">
              <a16:creationId xmlns:a16="http://schemas.microsoft.com/office/drawing/2014/main" id="{BDC594CD-EA7B-F108-6AC2-7DC2671BC7DF}"/>
            </a:ext>
            <a:ext uri="{147F2762-F138-4A5C-976F-8EAC2B608ADB}">
              <a16:predDERef xmlns:a16="http://schemas.microsoft.com/office/drawing/2014/main" pred="{D7F32DF0-1D64-4E8E-3B73-4F6AFAB9E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</xdr:colOff>
      <xdr:row>51</xdr:row>
      <xdr:rowOff>66675</xdr:rowOff>
    </xdr:from>
    <xdr:to>
      <xdr:col>20</xdr:col>
      <xdr:colOff>1162050</xdr:colOff>
      <xdr:row>74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32686C9-CCAE-BF3C-1679-125AF4F9C1AA}"/>
            </a:ext>
            <a:ext uri="{147F2762-F138-4A5C-976F-8EAC2B608ADB}">
              <a16:predDERef xmlns:a16="http://schemas.microsoft.com/office/drawing/2014/main" pred="{BDC594CD-EA7B-F108-6AC2-7DC2671BC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428625</xdr:colOff>
      <xdr:row>0</xdr:row>
      <xdr:rowOff>180975</xdr:rowOff>
    </xdr:from>
    <xdr:to>
      <xdr:col>18</xdr:col>
      <xdr:colOff>428625</xdr:colOff>
      <xdr:row>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D98415-D16F-A07F-899E-C3E47724DC3F}"/>
            </a:ext>
            <a:ext uri="{147F2762-F138-4A5C-976F-8EAC2B608ADB}">
              <a16:predDERef xmlns:a16="http://schemas.microsoft.com/office/drawing/2014/main" pred="{032686C9-CCAE-BF3C-1679-125AF4F9C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mpat Gawade" id="{09854B33-AAB1-4E07-B9F5-13B16AE64716}" userId="S::sampat.gawade@twobrothersindia.com::b89a63b0-0f83-4e8e-8891-35b566fc7700" providerId="AD"/>
  <person displayName="Shekhar Sonawane" id="{2D0A992B-2DF4-423D-B2A7-1163BA7C5ED9}" userId="S::shekhar.sonawane@twobrothersindia.com::46851191-7d26-4144-8062-824cd4e4d78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12364-3345-467B-9749-BC9DB2D7039C}" name="Table1" displayName="Table1" ref="T30:W46" headerRowCount="0" totalsRowShown="0">
  <tableColumns count="4">
    <tableColumn id="1" xr3:uid="{C08032A6-4204-452C-B7FC-92747C6A8EC8}" name="Column1" dataDxfId="1">
      <calculatedColumnFormula>T1</calculatedColumnFormula>
    </tableColumn>
    <tableColumn id="2" xr3:uid="{2B10B599-4072-458D-BEFA-5DAE1470191B}" name="Column2">
      <calculatedColumnFormula>U1</calculatedColumnFormula>
    </tableColumn>
    <tableColumn id="3" xr3:uid="{C3E137D7-1B7D-4C70-819F-3F1DD1D93EEA}" name="Column3">
      <calculatedColumnFormula>V1</calculatedColumnFormula>
    </tableColumn>
    <tableColumn id="4" xr3:uid="{7D986C30-ADE1-4082-9DDE-2A849313539D}" name="Column4">
      <calculatedColumnFormula>W1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F8FD7-E954-49D3-B6E1-AECA4DBD18F0}" name="Table2" displayName="Table2" ref="T19:U29" headerRowCount="0" totalsRowShown="0">
  <tableColumns count="2">
    <tableColumn id="1" xr3:uid="{193E0348-9E68-4853-906B-6F99CF5F1956}" name="Column1"/>
    <tableColumn id="2" xr3:uid="{7352CD97-8C86-4694-B1E8-0BBF54989AD2}" name="Column2" dataDxfId="0">
      <calculatedColumnFormula>W$17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6-06-03T06:38:05.07" personId="{2D0A992B-2DF4-423D-B2A7-1163BA7C5ED9}" id="{1A6BC626-B844-46BF-8ADA-E62A57E07377}">
    <text>8MP Dairy night</text>
  </threadedComment>
  <threadedComment ref="F4" dT="2026-06-03T07:47:45.00" personId="{2D0A992B-2DF4-423D-B2A7-1163BA7C5ED9}" id="{171BFD51-DD01-43F9-85A8-B1D181812764}">
    <text>9MP Dairy Night</text>
  </threadedComment>
  <threadedComment ref="G4" dT="2026-06-04T05:13:16.68" personId="{2D0A992B-2DF4-423D-B2A7-1163BA7C5ED9}" id="{AB7E6200-7954-46D4-B6F5-A3B7DE59FE4D}">
    <text>9MP DN</text>
  </threadedComment>
  <threadedComment ref="H4" dT="2026-06-05T04:31:25.74" personId="{2D0A992B-2DF4-423D-B2A7-1163BA7C5ED9}" id="{C8C7DC2F-AB67-46EB-9A7D-68BBC0CC1EB1}">
    <text>9MP DN</text>
  </threadedComment>
  <threadedComment ref="BG6" dT="2026-07-25T04:55:18.34" personId="{09854B33-AAB1-4E07-B9F5-13B16AE64716}" id="{1D625232-26C4-4A19-81C4-24AB01280CDC}">
    <text xml:space="preserve">6MP LESS DUE TO AUDIT AT RMPM WH
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466304A-D9D5-4FAD-AAB7-630917F9C3CC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fde95a46-8579-487c-bba9-16fac497e1d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A644B15-77E2-445F-A6F1-8FD90EDDEEC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09808f2-9883-4ce0-b0b4-b368be7dd7e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2215-2831-4182-81A3-DB2F55266139}">
  <sheetPr>
    <tabColor rgb="FF0F4C5C"/>
  </sheetPr>
  <dimension ref="A1:GS52"/>
  <sheetViews>
    <sheetView showGridLines="0" tabSelected="1" workbookViewId="0">
      <selection activeCell="B4" sqref="B4:C4"/>
    </sheetView>
  </sheetViews>
  <sheetFormatPr defaultRowHeight="15"/>
  <cols>
    <col min="3" max="3" width="14.140625" customWidth="1"/>
    <col min="16" max="16" width="11.5703125" customWidth="1"/>
    <col min="18" max="18" width="11.140625" bestFit="1" customWidth="1"/>
    <col min="22" max="36" width="0" hidden="1" customWidth="1"/>
    <col min="180" max="182" width="9.140625" customWidth="1"/>
  </cols>
  <sheetData>
    <row r="1" spans="1:201">
      <c r="A1" s="340" t="s">
        <v>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</row>
    <row r="2" spans="1:201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P2" s="285" t="s">
        <v>1</v>
      </c>
      <c r="Q2" s="285" t="s">
        <v>2</v>
      </c>
      <c r="R2" s="285" t="s">
        <v>3</v>
      </c>
      <c r="S2" s="285" t="s">
        <v>4</v>
      </c>
      <c r="T2" s="285" t="s">
        <v>5</v>
      </c>
      <c r="U2" s="285" t="s">
        <v>6</v>
      </c>
      <c r="AA2" s="98">
        <f>'Daily Tracker'!E$2</f>
        <v>46174</v>
      </c>
      <c r="AB2" s="98">
        <f>'Daily Tracker'!F$2</f>
        <v>46175</v>
      </c>
      <c r="AC2" s="98">
        <f>'Daily Tracker'!G$2</f>
        <v>46176</v>
      </c>
      <c r="AD2" s="98">
        <f>'Daily Tracker'!H$2</f>
        <v>46177</v>
      </c>
      <c r="AE2" s="98">
        <f>'Daily Tracker'!I$2</f>
        <v>46178</v>
      </c>
      <c r="AF2" s="98">
        <f>'Daily Tracker'!J$2</f>
        <v>46179</v>
      </c>
      <c r="AG2" s="98">
        <f>'Daily Tracker'!K$2</f>
        <v>46180</v>
      </c>
      <c r="AH2" s="98">
        <f>'Daily Tracker'!L$2</f>
        <v>46181</v>
      </c>
      <c r="AI2" s="98">
        <f>'Daily Tracker'!M$2</f>
        <v>46182</v>
      </c>
      <c r="AJ2" s="98">
        <f>'Daily Tracker'!N$2</f>
        <v>46183</v>
      </c>
      <c r="AK2" s="98">
        <f>'Daily Tracker'!O$2</f>
        <v>46184</v>
      </c>
      <c r="AL2" s="98">
        <f>'Daily Tracker'!P$2</f>
        <v>46185</v>
      </c>
      <c r="AM2" s="98">
        <f>'Daily Tracker'!Q$2</f>
        <v>46186</v>
      </c>
      <c r="AN2" s="98">
        <f>'Daily Tracker'!R$2</f>
        <v>46187</v>
      </c>
      <c r="AO2" s="98">
        <f>'Daily Tracker'!S$2</f>
        <v>46188</v>
      </c>
      <c r="AP2" s="98">
        <f>'Daily Tracker'!T$2</f>
        <v>46189</v>
      </c>
      <c r="AQ2" s="98">
        <f>'Daily Tracker'!U$2</f>
        <v>46190</v>
      </c>
      <c r="AR2" s="98">
        <f>'Daily Tracker'!V$2</f>
        <v>46191</v>
      </c>
      <c r="AS2" s="98">
        <f>'Daily Tracker'!W$2</f>
        <v>46192</v>
      </c>
      <c r="AT2" s="98">
        <f>'Daily Tracker'!X$2</f>
        <v>46193</v>
      </c>
      <c r="AU2" s="98">
        <f>'Daily Tracker'!Y$2</f>
        <v>46194</v>
      </c>
      <c r="AV2" s="98">
        <f>'Daily Tracker'!Z$2</f>
        <v>46195</v>
      </c>
      <c r="AW2" s="98">
        <f>'Daily Tracker'!AA$2</f>
        <v>46196</v>
      </c>
      <c r="AX2" s="98">
        <f>'Daily Tracker'!AB$2</f>
        <v>46197</v>
      </c>
      <c r="AY2" s="98">
        <f>'Daily Tracker'!AC$2</f>
        <v>46198</v>
      </c>
      <c r="AZ2" s="98">
        <f>'Daily Tracker'!AD$2</f>
        <v>46199</v>
      </c>
      <c r="BA2" s="98">
        <f>'Daily Tracker'!AE$2</f>
        <v>46200</v>
      </c>
      <c r="BB2" s="98">
        <f>'Daily Tracker'!AF$2</f>
        <v>46201</v>
      </c>
      <c r="BC2" s="98">
        <f>'Daily Tracker'!AG$2</f>
        <v>46202</v>
      </c>
      <c r="BD2" s="98">
        <f>'Daily Tracker'!AH$2</f>
        <v>46203</v>
      </c>
      <c r="BE2" s="98">
        <f>'Daily Tracker'!AI$2</f>
        <v>46204</v>
      </c>
      <c r="BF2" s="98">
        <f>'Daily Tracker'!AJ$2</f>
        <v>46205</v>
      </c>
      <c r="BG2" s="98">
        <f>'Daily Tracker'!AK$2</f>
        <v>46206</v>
      </c>
      <c r="BH2" s="98">
        <f>'Daily Tracker'!AL$2</f>
        <v>46207</v>
      </c>
      <c r="BI2" s="98">
        <f>'Daily Tracker'!AM$2</f>
        <v>46208</v>
      </c>
      <c r="BJ2" s="98">
        <f>'Daily Tracker'!AN$2</f>
        <v>46209</v>
      </c>
      <c r="BK2" s="98">
        <f>'Daily Tracker'!AO$2</f>
        <v>46210</v>
      </c>
      <c r="BL2" s="98">
        <f>'Daily Tracker'!AP$2</f>
        <v>46211</v>
      </c>
      <c r="BM2" s="98">
        <f>'Daily Tracker'!AQ$2</f>
        <v>46212</v>
      </c>
      <c r="BN2" s="98">
        <f>'Daily Tracker'!AR$2</f>
        <v>46213</v>
      </c>
      <c r="BO2" s="98">
        <f>'Daily Tracker'!AS$2</f>
        <v>46214</v>
      </c>
      <c r="BP2" s="98">
        <f>'Daily Tracker'!AT$2</f>
        <v>46215</v>
      </c>
      <c r="BQ2" s="98">
        <f>'Daily Tracker'!AU$2</f>
        <v>46216</v>
      </c>
      <c r="BR2" s="98">
        <f>'Daily Tracker'!AV$2</f>
        <v>46217</v>
      </c>
      <c r="BS2" s="98">
        <f>'Daily Tracker'!AW$2</f>
        <v>46218</v>
      </c>
      <c r="BT2" s="98">
        <f>'Daily Tracker'!AX$2</f>
        <v>46219</v>
      </c>
      <c r="BU2" s="98">
        <f>'Daily Tracker'!AY$2</f>
        <v>46220</v>
      </c>
      <c r="BV2" s="98">
        <f>'Daily Tracker'!AZ$2</f>
        <v>46221</v>
      </c>
      <c r="BW2" s="98">
        <f>'Daily Tracker'!BA$2</f>
        <v>46222</v>
      </c>
      <c r="BX2" s="98">
        <f>'Daily Tracker'!BB$2</f>
        <v>46223</v>
      </c>
      <c r="BY2" s="98">
        <f>'Daily Tracker'!BC$2</f>
        <v>46224</v>
      </c>
      <c r="BZ2" s="98">
        <f>'Daily Tracker'!BD$2</f>
        <v>46225</v>
      </c>
      <c r="CA2" s="98">
        <f>'Daily Tracker'!BE$2</f>
        <v>46226</v>
      </c>
      <c r="CB2" s="98">
        <f>'Daily Tracker'!BF$2</f>
        <v>46227</v>
      </c>
      <c r="CC2" s="98">
        <f>'Daily Tracker'!BG$2</f>
        <v>46228</v>
      </c>
      <c r="CD2" s="98">
        <f>'Daily Tracker'!BH$2</f>
        <v>46229</v>
      </c>
      <c r="CE2" s="98">
        <f>'Daily Tracker'!BI$2</f>
        <v>46230</v>
      </c>
      <c r="CF2" s="98">
        <f>'Daily Tracker'!BJ$2</f>
        <v>46231</v>
      </c>
      <c r="CG2" s="98">
        <f>'Daily Tracker'!BK$2</f>
        <v>46232</v>
      </c>
      <c r="CH2" s="98">
        <f>'Daily Tracker'!BL$2</f>
        <v>46233</v>
      </c>
      <c r="CI2" s="98">
        <f>'Daily Tracker'!BM$2</f>
        <v>46234</v>
      </c>
      <c r="CJ2" s="98">
        <f>'Daily Tracker'!BN$2</f>
        <v>46235</v>
      </c>
      <c r="CK2" s="98">
        <f>'Daily Tracker'!BO$2</f>
        <v>46236</v>
      </c>
      <c r="CL2" s="98">
        <f>'Daily Tracker'!BP$2</f>
        <v>46237</v>
      </c>
      <c r="CM2" s="98">
        <f>'Daily Tracker'!BQ$2</f>
        <v>46238</v>
      </c>
      <c r="CN2" s="98">
        <f>'Daily Tracker'!BR$2</f>
        <v>46239</v>
      </c>
      <c r="CO2" s="98">
        <f>'Daily Tracker'!BS$2</f>
        <v>46240</v>
      </c>
      <c r="CP2" s="98">
        <f>'Daily Tracker'!BT$2</f>
        <v>46241</v>
      </c>
      <c r="CQ2" s="98">
        <f>'Daily Tracker'!BU$2</f>
        <v>46242</v>
      </c>
      <c r="CR2" s="98">
        <f>'Daily Tracker'!BV$2</f>
        <v>46243</v>
      </c>
      <c r="CS2" s="98">
        <f>'Daily Tracker'!BW$2</f>
        <v>46244</v>
      </c>
      <c r="CT2" s="98">
        <f>'Daily Tracker'!BX$2</f>
        <v>46245</v>
      </c>
      <c r="CU2" s="98">
        <f>'Daily Tracker'!BY$2</f>
        <v>46246</v>
      </c>
      <c r="CV2" s="98">
        <f>'Daily Tracker'!BZ$2</f>
        <v>46247</v>
      </c>
      <c r="CW2" s="98">
        <f>'Daily Tracker'!CA$2</f>
        <v>46248</v>
      </c>
      <c r="CX2" s="98">
        <f>'Daily Tracker'!CB$2</f>
        <v>46249</v>
      </c>
      <c r="CY2" s="98">
        <f>'Daily Tracker'!CC$2</f>
        <v>46250</v>
      </c>
      <c r="CZ2" s="98">
        <f>'Daily Tracker'!CD$2</f>
        <v>46251</v>
      </c>
      <c r="DA2" s="98">
        <f>'Daily Tracker'!CE$2</f>
        <v>46252</v>
      </c>
      <c r="DB2" s="98">
        <f>'Daily Tracker'!CF$2</f>
        <v>46253</v>
      </c>
      <c r="DC2" s="98">
        <f>'Daily Tracker'!CG$2</f>
        <v>46254</v>
      </c>
      <c r="DD2" s="98">
        <f>'Daily Tracker'!CH$2</f>
        <v>46255</v>
      </c>
      <c r="DE2" s="98">
        <f>'Daily Tracker'!CI$2</f>
        <v>46256</v>
      </c>
      <c r="DF2" s="98">
        <f>'Daily Tracker'!CJ$2</f>
        <v>46257</v>
      </c>
      <c r="DG2" s="98">
        <f>'Daily Tracker'!CK$2</f>
        <v>46258</v>
      </c>
      <c r="DH2" s="98">
        <f>'Daily Tracker'!CL$2</f>
        <v>46259</v>
      </c>
      <c r="DI2" s="98">
        <f>'Daily Tracker'!CM$2</f>
        <v>46260</v>
      </c>
      <c r="DJ2" s="98">
        <f>'Daily Tracker'!CN$2</f>
        <v>46261</v>
      </c>
      <c r="DK2" s="98">
        <f>'Daily Tracker'!CO$2</f>
        <v>46262</v>
      </c>
      <c r="DL2" s="98">
        <f>'Daily Tracker'!CP$2</f>
        <v>46263</v>
      </c>
      <c r="DM2" s="98">
        <f>'Daily Tracker'!CQ$2</f>
        <v>46264</v>
      </c>
      <c r="DN2" s="98">
        <f>'Daily Tracker'!CR$2</f>
        <v>46265</v>
      </c>
      <c r="DO2" s="98">
        <f>'Daily Tracker'!CS$2</f>
        <v>46266</v>
      </c>
      <c r="DP2" s="98">
        <f>'Daily Tracker'!CT$2</f>
        <v>46267</v>
      </c>
      <c r="DQ2" s="98">
        <f>'Daily Tracker'!CU$2</f>
        <v>46268</v>
      </c>
      <c r="DR2" s="98">
        <f>'Daily Tracker'!CV$2</f>
        <v>46269</v>
      </c>
      <c r="DS2" s="98">
        <f>'Daily Tracker'!CW$2</f>
        <v>46270</v>
      </c>
      <c r="DT2" s="98">
        <f>'Daily Tracker'!CX$2</f>
        <v>46271</v>
      </c>
      <c r="DU2" s="98">
        <f>'Daily Tracker'!CY$2</f>
        <v>46272</v>
      </c>
      <c r="DV2" s="98">
        <f>'Daily Tracker'!CZ$2</f>
        <v>46273</v>
      </c>
      <c r="DW2" s="98">
        <f>'Daily Tracker'!DA$2</f>
        <v>46274</v>
      </c>
      <c r="DX2" s="98">
        <f>'Daily Tracker'!DB$2</f>
        <v>46275</v>
      </c>
      <c r="DY2" s="98">
        <f>'Daily Tracker'!DC$2</f>
        <v>46276</v>
      </c>
      <c r="DZ2" s="98">
        <f>'Daily Tracker'!DD$2</f>
        <v>46277</v>
      </c>
      <c r="EA2" s="98">
        <f>'Daily Tracker'!DE$2</f>
        <v>46278</v>
      </c>
      <c r="EB2" s="98">
        <f>'Daily Tracker'!DF$2</f>
        <v>46279</v>
      </c>
      <c r="EC2" s="98">
        <f>'Daily Tracker'!DG$2</f>
        <v>46280</v>
      </c>
      <c r="ED2" s="98">
        <f>'Daily Tracker'!DH$2</f>
        <v>46281</v>
      </c>
      <c r="EE2" s="98">
        <f>'Daily Tracker'!DI$2</f>
        <v>46282</v>
      </c>
      <c r="EF2" s="98">
        <f>'Daily Tracker'!DJ$2</f>
        <v>46283</v>
      </c>
      <c r="EG2" s="98">
        <f>'Daily Tracker'!DK$2</f>
        <v>46284</v>
      </c>
      <c r="EH2" s="98">
        <f>'Daily Tracker'!DL$2</f>
        <v>46285</v>
      </c>
      <c r="EI2" s="98">
        <f>'Daily Tracker'!DM$2</f>
        <v>46286</v>
      </c>
      <c r="EJ2" s="98">
        <f>'Daily Tracker'!DN$2</f>
        <v>46287</v>
      </c>
      <c r="EK2" s="98">
        <f>'Daily Tracker'!DO$2</f>
        <v>46288</v>
      </c>
      <c r="EL2" s="98">
        <f>'Daily Tracker'!DP$2</f>
        <v>46289</v>
      </c>
      <c r="EM2" s="98">
        <f>'Daily Tracker'!DQ$2</f>
        <v>46290</v>
      </c>
      <c r="EN2" s="98">
        <f>'Daily Tracker'!DR$2</f>
        <v>46291</v>
      </c>
      <c r="EO2" s="98">
        <f>'Daily Tracker'!DS$2</f>
        <v>46292</v>
      </c>
      <c r="EP2" s="98">
        <f>'Daily Tracker'!DT$2</f>
        <v>46293</v>
      </c>
      <c r="EQ2" s="98">
        <f>'Daily Tracker'!DU$2</f>
        <v>46294</v>
      </c>
      <c r="ER2" s="98">
        <f>'Daily Tracker'!DV$2</f>
        <v>46295</v>
      </c>
      <c r="ES2" s="98">
        <f>'Daily Tracker'!DW$2</f>
        <v>46296</v>
      </c>
      <c r="ET2" s="98">
        <f>'Daily Tracker'!DX$2</f>
        <v>46297</v>
      </c>
      <c r="EU2" s="98">
        <f>'Daily Tracker'!DY$2</f>
        <v>46298</v>
      </c>
      <c r="EV2" s="98">
        <f>'Daily Tracker'!DZ$2</f>
        <v>46299</v>
      </c>
      <c r="EW2" s="98">
        <f>'Daily Tracker'!EA$2</f>
        <v>46300</v>
      </c>
      <c r="EX2" s="98">
        <f>'Daily Tracker'!EB$2</f>
        <v>46301</v>
      </c>
      <c r="EY2" s="98">
        <f>'Daily Tracker'!EC$2</f>
        <v>46302</v>
      </c>
      <c r="EZ2" s="98">
        <f>'Daily Tracker'!ED$2</f>
        <v>46303</v>
      </c>
      <c r="FA2" s="98">
        <f>'Daily Tracker'!EE$2</f>
        <v>46304</v>
      </c>
      <c r="FB2" s="98">
        <f>'Daily Tracker'!EF$2</f>
        <v>46305</v>
      </c>
      <c r="FC2" s="98">
        <f>'Daily Tracker'!EG$2</f>
        <v>46306</v>
      </c>
      <c r="FD2" s="98">
        <f>'Daily Tracker'!EH$2</f>
        <v>46307</v>
      </c>
      <c r="FE2" s="98">
        <f>'Daily Tracker'!EI$2</f>
        <v>46308</v>
      </c>
      <c r="FF2" s="98">
        <f>'Daily Tracker'!EJ$2</f>
        <v>46309</v>
      </c>
      <c r="FG2" s="98">
        <f>'Daily Tracker'!EK$2</f>
        <v>46310</v>
      </c>
      <c r="FH2" s="98">
        <f>'Daily Tracker'!EL$2</f>
        <v>46311</v>
      </c>
      <c r="FI2" s="98">
        <f>'Daily Tracker'!EM$2</f>
        <v>46312</v>
      </c>
      <c r="FJ2" s="98">
        <f>'Daily Tracker'!EN$2</f>
        <v>46313</v>
      </c>
      <c r="FK2" s="98">
        <f>'Daily Tracker'!EO$2</f>
        <v>46314</v>
      </c>
      <c r="FL2" s="98">
        <f>'Daily Tracker'!EP$2</f>
        <v>46315</v>
      </c>
      <c r="FM2" s="98">
        <f>'Daily Tracker'!EQ$2</f>
        <v>46316</v>
      </c>
      <c r="FN2" s="98">
        <f>'Daily Tracker'!ER$2</f>
        <v>46317</v>
      </c>
      <c r="FO2" s="98">
        <f>'Daily Tracker'!ES$2</f>
        <v>46318</v>
      </c>
      <c r="FP2" s="98">
        <f>'Daily Tracker'!ET$2</f>
        <v>46319</v>
      </c>
      <c r="FQ2" s="98">
        <f>'Daily Tracker'!EU$2</f>
        <v>46320</v>
      </c>
      <c r="FR2" s="98">
        <f>'Daily Tracker'!EV$2</f>
        <v>46321</v>
      </c>
      <c r="FS2" s="98">
        <f>'Daily Tracker'!EW$2</f>
        <v>46322</v>
      </c>
      <c r="FT2" s="98">
        <f>'Daily Tracker'!EX$2</f>
        <v>46323</v>
      </c>
      <c r="FU2" s="98">
        <f>'Daily Tracker'!EY$2</f>
        <v>46324</v>
      </c>
      <c r="FV2" s="98">
        <f>'Daily Tracker'!EZ$2</f>
        <v>46325</v>
      </c>
      <c r="FW2" s="98">
        <f>'Daily Tracker'!FA$2</f>
        <v>46326</v>
      </c>
      <c r="FX2" s="98">
        <f>'Daily Tracker'!FB$2</f>
        <v>0</v>
      </c>
      <c r="FY2" s="98">
        <f>'Daily Tracker'!FC$2</f>
        <v>0</v>
      </c>
      <c r="FZ2" s="98">
        <f>'Daily Tracker'!FD$2</f>
        <v>0</v>
      </c>
      <c r="GA2" s="98">
        <f>'Daily Tracker'!FE$2</f>
        <v>0</v>
      </c>
      <c r="GB2" s="98">
        <f>'Daily Tracker'!FF$2</f>
        <v>0</v>
      </c>
      <c r="GC2" s="98">
        <f>'Daily Tracker'!FG$2</f>
        <v>0</v>
      </c>
      <c r="GD2" s="98">
        <f>'Daily Tracker'!FH$2</f>
        <v>0</v>
      </c>
      <c r="GE2" s="98">
        <f>'Daily Tracker'!FI$2</f>
        <v>0</v>
      </c>
      <c r="GF2" s="98">
        <f>'Daily Tracker'!FJ$2</f>
        <v>0</v>
      </c>
      <c r="GG2" s="98">
        <f>'Daily Tracker'!FK$2</f>
        <v>0</v>
      </c>
      <c r="GH2" s="98">
        <f>'Daily Tracker'!FL$2</f>
        <v>0</v>
      </c>
      <c r="GI2" s="98">
        <f>'Daily Tracker'!FM$2</f>
        <v>0</v>
      </c>
      <c r="GJ2" s="98">
        <f>'Daily Tracker'!FN$2</f>
        <v>0</v>
      </c>
      <c r="GK2" s="98">
        <f>'Daily Tracker'!FO$2</f>
        <v>0</v>
      </c>
      <c r="GL2" s="98">
        <f>'Daily Tracker'!FP$2</f>
        <v>0</v>
      </c>
      <c r="GM2" s="98">
        <f>'Daily Tracker'!FQ$2</f>
        <v>0</v>
      </c>
      <c r="GN2" s="98">
        <f>'Daily Tracker'!FR$2</f>
        <v>0</v>
      </c>
      <c r="GO2" s="98">
        <f>'Daily Tracker'!FS$2</f>
        <v>0</v>
      </c>
      <c r="GP2" s="98">
        <f>'Daily Tracker'!FT$2</f>
        <v>0</v>
      </c>
      <c r="GQ2" s="98">
        <f>'Daily Tracker'!FU$2</f>
        <v>0</v>
      </c>
      <c r="GR2" s="98">
        <f>'Daily Tracker'!FV$2</f>
        <v>0</v>
      </c>
      <c r="GS2" s="98">
        <f>'Daily Tracker'!FW$2</f>
        <v>0</v>
      </c>
    </row>
    <row r="3" spans="1:201">
      <c r="A3" s="295" t="s">
        <v>7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P3" s="286" t="str" cm="1">
        <f t="array" ref="P3:Q12">_xlfn.LET(_xlpm.msk,(($E$4="All")+($A$17:$A$43=$E$4)&gt;0)*(($H$4="All")+($B$17:$B$43=$H$4)&gt;0)*(($K$4="All")+($C$17:$C$43=$K$4)&gt;0),_xlpm.x,_xlfn._xlws.FILTER(CHOOSE({1,2},$C$17:$C$43,IF($F$17:$F$43&lt;0,0,$F$17:$F$43)),_xlpm.msk),IFERROR(_xlfn.TAKE(_xlfn.SORTBY(_xlpm.x,_xlfn.CHOOSECOLS(_xlpm.x,2),-1),MIN(10,ROWS(_xlpm.x))),""))</f>
        <v>C39 - Atta</v>
      </c>
      <c r="Q3" s="158">
        <v>13</v>
      </c>
      <c r="R3" s="287" cm="1">
        <f t="array" ref="R3">IFERROR(INDEX('Daily Tracker'!$E$2:$FA$2,1,MAX(1,MATCH($B$4,'Daily Tracker'!$E$2:$FA$2,0)-13)),"")</f>
        <v>46295</v>
      </c>
      <c r="S3" s="158">
        <f>IF(R3="","",$A$7)</f>
        <v>266</v>
      </c>
      <c r="T3" s="158">
        <f>IF(R3="","",SUMIFS(W$17:W$43,$A$17:$A$43,IF($E$4="All","*",$E$4),$B$17:$B$43,IF($H$4="All","*",$H$4),$C$17:$C$43,IF($K$4="All","*",$K$4)))</f>
        <v>222</v>
      </c>
      <c r="U3" s="158">
        <f>IF(R3="","",INDEX('Daily Tracker'!$E$37:$FA$37,1,MATCH(R3,'Daily Tracker'!$E$2:$FA$2,0)))</f>
        <v>0</v>
      </c>
      <c r="FX3" t="s">
        <v>8</v>
      </c>
      <c r="FY3" t="s">
        <v>8</v>
      </c>
      <c r="FZ3" t="s">
        <v>8</v>
      </c>
    </row>
    <row r="4" spans="1:201" ht="27.75" customHeight="1">
      <c r="A4" s="275" t="s">
        <v>9</v>
      </c>
      <c r="B4" s="296">
        <v>46308</v>
      </c>
      <c r="C4" s="296"/>
      <c r="D4" s="275" t="s">
        <v>10</v>
      </c>
      <c r="E4" s="315" t="s">
        <v>8</v>
      </c>
      <c r="F4" s="315"/>
      <c r="G4" s="275" t="s">
        <v>11</v>
      </c>
      <c r="H4" s="315" t="s">
        <v>8</v>
      </c>
      <c r="I4" s="315"/>
      <c r="J4" s="275" t="s">
        <v>12</v>
      </c>
      <c r="K4" s="315" t="s">
        <v>8</v>
      </c>
      <c r="L4" s="315"/>
      <c r="M4" s="315"/>
      <c r="N4" s="315"/>
      <c r="P4" s="286" t="str">
        <v>Supervisors + Executive+AM +HR</v>
      </c>
      <c r="Q4" s="158">
        <v>8</v>
      </c>
      <c r="R4" s="287" cm="1">
        <f t="array" ref="R4">IFERROR(INDEX('Daily Tracker'!$E$2:$FA$2,1,MAX(1,MATCH($B$4,'Daily Tracker'!$E$2:$FA$2,0)-12)),"")</f>
        <v>46296</v>
      </c>
      <c r="S4" s="158">
        <f>IF(R4="","",$A$7)</f>
        <v>266</v>
      </c>
      <c r="T4" s="158">
        <f>IF(R4="","",SUMIFS(X$17:X$43,$A$17:$A$43,IF($E$4="All","*",$E$4),$B$17:$B$43,IF($H$4="All","*",$H$4),$C$17:$C$43,IF($K$4="All","*",$K$4)))</f>
        <v>222</v>
      </c>
      <c r="U4" s="158">
        <f>IF(R4="","",INDEX('Daily Tracker'!$E$37:$FA$37,1,MATCH(R4,'Daily Tracker'!$E$2:$FA$2,0)))</f>
        <v>103</v>
      </c>
      <c r="FX4" t="s">
        <v>13</v>
      </c>
      <c r="FY4" t="s">
        <v>14</v>
      </c>
      <c r="FZ4" t="s">
        <v>15</v>
      </c>
    </row>
    <row r="5" spans="1:201" ht="21.75" customHeight="1">
      <c r="A5" s="314" t="str">
        <f>"ACTIVE VIEW  •  "&amp;TEXT($B$4,"dd-mmm-yyyy")&amp;"  |  Category: "&amp;$E$4&amp;"  |  Plant: "&amp;$H$4&amp;"  |  Section: "&amp;$K$4</f>
        <v>ACTIVE VIEW  •  13-Oct-2026  |  Category: All  |  Plant: All  |  Section: All</v>
      </c>
      <c r="B5" s="314"/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P5" s="286" t="str">
        <v>C6 Atta - 2</v>
      </c>
      <c r="Q5" s="158">
        <v>6</v>
      </c>
      <c r="R5" s="287" cm="1">
        <f t="array" ref="R5">IFERROR(INDEX('Daily Tracker'!$E$2:$FA$2,1,MAX(1,MATCH($B$4,'Daily Tracker'!$E$2:$FA$2,0)-11)),"")</f>
        <v>46297</v>
      </c>
      <c r="S5" s="158">
        <f>IF(R5="","",$A$7)</f>
        <v>266</v>
      </c>
      <c r="T5" s="158">
        <f>IF(R5="","",SUMIFS(Y$17:Y$43,$A$17:$A$43,IF($E$4="All","*",$E$4),$B$17:$B$43,IF($H$4="All","*",$H$4),$C$17:$C$43,IF($K$4="All","*",$K$4)))</f>
        <v>0</v>
      </c>
      <c r="U5" s="158">
        <f>IF(R5="","",INDEX('Daily Tracker'!$E$37:$FA$37,1,MATCH(R5,'Daily Tracker'!$E$2:$FA$2,0)))</f>
        <v>0</v>
      </c>
      <c r="FX5" t="s">
        <v>16</v>
      </c>
      <c r="FY5" t="s">
        <v>17</v>
      </c>
      <c r="FZ5" t="s">
        <v>18</v>
      </c>
    </row>
    <row r="6" spans="1:201">
      <c r="A6" s="297" t="s">
        <v>19</v>
      </c>
      <c r="B6" s="297"/>
      <c r="C6" s="297"/>
      <c r="D6" s="299" t="s">
        <v>20</v>
      </c>
      <c r="E6" s="299"/>
      <c r="F6" s="299"/>
      <c r="G6" s="301" t="s">
        <v>21</v>
      </c>
      <c r="H6" s="301"/>
      <c r="I6" s="301"/>
      <c r="J6" s="303" t="s">
        <v>22</v>
      </c>
      <c r="K6" s="303"/>
      <c r="L6" s="303"/>
      <c r="M6" s="305" t="s">
        <v>23</v>
      </c>
      <c r="N6" s="305"/>
      <c r="P6" s="286" t="str">
        <v>Supply/ Dispatch (Common)</v>
      </c>
      <c r="Q6" s="158">
        <v>5</v>
      </c>
      <c r="R6" s="287" cm="1">
        <f t="array" ref="R6">IFERROR(INDEX('Daily Tracker'!$E$2:$FA$2,1,MAX(1,MATCH($B$4,'Daily Tracker'!$E$2:$FA$2,0)-10)),"")</f>
        <v>46298</v>
      </c>
      <c r="S6" s="158">
        <f>IF(R6="","",$A$7)</f>
        <v>266</v>
      </c>
      <c r="T6" s="158">
        <f>IF(R6="","",SUMIFS(Z$17:Z$43,$A$17:$A$43,IF($E$4="All","*",$E$4),$B$17:$B$43,IF($H$4="All","*",$H$4),$C$17:$C$43,IF($K$4="All","*",$K$4)))</f>
        <v>194</v>
      </c>
      <c r="U6" s="158">
        <f>IF(R6="","",INDEX('Daily Tracker'!$E$37:$FA$37,1,MATCH(R6,'Daily Tracker'!$E$2:$FA$2,0)))</f>
        <v>8</v>
      </c>
      <c r="FY6" t="s">
        <v>24</v>
      </c>
      <c r="FZ6" t="s">
        <v>25</v>
      </c>
    </row>
    <row r="7" spans="1:201">
      <c r="A7" s="298">
        <f>SUMIFS($D$17:$D$43,$A$17:$A$43,IF($E$4="All","*",$E$4),$B$17:$B$43,IF($H$4="All","*",$H$4),$C$17:$C$43,IF($K$4="All","*",$K$4))</f>
        <v>266</v>
      </c>
      <c r="B7" s="298"/>
      <c r="C7" s="298"/>
      <c r="D7" s="300">
        <f>SUMIFS($E$17:$E$43,$A$17:$A$43,IF($E$4="All","*",$E$4),$B$17:$B$43,IF($H$4="All","*",$H$4),$C$17:$C$43,IF($K$4="All","*",$K$4))</f>
        <v>234</v>
      </c>
      <c r="E7" s="300"/>
      <c r="F7" s="300"/>
      <c r="G7" s="302">
        <f>MAX(0,A7-D7)</f>
        <v>32</v>
      </c>
      <c r="H7" s="302"/>
      <c r="I7" s="302"/>
      <c r="J7" s="304">
        <f>IFERROR(D7/A7,0)</f>
        <v>0.87969924812030076</v>
      </c>
      <c r="K7" s="304"/>
      <c r="L7" s="304"/>
      <c r="M7" s="306">
        <f>IFERROR(INDEX('Daily Tracker'!$E$36:$FA$36,1,MATCH($B$4,'Daily Tracker'!$E$2:$FA$2,0)),0)</f>
        <v>0</v>
      </c>
      <c r="N7" s="306"/>
      <c r="P7" s="286" t="str">
        <v>Night MP Total Ghee</v>
      </c>
      <c r="Q7" s="158">
        <v>5</v>
      </c>
      <c r="R7" s="287" cm="1">
        <f t="array" ref="R7">IFERROR(INDEX('Daily Tracker'!$E$2:$FA$2,1,MAX(1,MATCH($B$4,'Daily Tracker'!$E$2:$FA$2,0)-9)),"")</f>
        <v>46299</v>
      </c>
      <c r="S7" s="158">
        <f>IF(R7="","",$A$7)</f>
        <v>266</v>
      </c>
      <c r="T7" s="158">
        <f>IF(R7="","",SUMIFS(AA$17:AA$43,$A$17:$A$43,IF($E$4="All","*",$E$4),$B$17:$B$43,IF($H$4="All","*",$H$4),$C$17:$C$43,IF($K$4="All","*",$K$4)))</f>
        <v>103</v>
      </c>
      <c r="U7" s="158">
        <f>IF(R7="","",INDEX('Daily Tracker'!$E$37:$FA$37,1,MATCH(R7,'Daily Tracker'!$E$2:$FA$2,0)))</f>
        <v>140</v>
      </c>
      <c r="FY7" t="s">
        <v>26</v>
      </c>
      <c r="FZ7" t="s">
        <v>27</v>
      </c>
    </row>
    <row r="8" spans="1:201">
      <c r="A8" s="298"/>
      <c r="B8" s="298"/>
      <c r="C8" s="298"/>
      <c r="D8" s="300"/>
      <c r="E8" s="300"/>
      <c r="F8" s="300"/>
      <c r="G8" s="302"/>
      <c r="H8" s="302"/>
      <c r="I8" s="302"/>
      <c r="J8" s="304"/>
      <c r="K8" s="304"/>
      <c r="L8" s="304"/>
      <c r="M8" s="306"/>
      <c r="N8" s="306"/>
      <c r="P8" s="286" t="str">
        <v>C39 - Honey / all Spices</v>
      </c>
      <c r="Q8" s="158">
        <v>4</v>
      </c>
      <c r="R8" s="287" cm="1">
        <f t="array" ref="R8">IFERROR(INDEX('Daily Tracker'!$E$2:$FA$2,1,MAX(1,MATCH($B$4,'Daily Tracker'!$E$2:$FA$2,0)-8)),"")</f>
        <v>46300</v>
      </c>
      <c r="S8" s="158">
        <f>IF(R8="","",$A$7)</f>
        <v>266</v>
      </c>
      <c r="T8" s="158">
        <f>IF(R8="","",SUMIFS(AB$17:AB$43,$A$17:$A$43,IF($E$4="All","*",$E$4),$B$17:$B$43,IF($H$4="All","*",$H$4),$C$17:$C$43,IF($K$4="All","*",$K$4)))</f>
        <v>196</v>
      </c>
      <c r="U8" s="158">
        <f>IF(R8="","",INDEX('Daily Tracker'!$E$37:$FA$37,1,MATCH(R8,'Daily Tracker'!$E$2:$FA$2,0)))</f>
        <v>0</v>
      </c>
      <c r="FY8" t="s">
        <v>16</v>
      </c>
      <c r="FZ8" t="s">
        <v>28</v>
      </c>
    </row>
    <row r="9" spans="1:201">
      <c r="A9" s="298"/>
      <c r="B9" s="298"/>
      <c r="C9" s="298"/>
      <c r="D9" s="300"/>
      <c r="E9" s="300"/>
      <c r="F9" s="300"/>
      <c r="G9" s="302"/>
      <c r="H9" s="302"/>
      <c r="I9" s="302"/>
      <c r="J9" s="304"/>
      <c r="K9" s="304"/>
      <c r="L9" s="304"/>
      <c r="M9" s="306"/>
      <c r="N9" s="306"/>
      <c r="P9" s="286" t="str">
        <v>C6 - Oil</v>
      </c>
      <c r="Q9" s="158">
        <v>3</v>
      </c>
      <c r="R9" s="287" cm="1">
        <f t="array" ref="R9">IFERROR(INDEX('Daily Tracker'!$E$2:$FA$2,1,MAX(1,MATCH($B$4,'Daily Tracker'!$E$2:$FA$2,0)-7)),"")</f>
        <v>46301</v>
      </c>
      <c r="S9" s="158">
        <f>IF(R9="","",$A$7)</f>
        <v>266</v>
      </c>
      <c r="T9" s="158">
        <f>IF(R9="","",SUMIFS(AC$17:AC$43,$A$17:$A$43,IF($E$4="All","*",$E$4),$B$17:$B$43,IF($H$4="All","*",$H$4),$C$17:$C$43,IF($K$4="All","*",$K$4)))</f>
        <v>227</v>
      </c>
      <c r="U9" s="158">
        <f>IF(R9="","",INDEX('Daily Tracker'!$E$37:$FA$37,1,MATCH(R9,'Daily Tracker'!$E$2:$FA$2,0)))</f>
        <v>112</v>
      </c>
      <c r="FY9" t="s">
        <v>29</v>
      </c>
      <c r="FZ9" t="s">
        <v>30</v>
      </c>
    </row>
    <row r="10" spans="1:201">
      <c r="P10" s="286" t="str">
        <v>C6 - Ghee</v>
      </c>
      <c r="Q10" s="158">
        <v>3</v>
      </c>
      <c r="R10" s="287" cm="1">
        <f t="array" ref="R10">IFERROR(INDEX('Daily Tracker'!$E$2:$FA$2,1,MAX(1,MATCH($B$4,'Daily Tracker'!$E$2:$FA$2,0)-6)),"")</f>
        <v>46302</v>
      </c>
      <c r="S10" s="158">
        <f>IF(R10="","",$A$7)</f>
        <v>266</v>
      </c>
      <c r="T10" s="158">
        <f>IF(R10="","",SUMIFS(AD$17:AD$43,$A$17:$A$43,IF($E$4="All","*",$E$4),$B$17:$B$43,IF($H$4="All","*",$H$4),$C$17:$C$43,IF($K$4="All","*",$K$4)))</f>
        <v>222</v>
      </c>
      <c r="U10" s="158">
        <f>IF(R10="","",INDEX('Daily Tracker'!$E$37:$FA$37,1,MATCH(R10,'Daily Tracker'!$E$2:$FA$2,0)))</f>
        <v>85</v>
      </c>
      <c r="FY10" t="s">
        <v>31</v>
      </c>
      <c r="FZ10" t="s">
        <v>32</v>
      </c>
    </row>
    <row r="11" spans="1:201">
      <c r="A11" s="312" t="s">
        <v>33</v>
      </c>
      <c r="B11" s="312"/>
      <c r="C11" s="312"/>
      <c r="D11" s="308" t="s">
        <v>34</v>
      </c>
      <c r="E11" s="308"/>
      <c r="F11" s="308"/>
      <c r="G11" s="310" t="s">
        <v>35</v>
      </c>
      <c r="H11" s="310"/>
      <c r="I11" s="310"/>
      <c r="J11" s="320" t="s">
        <v>36</v>
      </c>
      <c r="K11" s="320"/>
      <c r="L11" s="320"/>
      <c r="M11" s="322" t="s">
        <v>37</v>
      </c>
      <c r="N11" s="322"/>
      <c r="P11" s="286" t="str">
        <v>Total C6 Night MP</v>
      </c>
      <c r="Q11" s="158">
        <v>2</v>
      </c>
      <c r="R11" s="287" cm="1">
        <f t="array" ref="R11">IFERROR(INDEX('Daily Tracker'!$E$2:$FA$2,1,MAX(1,MATCH($B$4,'Daily Tracker'!$E$2:$FA$2,0)-5)),"")</f>
        <v>46303</v>
      </c>
      <c r="S11" s="158">
        <f>IF(R11="","",$A$7)</f>
        <v>266</v>
      </c>
      <c r="T11" s="158">
        <f>IF(R11="","",SUMIFS(AE$17:AE$43,$A$17:$A$43,IF($E$4="All","*",$E$4),$B$17:$B$43,IF($H$4="All","*",$H$4),$C$17:$C$43,IF($K$4="All","*",$K$4)))</f>
        <v>155</v>
      </c>
      <c r="U11" s="158">
        <f>IF(R11="","",INDEX('Daily Tracker'!$E$37:$FA$37,1,MATCH(R11,'Daily Tracker'!$E$2:$FA$2,0)))</f>
        <v>92</v>
      </c>
      <c r="FZ11" t="s">
        <v>38</v>
      </c>
    </row>
    <row r="12" spans="1:201">
      <c r="A12" s="307">
        <f>IF(OR($E$4="All",$E$4="Production"),SUMIFS($E$17:$E$43,$A$17:$A$43,"Production",$B$17:$B$43,IF($H$4="All","*",$H$4),$C$17:$C$43,IF($K$4="All","*",$K$4)),0)</f>
        <v>187</v>
      </c>
      <c r="B12" s="307"/>
      <c r="C12" s="307"/>
      <c r="D12" s="309">
        <f>IF(OR($E$4="All",$E$4="Support"),SUMIFS($E$17:$E$43,$A$17:$A$43,"Support",$B$17:$B$43,IF($H$4="All","*",$H$4),$C$17:$C$43,IF($K$4="All","*",$K$4)),0)</f>
        <v>47</v>
      </c>
      <c r="E12" s="309"/>
      <c r="F12" s="309"/>
      <c r="G12" s="311">
        <f>IFERROR(INDEX('Daily Tracker'!$E$37:$FA$37,1,MATCH($B$4,'Daily Tracker'!$E$2:$FA$2,0)),0)</f>
        <v>92</v>
      </c>
      <c r="H12" s="311"/>
      <c r="I12" s="311"/>
      <c r="J12" s="321">
        <f>IFERROR(A12/D7,0)</f>
        <v>0.79914529914529919</v>
      </c>
      <c r="K12" s="321"/>
      <c r="L12" s="321"/>
      <c r="M12" s="323">
        <f>A7-D7</f>
        <v>32</v>
      </c>
      <c r="N12" s="323"/>
      <c r="P12" s="286" t="str">
        <v>QA</v>
      </c>
      <c r="Q12" s="158">
        <v>2</v>
      </c>
      <c r="R12" s="287" cm="1">
        <f t="array" ref="R12">IFERROR(INDEX('Daily Tracker'!$E$2:$FA$2,1,MAX(1,MATCH($B$4,'Daily Tracker'!$E$2:$FA$2,0)-4)),"")</f>
        <v>46304</v>
      </c>
      <c r="S12" s="158">
        <f>IF(R12="","",$A$7)</f>
        <v>266</v>
      </c>
      <c r="T12" s="158">
        <f>IF(R12="","",SUMIFS(AF$17:AF$43,$A$17:$A$43,IF($E$4="All","*",$E$4),$B$17:$B$43,IF($H$4="All","*",$H$4),$C$17:$C$43,IF($K$4="All","*",$K$4)))</f>
        <v>231</v>
      </c>
      <c r="U12" s="158">
        <f>IF(R12="","",INDEX('Daily Tracker'!$E$37:$FA$37,1,MATCH(R12,'Daily Tracker'!$E$2:$FA$2,0)))</f>
        <v>101</v>
      </c>
      <c r="FZ12" t="s">
        <v>39</v>
      </c>
    </row>
    <row r="13" spans="1:201">
      <c r="A13" s="307"/>
      <c r="B13" s="307"/>
      <c r="C13" s="307"/>
      <c r="D13" s="309"/>
      <c r="E13" s="309"/>
      <c r="F13" s="309"/>
      <c r="G13" s="311"/>
      <c r="H13" s="311"/>
      <c r="I13" s="311"/>
      <c r="J13" s="321"/>
      <c r="K13" s="321"/>
      <c r="L13" s="321"/>
      <c r="M13" s="323"/>
      <c r="N13" s="323"/>
      <c r="P13" s="286"/>
      <c r="Q13" s="158"/>
      <c r="R13" s="287" cm="1">
        <f t="array" ref="R13">IFERROR(INDEX('Daily Tracker'!$E$2:$FA$2,1,MAX(1,MATCH($B$4,'Daily Tracker'!$E$2:$FA$2,0)-3)),"")</f>
        <v>46305</v>
      </c>
      <c r="S13" s="158">
        <f>IF(R13="","",$A$7)</f>
        <v>266</v>
      </c>
      <c r="T13" s="158">
        <f>IF(R13="","",SUMIFS(AG$17:AG$43,$A$17:$A$43,IF($E$4="All","*",$E$4),$B$17:$B$43,IF($H$4="All","*",$H$4),$C$17:$C$43,IF($K$4="All","*",$K$4)))</f>
        <v>211</v>
      </c>
      <c r="U13" s="158">
        <f>IF(R13="","",INDEX('Daily Tracker'!$E$37:$FA$37,1,MATCH(R13,'Daily Tracker'!$E$2:$FA$2,0)))</f>
        <v>90</v>
      </c>
      <c r="FZ13" t="s">
        <v>40</v>
      </c>
    </row>
    <row r="14" spans="1:201">
      <c r="A14" s="307"/>
      <c r="B14" s="307"/>
      <c r="C14" s="307"/>
      <c r="D14" s="309"/>
      <c r="E14" s="309"/>
      <c r="F14" s="309"/>
      <c r="G14" s="311"/>
      <c r="H14" s="311"/>
      <c r="I14" s="311"/>
      <c r="J14" s="321"/>
      <c r="K14" s="321"/>
      <c r="L14" s="321"/>
      <c r="M14" s="323"/>
      <c r="N14" s="323"/>
      <c r="P14" s="286"/>
      <c r="Q14" s="158"/>
      <c r="R14" s="287" cm="1">
        <f t="array" ref="R14">IFERROR(INDEX('Daily Tracker'!$E$2:$FA$2,1,MAX(1,MATCH($B$4,'Daily Tracker'!$E$2:$FA$2,0)-2)),"")</f>
        <v>46306</v>
      </c>
      <c r="S14" s="158">
        <f>IF(R14="","",$A$7)</f>
        <v>266</v>
      </c>
      <c r="T14" s="158">
        <f>IF(R14="","",SUMIFS(AH$17:AH$43,$A$17:$A$43,IF($E$4="All","*",$E$4),$B$17:$B$43,IF($H$4="All","*",$H$4),$C$17:$C$43,IF($K$4="All","*",$K$4)))</f>
        <v>91</v>
      </c>
      <c r="U14" s="158">
        <f>IF(R14="","",INDEX('Daily Tracker'!$E$37:$FA$37,1,MATCH(R14,'Daily Tracker'!$E$2:$FA$2,0)))</f>
        <v>96</v>
      </c>
      <c r="FZ14" t="s">
        <v>41</v>
      </c>
    </row>
    <row r="15" spans="1:201">
      <c r="A15" s="340" t="s">
        <v>42</v>
      </c>
      <c r="B15" s="340"/>
      <c r="C15" s="340"/>
      <c r="D15" s="340"/>
      <c r="E15" s="340"/>
      <c r="F15" s="340"/>
      <c r="G15" s="340"/>
      <c r="P15" s="286"/>
      <c r="Q15" s="158"/>
      <c r="R15" s="287" cm="1">
        <f t="array" ref="R15">IFERROR(INDEX('Daily Tracker'!$E$2:$FA$2,1,MAX(1,MATCH($B$4,'Daily Tracker'!$E$2:$FA$2,0)-1)),"")</f>
        <v>46307</v>
      </c>
      <c r="S15" s="158">
        <f>IF(R15="","",$A$7)</f>
        <v>266</v>
      </c>
      <c r="T15" s="158">
        <f>IF(R15="","",SUMIFS(AI$17:AI$43,$A$17:$A$43,IF($E$4="All","*",$E$4),$B$17:$B$43,IF($H$4="All","*",$H$4),$C$17:$C$43,IF($K$4="All","*",$K$4)))</f>
        <v>195</v>
      </c>
      <c r="U15" s="158">
        <f>IF(R15="","",INDEX('Daily Tracker'!$E$37:$FA$37,1,MATCH(R15,'Daily Tracker'!$E$2:$FA$2,0)))</f>
        <v>0</v>
      </c>
      <c r="FZ15" t="s">
        <v>43</v>
      </c>
    </row>
    <row r="16" spans="1:201">
      <c r="A16" s="276" t="s">
        <v>44</v>
      </c>
      <c r="B16" s="276" t="s">
        <v>45</v>
      </c>
      <c r="C16" s="276" t="s">
        <v>1</v>
      </c>
      <c r="D16" s="276" t="s">
        <v>46</v>
      </c>
      <c r="E16" s="276" t="s">
        <v>47</v>
      </c>
      <c r="F16" s="276" t="s">
        <v>48</v>
      </c>
      <c r="G16" s="276" t="s">
        <v>49</v>
      </c>
      <c r="P16" s="286"/>
      <c r="Q16" s="158"/>
      <c r="R16" s="287" cm="1">
        <f t="array" ref="R16">IFERROR(INDEX('Daily Tracker'!$E$2:$FA$2,1,MAX(1,MATCH($B$4,'Daily Tracker'!$E$2:$FA$2,0)-0)),"")</f>
        <v>46308</v>
      </c>
      <c r="S16" s="158">
        <f>IF(R16="","",$A$7)</f>
        <v>266</v>
      </c>
      <c r="T16" s="158">
        <f>IF(R16="","",SUMIFS(AJ$17:AJ$43,$A$17:$A$43,IF($E$4="All","*",$E$4),$B$17:$B$43,IF($H$4="All","*",$H$4),$C$17:$C$43,IF($K$4="All","*",$K$4)))</f>
        <v>234</v>
      </c>
      <c r="U16" s="158">
        <f>IF(R16="","",INDEX('Daily Tracker'!$E$37:$FA$37,1,MATCH(R16,'Daily Tracker'!$E$2:$FA$2,0)))</f>
        <v>92</v>
      </c>
      <c r="W16" s="114">
        <f>R3</f>
        <v>46295</v>
      </c>
      <c r="X16" s="114">
        <f>R4</f>
        <v>46296</v>
      </c>
      <c r="Y16" s="114">
        <f>R5</f>
        <v>46297</v>
      </c>
      <c r="Z16" s="114">
        <f>R6</f>
        <v>46298</v>
      </c>
      <c r="AA16" s="114">
        <f>R7</f>
        <v>46299</v>
      </c>
      <c r="AB16" s="114">
        <f>R8</f>
        <v>46300</v>
      </c>
      <c r="AC16" s="114">
        <f>R9</f>
        <v>46301</v>
      </c>
      <c r="AD16" s="114">
        <f>R10</f>
        <v>46302</v>
      </c>
      <c r="AE16" s="114">
        <f>R11</f>
        <v>46303</v>
      </c>
      <c r="AF16" s="114">
        <f>R12</f>
        <v>46304</v>
      </c>
      <c r="AG16" s="114">
        <f>R13</f>
        <v>46305</v>
      </c>
      <c r="AH16" s="114">
        <f>R14</f>
        <v>46306</v>
      </c>
      <c r="AI16" s="114">
        <f>R15</f>
        <v>46307</v>
      </c>
      <c r="AJ16" s="114">
        <f>R16</f>
        <v>46308</v>
      </c>
      <c r="FZ16" t="s">
        <v>50</v>
      </c>
    </row>
    <row r="17" spans="1:182">
      <c r="A17" s="277" t="s">
        <v>13</v>
      </c>
      <c r="B17" s="277" t="str">
        <f>IF('Daily Tracker'!B3="",A17,'Daily Tracker'!B3)</f>
        <v>C6</v>
      </c>
      <c r="C17" s="277" t="str">
        <f>'Daily Tracker'!C3</f>
        <v>C6 - Oil</v>
      </c>
      <c r="D17" s="277">
        <f>'Daily Tracker'!D3</f>
        <v>14</v>
      </c>
      <c r="E17" s="277">
        <f>IFERROR(INDEX('Daily Tracker'!$E3:$FA3,1,MATCH($B$4,'Daily Tracker'!$E$2:$FA$2,0)),0)</f>
        <v>11</v>
      </c>
      <c r="F17" s="277">
        <f>D17-E17</f>
        <v>3</v>
      </c>
      <c r="G17" s="278">
        <f>IFERROR(E17/D17,0)</f>
        <v>0.7857142857142857</v>
      </c>
      <c r="P17" s="286"/>
      <c r="Q17" s="158"/>
      <c r="R17" s="158"/>
      <c r="S17" s="158"/>
      <c r="T17" s="158"/>
      <c r="U17" s="158"/>
      <c r="V17">
        <v>3</v>
      </c>
      <c r="W17">
        <f>IF(W$16="","",IFERROR(INDEX('Daily Tracker'!$E3:$FA3,1,MATCH(W$16,'Daily Tracker'!$E$2:$FA$2,0)),0))</f>
        <v>11</v>
      </c>
      <c r="X17">
        <f>IF(X$16="","",IFERROR(INDEX('Daily Tracker'!$E3:$FA3,1,MATCH(X$16,'Daily Tracker'!$E$2:$FA$2,0)),0))</f>
        <v>11</v>
      </c>
      <c r="Y17">
        <f>IF(Y$16="","",IFERROR(INDEX('Daily Tracker'!$E3:$FA3,1,MATCH(Y$16,'Daily Tracker'!$E$2:$FA$2,0)),0))</f>
        <v>0</v>
      </c>
      <c r="Z17">
        <f>IF(Z$16="","",IFERROR(INDEX('Daily Tracker'!$E3:$FA3,1,MATCH(Z$16,'Daily Tracker'!$E$2:$FA$2,0)),0))</f>
        <v>12</v>
      </c>
      <c r="AA17">
        <f>IF(AA$16="","",IFERROR(INDEX('Daily Tracker'!$E3:$FA3,1,MATCH(AA$16,'Daily Tracker'!$E$2:$FA$2,0)),0))</f>
        <v>0</v>
      </c>
      <c r="AB17">
        <f>IF(AB$16="","",IFERROR(INDEX('Daily Tracker'!$E3:$FA3,1,MATCH(AB$16,'Daily Tracker'!$E$2:$FA$2,0)),0))</f>
        <v>12</v>
      </c>
      <c r="AC17">
        <f>IF(AC$16="","",IFERROR(INDEX('Daily Tracker'!$E3:$FA3,1,MATCH(AC$16,'Daily Tracker'!$E$2:$FA$2,0)),0))</f>
        <v>13</v>
      </c>
      <c r="AD17">
        <f>IF(AD$16="","",IFERROR(INDEX('Daily Tracker'!$E3:$FA3,1,MATCH(AD$16,'Daily Tracker'!$E$2:$FA$2,0)),0))</f>
        <v>14</v>
      </c>
      <c r="AE17">
        <f>IF(AE$16="","",IFERROR(INDEX('Daily Tracker'!$E3:$FA3,1,MATCH(AE$16,'Daily Tracker'!$E$2:$FA$2,0)),0))</f>
        <v>1</v>
      </c>
      <c r="AF17">
        <f>IF(AF$16="","",IFERROR(INDEX('Daily Tracker'!$E3:$FA3,1,MATCH(AF$16,'Daily Tracker'!$E$2:$FA$2,0)),0))</f>
        <v>12</v>
      </c>
      <c r="AG17">
        <f>IF(AG$16="","",IFERROR(INDEX('Daily Tracker'!$E3:$FA3,1,MATCH(AG$16,'Daily Tracker'!$E$2:$FA$2,0)),0))</f>
        <v>9</v>
      </c>
      <c r="AH17">
        <f>IF(AH$16="","",IFERROR(INDEX('Daily Tracker'!$E3:$FA3,1,MATCH(AH$16,'Daily Tracker'!$E$2:$FA$2,0)),0))</f>
        <v>0</v>
      </c>
      <c r="AI17">
        <f>IF(AI$16="","",IFERROR(INDEX('Daily Tracker'!$E3:$FA3,1,MATCH(AI$16,'Daily Tracker'!$E$2:$FA$2,0)),0))</f>
        <v>10</v>
      </c>
      <c r="AJ17">
        <f>IF(AJ$16="","",IFERROR(INDEX('Daily Tracker'!$E3:$FA3,1,MATCH(AJ$16,'Daily Tracker'!$E$2:$FA$2,0)),0))</f>
        <v>11</v>
      </c>
      <c r="FZ17" t="s">
        <v>51</v>
      </c>
    </row>
    <row r="18" spans="1:182">
      <c r="A18" s="277" t="s">
        <v>13</v>
      </c>
      <c r="B18" s="277" t="str">
        <f>IF('Daily Tracker'!B4="",A18,'Daily Tracker'!B4)</f>
        <v>Ghee</v>
      </c>
      <c r="C18" s="277" t="str">
        <f>'Daily Tracker'!C4</f>
        <v>C6 - Ghee</v>
      </c>
      <c r="D18" s="277">
        <f>'Daily Tracker'!D4</f>
        <v>24</v>
      </c>
      <c r="E18" s="277">
        <f>IFERROR(INDEX('Daily Tracker'!$E4:$FA4,1,MATCH($B$4,'Daily Tracker'!$E$2:$FA$2,0)),0)</f>
        <v>21</v>
      </c>
      <c r="F18" s="277">
        <f>D18-E18</f>
        <v>3</v>
      </c>
      <c r="G18" s="278">
        <f>IFERROR(E18/D18,0)</f>
        <v>0.875</v>
      </c>
      <c r="P18" s="286"/>
      <c r="Q18" s="158"/>
      <c r="R18" s="158"/>
      <c r="S18" s="158"/>
      <c r="T18" s="158"/>
      <c r="U18" s="158"/>
      <c r="V18">
        <v>4</v>
      </c>
      <c r="W18">
        <f>IF(W$16="","",IFERROR(INDEX('Daily Tracker'!$E4:$FA4,1,MATCH(W$16,'Daily Tracker'!$E$2:$FA$2,0)),0))</f>
        <v>18</v>
      </c>
      <c r="X18">
        <f>IF(X$16="","",IFERROR(INDEX('Daily Tracker'!$E4:$FA4,1,MATCH(X$16,'Daily Tracker'!$E$2:$FA$2,0)),0))</f>
        <v>20</v>
      </c>
      <c r="Y18">
        <f>IF(Y$16="","",IFERROR(INDEX('Daily Tracker'!$E4:$FA4,1,MATCH(Y$16,'Daily Tracker'!$E$2:$FA$2,0)),0))</f>
        <v>0</v>
      </c>
      <c r="Z18">
        <f>IF(Z$16="","",IFERROR(INDEX('Daily Tracker'!$E4:$FA4,1,MATCH(Z$16,'Daily Tracker'!$E$2:$FA$2,0)),0))</f>
        <v>19</v>
      </c>
      <c r="AA18">
        <f>IF(AA$16="","",IFERROR(INDEX('Daily Tracker'!$E4:$FA4,1,MATCH(AA$16,'Daily Tracker'!$E$2:$FA$2,0)),0))</f>
        <v>9</v>
      </c>
      <c r="AB18">
        <f>IF(AB$16="","",IFERROR(INDEX('Daily Tracker'!$E4:$FA4,1,MATCH(AB$16,'Daily Tracker'!$E$2:$FA$2,0)),0))</f>
        <v>19</v>
      </c>
      <c r="AC18">
        <f>IF(AC$16="","",IFERROR(INDEX('Daily Tracker'!$E4:$FA4,1,MATCH(AC$16,'Daily Tracker'!$E$2:$FA$2,0)),0))</f>
        <v>17</v>
      </c>
      <c r="AD18">
        <f>IF(AD$16="","",IFERROR(INDEX('Daily Tracker'!$E4:$FA4,1,MATCH(AD$16,'Daily Tracker'!$E$2:$FA$2,0)),0))</f>
        <v>16</v>
      </c>
      <c r="AE18">
        <f>IF(AE$16="","",IFERROR(INDEX('Daily Tracker'!$E4:$FA4,1,MATCH(AE$16,'Daily Tracker'!$E$2:$FA$2,0)),0))</f>
        <v>20</v>
      </c>
      <c r="AF18">
        <f>IF(AF$16="","",IFERROR(INDEX('Daily Tracker'!$E4:$FA4,1,MATCH(AF$16,'Daily Tracker'!$E$2:$FA$2,0)),0))</f>
        <v>18</v>
      </c>
      <c r="AG18">
        <f>IF(AG$16="","",IFERROR(INDEX('Daily Tracker'!$E4:$FA4,1,MATCH(AG$16,'Daily Tracker'!$E$2:$FA$2,0)),0))</f>
        <v>13</v>
      </c>
      <c r="AH18">
        <f>IF(AH$16="","",IFERROR(INDEX('Daily Tracker'!$E4:$FA4,1,MATCH(AH$16,'Daily Tracker'!$E$2:$FA$2,0)),0))</f>
        <v>6</v>
      </c>
      <c r="AI18">
        <f>IF(AI$16="","",IFERROR(INDEX('Daily Tracker'!$E4:$FA4,1,MATCH(AI$16,'Daily Tracker'!$E$2:$FA$2,0)),0))</f>
        <v>19</v>
      </c>
      <c r="AJ18">
        <f>IF(AJ$16="","",IFERROR(INDEX('Daily Tracker'!$E4:$FA4,1,MATCH(AJ$16,'Daily Tracker'!$E$2:$FA$2,0)),0))</f>
        <v>21</v>
      </c>
      <c r="FZ18" t="s">
        <v>52</v>
      </c>
    </row>
    <row r="19" spans="1:182">
      <c r="A19" s="277" t="s">
        <v>13</v>
      </c>
      <c r="B19" s="277" t="str">
        <f>IF('Daily Tracker'!B5="",A19,'Daily Tracker'!B5)</f>
        <v>C39</v>
      </c>
      <c r="C19" s="277" t="str">
        <f>'Daily Tracker'!C5</f>
        <v>C39 - MG batch Making</v>
      </c>
      <c r="D19" s="277">
        <f>'Daily Tracker'!D5</f>
        <v>7</v>
      </c>
      <c r="E19" s="277">
        <f>IFERROR(INDEX('Daily Tracker'!$E5:$FA5,1,MATCH($B$4,'Daily Tracker'!$E$2:$FA$2,0)),0)</f>
        <v>8</v>
      </c>
      <c r="F19" s="277">
        <f>D19-E19</f>
        <v>-1</v>
      </c>
      <c r="G19" s="278">
        <f>IFERROR(E19/D19,0)</f>
        <v>1.1428571428571428</v>
      </c>
      <c r="P19" s="158"/>
      <c r="Q19" s="158"/>
      <c r="R19" s="158"/>
      <c r="S19" s="158"/>
      <c r="T19" s="158"/>
      <c r="U19" s="158"/>
      <c r="V19">
        <v>5</v>
      </c>
      <c r="W19">
        <f>IF(W$16="","",IFERROR(INDEX('Daily Tracker'!$E5:$FA5,1,MATCH(W$16,'Daily Tracker'!$E$2:$FA$2,0)),0))</f>
        <v>9</v>
      </c>
      <c r="X19">
        <f>IF(X$16="","",IFERROR(INDEX('Daily Tracker'!$E5:$FA5,1,MATCH(X$16,'Daily Tracker'!$E$2:$FA$2,0)),0))</f>
        <v>9</v>
      </c>
      <c r="Y19">
        <f>IF(Y$16="","",IFERROR(INDEX('Daily Tracker'!$E5:$FA5,1,MATCH(Y$16,'Daily Tracker'!$E$2:$FA$2,0)),0))</f>
        <v>0</v>
      </c>
      <c r="Z19">
        <f>IF(Z$16="","",IFERROR(INDEX('Daily Tracker'!$E5:$FA5,1,MATCH(Z$16,'Daily Tracker'!$E$2:$FA$2,0)),0))</f>
        <v>9</v>
      </c>
      <c r="AA19">
        <f>IF(AA$16="","",IFERROR(INDEX('Daily Tracker'!$E5:$FA5,1,MATCH(AA$16,'Daily Tracker'!$E$2:$FA$2,0)),0))</f>
        <v>2</v>
      </c>
      <c r="AB19">
        <f>IF(AB$16="","",IFERROR(INDEX('Daily Tracker'!$E5:$FA5,1,MATCH(AB$16,'Daily Tracker'!$E$2:$FA$2,0)),0))</f>
        <v>10</v>
      </c>
      <c r="AC19">
        <f>IF(AC$16="","",IFERROR(INDEX('Daily Tracker'!$E5:$FA5,1,MATCH(AC$16,'Daily Tracker'!$E$2:$FA$2,0)),0))</f>
        <v>6</v>
      </c>
      <c r="AD19">
        <f>IF(AD$16="","",IFERROR(INDEX('Daily Tracker'!$E5:$FA5,1,MATCH(AD$16,'Daily Tracker'!$E$2:$FA$2,0)),0))</f>
        <v>9</v>
      </c>
      <c r="AE19">
        <f>IF(AE$16="","",IFERROR(INDEX('Daily Tracker'!$E5:$FA5,1,MATCH(AE$16,'Daily Tracker'!$E$2:$FA$2,0)),0))</f>
        <v>0</v>
      </c>
      <c r="AF19">
        <f>IF(AF$16="","",IFERROR(INDEX('Daily Tracker'!$E5:$FA5,1,MATCH(AF$16,'Daily Tracker'!$E$2:$FA$2,0)),0))</f>
        <v>10</v>
      </c>
      <c r="AG19">
        <f>IF(AG$16="","",IFERROR(INDEX('Daily Tracker'!$E5:$FA5,1,MATCH(AG$16,'Daily Tracker'!$E$2:$FA$2,0)),0))</f>
        <v>8</v>
      </c>
      <c r="AH19">
        <f>IF(AH$16="","",IFERROR(INDEX('Daily Tracker'!$E5:$FA5,1,MATCH(AH$16,'Daily Tracker'!$E$2:$FA$2,0)),0))</f>
        <v>0</v>
      </c>
      <c r="AI19">
        <f>IF(AI$16="","",IFERROR(INDEX('Daily Tracker'!$E5:$FA5,1,MATCH(AI$16,'Daily Tracker'!$E$2:$FA$2,0)),0))</f>
        <v>7</v>
      </c>
      <c r="AJ19">
        <f>IF(AJ$16="","",IFERROR(INDEX('Daily Tracker'!$E5:$FA5,1,MATCH(AJ$16,'Daily Tracker'!$E$2:$FA$2,0)),0))</f>
        <v>8</v>
      </c>
      <c r="FZ19" t="s">
        <v>53</v>
      </c>
    </row>
    <row r="20" spans="1:182">
      <c r="A20" s="277" t="s">
        <v>13</v>
      </c>
      <c r="B20" s="277" t="str">
        <f>IF('Daily Tracker'!B6="",A20,'Daily Tracker'!B6)</f>
        <v>Supply</v>
      </c>
      <c r="C20" s="277" t="str">
        <f>'Daily Tracker'!C6</f>
        <v>Supply/ Dispatch (Common)</v>
      </c>
      <c r="D20" s="277">
        <f>'Daily Tracker'!D6</f>
        <v>11</v>
      </c>
      <c r="E20" s="277">
        <f>IFERROR(INDEX('Daily Tracker'!$E6:$FA6,1,MATCH($B$4,'Daily Tracker'!$E$2:$FA$2,0)),0)</f>
        <v>6</v>
      </c>
      <c r="F20" s="277">
        <f>D20-E20</f>
        <v>5</v>
      </c>
      <c r="G20" s="278">
        <f>IFERROR(E20/D20,0)</f>
        <v>0.54545454545454541</v>
      </c>
      <c r="P20" s="284"/>
      <c r="Q20" s="284"/>
      <c r="R20" s="284"/>
      <c r="S20" s="284"/>
      <c r="T20" s="284"/>
      <c r="U20" s="284"/>
      <c r="V20">
        <v>6</v>
      </c>
      <c r="W20">
        <f>IF(W$16="","",IFERROR(INDEX('Daily Tracker'!$E6:$FA6,1,MATCH(W$16,'Daily Tracker'!$E$2:$FA$2,0)),0))</f>
        <v>12</v>
      </c>
      <c r="X20">
        <f>IF(X$16="","",IFERROR(INDEX('Daily Tracker'!$E6:$FA6,1,MATCH(X$16,'Daily Tracker'!$E$2:$FA$2,0)),0))</f>
        <v>11</v>
      </c>
      <c r="Y20">
        <f>IF(Y$16="","",IFERROR(INDEX('Daily Tracker'!$E6:$FA6,1,MATCH(Y$16,'Daily Tracker'!$E$2:$FA$2,0)),0))</f>
        <v>0</v>
      </c>
      <c r="Z20">
        <f>IF(Z$16="","",IFERROR(INDEX('Daily Tracker'!$E6:$FA6,1,MATCH(Z$16,'Daily Tracker'!$E$2:$FA$2,0)),0))</f>
        <v>6</v>
      </c>
      <c r="AA20">
        <f>IF(AA$16="","",IFERROR(INDEX('Daily Tracker'!$E6:$FA6,1,MATCH(AA$16,'Daily Tracker'!$E$2:$FA$2,0)),0))</f>
        <v>6</v>
      </c>
      <c r="AB20">
        <f>IF(AB$16="","",IFERROR(INDEX('Daily Tracker'!$E6:$FA6,1,MATCH(AB$16,'Daily Tracker'!$E$2:$FA$2,0)),0))</f>
        <v>15</v>
      </c>
      <c r="AC20">
        <f>IF(AC$16="","",IFERROR(INDEX('Daily Tracker'!$E6:$FA6,1,MATCH(AC$16,'Daily Tracker'!$E$2:$FA$2,0)),0))</f>
        <v>15</v>
      </c>
      <c r="AD20">
        <f>IF(AD$16="","",IFERROR(INDEX('Daily Tracker'!$E6:$FA6,1,MATCH(AD$16,'Daily Tracker'!$E$2:$FA$2,0)),0))</f>
        <v>15</v>
      </c>
      <c r="AE20">
        <f>IF(AE$16="","",IFERROR(INDEX('Daily Tracker'!$E6:$FA6,1,MATCH(AE$16,'Daily Tracker'!$E$2:$FA$2,0)),0))</f>
        <v>15</v>
      </c>
      <c r="AF20">
        <f>IF(AF$16="","",IFERROR(INDEX('Daily Tracker'!$E6:$FA6,1,MATCH(AF$16,'Daily Tracker'!$E$2:$FA$2,0)),0))</f>
        <v>15</v>
      </c>
      <c r="AG20">
        <f>IF(AG$16="","",IFERROR(INDEX('Daily Tracker'!$E6:$FA6,1,MATCH(AG$16,'Daily Tracker'!$E$2:$FA$2,0)),0))</f>
        <v>15</v>
      </c>
      <c r="AH20">
        <f>IF(AH$16="","",IFERROR(INDEX('Daily Tracker'!$E6:$FA6,1,MATCH(AH$16,'Daily Tracker'!$E$2:$FA$2,0)),0))</f>
        <v>4</v>
      </c>
      <c r="AI20">
        <f>IF(AI$16="","",IFERROR(INDEX('Daily Tracker'!$E6:$FA6,1,MATCH(AI$16,'Daily Tracker'!$E$2:$FA$2,0)),0))</f>
        <v>15</v>
      </c>
      <c r="AJ20">
        <f>IF(AJ$16="","",IFERROR(INDEX('Daily Tracker'!$E6:$FA6,1,MATCH(AJ$16,'Daily Tracker'!$E$2:$FA$2,0)),0))</f>
        <v>6</v>
      </c>
      <c r="FZ20" t="s">
        <v>54</v>
      </c>
    </row>
    <row r="21" spans="1:182">
      <c r="A21" s="277" t="s">
        <v>13</v>
      </c>
      <c r="B21" s="277" t="str">
        <f>IF('Daily Tracker'!B7="",A21,'Daily Tracker'!B7)</f>
        <v>Printer</v>
      </c>
      <c r="C21" s="277" t="str">
        <f>'Daily Tracker'!C7</f>
        <v>Printer (Common)</v>
      </c>
      <c r="D21" s="277">
        <f>'Daily Tracker'!D7</f>
        <v>6</v>
      </c>
      <c r="E21" s="277">
        <f>IFERROR(INDEX('Daily Tracker'!$E7:$FA7,1,MATCH($B$4,'Daily Tracker'!$E$2:$FA$2,0)),0)</f>
        <v>8</v>
      </c>
      <c r="F21" s="277">
        <f>D21-E21</f>
        <v>-2</v>
      </c>
      <c r="G21" s="278">
        <f>IFERROR(E21/D21,0)</f>
        <v>1.3333333333333333</v>
      </c>
      <c r="P21" s="284"/>
      <c r="Q21" s="284"/>
      <c r="R21" s="284"/>
      <c r="S21" s="284"/>
      <c r="T21" s="284"/>
      <c r="U21" s="284"/>
      <c r="V21">
        <v>7</v>
      </c>
      <c r="W21">
        <f>IF(W$16="","",IFERROR(INDEX('Daily Tracker'!$E7:$FA7,1,MATCH(W$16,'Daily Tracker'!$E$2:$FA$2,0)),0))</f>
        <v>7</v>
      </c>
      <c r="X21">
        <f>IF(X$16="","",IFERROR(INDEX('Daily Tracker'!$E7:$FA7,1,MATCH(X$16,'Daily Tracker'!$E$2:$FA$2,0)),0))</f>
        <v>8</v>
      </c>
      <c r="Y21">
        <f>IF(Y$16="","",IFERROR(INDEX('Daily Tracker'!$E7:$FA7,1,MATCH(Y$16,'Daily Tracker'!$E$2:$FA$2,0)),0))</f>
        <v>0</v>
      </c>
      <c r="Z21">
        <f>IF(Z$16="","",IFERROR(INDEX('Daily Tracker'!$E7:$FA7,1,MATCH(Z$16,'Daily Tracker'!$E$2:$FA$2,0)),0))</f>
        <v>7</v>
      </c>
      <c r="AA21">
        <f>IF(AA$16="","",IFERROR(INDEX('Daily Tracker'!$E7:$FA7,1,MATCH(AA$16,'Daily Tracker'!$E$2:$FA$2,0)),0))</f>
        <v>3</v>
      </c>
      <c r="AB21">
        <f>IF(AB$16="","",IFERROR(INDEX('Daily Tracker'!$E7:$FA7,1,MATCH(AB$16,'Daily Tracker'!$E$2:$FA$2,0)),0))</f>
        <v>6</v>
      </c>
      <c r="AC21">
        <f>IF(AC$16="","",IFERROR(INDEX('Daily Tracker'!$E7:$FA7,1,MATCH(AC$16,'Daily Tracker'!$E$2:$FA$2,0)),0))</f>
        <v>6</v>
      </c>
      <c r="AD21">
        <f>IF(AD$16="","",IFERROR(INDEX('Daily Tracker'!$E7:$FA7,1,MATCH(AD$16,'Daily Tracker'!$E$2:$FA$2,0)),0))</f>
        <v>5</v>
      </c>
      <c r="AE21">
        <f>IF(AE$16="","",IFERROR(INDEX('Daily Tracker'!$E7:$FA7,1,MATCH(AE$16,'Daily Tracker'!$E$2:$FA$2,0)),0))</f>
        <v>2</v>
      </c>
      <c r="AF21">
        <f>IF(AF$16="","",IFERROR(INDEX('Daily Tracker'!$E7:$FA7,1,MATCH(AF$16,'Daily Tracker'!$E$2:$FA$2,0)),0))</f>
        <v>5</v>
      </c>
      <c r="AG21">
        <f>IF(AG$16="","",IFERROR(INDEX('Daily Tracker'!$E7:$FA7,1,MATCH(AG$16,'Daily Tracker'!$E$2:$FA$2,0)),0))</f>
        <v>4</v>
      </c>
      <c r="AH21">
        <f>IF(AH$16="","",IFERROR(INDEX('Daily Tracker'!$E7:$FA7,1,MATCH(AH$16,'Daily Tracker'!$E$2:$FA$2,0)),0))</f>
        <v>1</v>
      </c>
      <c r="AI21">
        <f>IF(AI$16="","",IFERROR(INDEX('Daily Tracker'!$E7:$FA7,1,MATCH(AI$16,'Daily Tracker'!$E$2:$FA$2,0)),0))</f>
        <v>6</v>
      </c>
      <c r="AJ21">
        <f>IF(AJ$16="","",IFERROR(INDEX('Daily Tracker'!$E7:$FA7,1,MATCH(AJ$16,'Daily Tracker'!$E$2:$FA$2,0)),0))</f>
        <v>8</v>
      </c>
      <c r="FZ21" t="s">
        <v>55</v>
      </c>
    </row>
    <row r="22" spans="1:182">
      <c r="A22" s="277" t="s">
        <v>13</v>
      </c>
      <c r="B22" s="277" t="str">
        <f>IF('Daily Tracker'!B8="",A22,'Daily Tracker'!B8)</f>
        <v>C6</v>
      </c>
      <c r="C22" s="277" t="str">
        <f>'Daily Tracker'!C8</f>
        <v>C6 - Raw Agri (Millets)</v>
      </c>
      <c r="D22" s="277">
        <f>'Daily Tracker'!D8</f>
        <v>16</v>
      </c>
      <c r="E22" s="277">
        <f>IFERROR(INDEX('Daily Tracker'!$E8:$FA8,1,MATCH($B$4,'Daily Tracker'!$E$2:$FA$2,0)),0)</f>
        <v>22</v>
      </c>
      <c r="F22" s="277">
        <f>D22-E22</f>
        <v>-6</v>
      </c>
      <c r="G22" s="278">
        <f>IFERROR(E22/D22,0)</f>
        <v>1.375</v>
      </c>
      <c r="P22" s="284"/>
      <c r="Q22" s="284"/>
      <c r="R22" s="284"/>
      <c r="S22" s="284"/>
      <c r="T22" s="284"/>
      <c r="U22" s="284"/>
      <c r="V22">
        <v>8</v>
      </c>
      <c r="W22">
        <f>IF(W$16="","",IFERROR(INDEX('Daily Tracker'!$E8:$FA8,1,MATCH(W$16,'Daily Tracker'!$E$2:$FA$2,0)),0))</f>
        <v>18</v>
      </c>
      <c r="X22">
        <f>IF(X$16="","",IFERROR(INDEX('Daily Tracker'!$E8:$FA8,1,MATCH(X$16,'Daily Tracker'!$E$2:$FA$2,0)),0))</f>
        <v>19</v>
      </c>
      <c r="Y22">
        <f>IF(Y$16="","",IFERROR(INDEX('Daily Tracker'!$E8:$FA8,1,MATCH(Y$16,'Daily Tracker'!$E$2:$FA$2,0)),0))</f>
        <v>0</v>
      </c>
      <c r="Z22">
        <f>IF(Z$16="","",IFERROR(INDEX('Daily Tracker'!$E8:$FA8,1,MATCH(Z$16,'Daily Tracker'!$E$2:$FA$2,0)),0))</f>
        <v>23</v>
      </c>
      <c r="AA22">
        <f>IF(AA$16="","",IFERROR(INDEX('Daily Tracker'!$E8:$FA8,1,MATCH(AA$16,'Daily Tracker'!$E$2:$FA$2,0)),0))</f>
        <v>0</v>
      </c>
      <c r="AB22">
        <f>IF(AB$16="","",IFERROR(INDEX('Daily Tracker'!$E8:$FA8,1,MATCH(AB$16,'Daily Tracker'!$E$2:$FA$2,0)),0))</f>
        <v>18</v>
      </c>
      <c r="AC22">
        <f>IF(AC$16="","",IFERROR(INDEX('Daily Tracker'!$E8:$FA8,1,MATCH(AC$16,'Daily Tracker'!$E$2:$FA$2,0)),0))</f>
        <v>18</v>
      </c>
      <c r="AD22">
        <f>IF(AD$16="","",IFERROR(INDEX('Daily Tracker'!$E8:$FA8,1,MATCH(AD$16,'Daily Tracker'!$E$2:$FA$2,0)),0))</f>
        <v>15</v>
      </c>
      <c r="AE22">
        <f>IF(AE$16="","",IFERROR(INDEX('Daily Tracker'!$E8:$FA8,1,MATCH(AE$16,'Daily Tracker'!$E$2:$FA$2,0)),0))</f>
        <v>0</v>
      </c>
      <c r="AF22">
        <f>IF(AF$16="","",IFERROR(INDEX('Daily Tracker'!$E8:$FA8,1,MATCH(AF$16,'Daily Tracker'!$E$2:$FA$2,0)),0))</f>
        <v>14</v>
      </c>
      <c r="AG22">
        <f>IF(AG$16="","",IFERROR(INDEX('Daily Tracker'!$E8:$FA8,1,MATCH(AG$16,'Daily Tracker'!$E$2:$FA$2,0)),0))</f>
        <v>11</v>
      </c>
      <c r="AH22">
        <f>IF(AH$16="","",IFERROR(INDEX('Daily Tracker'!$E8:$FA8,1,MATCH(AH$16,'Daily Tracker'!$E$2:$FA$2,0)),0))</f>
        <v>7</v>
      </c>
      <c r="AI22">
        <f>IF(AI$16="","",IFERROR(INDEX('Daily Tracker'!$E8:$FA8,1,MATCH(AI$16,'Daily Tracker'!$E$2:$FA$2,0)),0))</f>
        <v>21</v>
      </c>
      <c r="AJ22">
        <f>IF(AJ$16="","",IFERROR(INDEX('Daily Tracker'!$E8:$FA8,1,MATCH(AJ$16,'Daily Tracker'!$E$2:$FA$2,0)),0))</f>
        <v>22</v>
      </c>
      <c r="FZ22" t="s">
        <v>56</v>
      </c>
    </row>
    <row r="23" spans="1:182">
      <c r="A23" s="277" t="s">
        <v>13</v>
      </c>
      <c r="B23" s="277" t="str">
        <f>IF('Daily Tracker'!B9="",A23,'Daily Tracker'!B9)</f>
        <v>C39</v>
      </c>
      <c r="C23" s="277" t="str">
        <f>'Daily Tracker'!C9</f>
        <v>C39 - Honey / all Spices</v>
      </c>
      <c r="D23" s="277">
        <f>'Daily Tracker'!D9</f>
        <v>22</v>
      </c>
      <c r="E23" s="277">
        <f>IFERROR(INDEX('Daily Tracker'!$E9:$FA9,1,MATCH($B$4,'Daily Tracker'!$E$2:$FA$2,0)),0)</f>
        <v>18</v>
      </c>
      <c r="F23" s="277">
        <f>D23-E23</f>
        <v>4</v>
      </c>
      <c r="G23" s="278">
        <f>IFERROR(E23/D23,0)</f>
        <v>0.81818181818181823</v>
      </c>
      <c r="V23">
        <v>9</v>
      </c>
      <c r="W23">
        <f>IF(W$16="","",IFERROR(INDEX('Daily Tracker'!$E9:$FA9,1,MATCH(W$16,'Daily Tracker'!$E$2:$FA$2,0)),0))</f>
        <v>15</v>
      </c>
      <c r="X23">
        <f>IF(X$16="","",IFERROR(INDEX('Daily Tracker'!$E9:$FA9,1,MATCH(X$16,'Daily Tracker'!$E$2:$FA$2,0)),0))</f>
        <v>19</v>
      </c>
      <c r="Y23">
        <f>IF(Y$16="","",IFERROR(INDEX('Daily Tracker'!$E9:$FA9,1,MATCH(Y$16,'Daily Tracker'!$E$2:$FA$2,0)),0))</f>
        <v>0</v>
      </c>
      <c r="Z23">
        <f>IF(Z$16="","",IFERROR(INDEX('Daily Tracker'!$E9:$FA9,1,MATCH(Z$16,'Daily Tracker'!$E$2:$FA$2,0)),0))</f>
        <v>18</v>
      </c>
      <c r="AA23">
        <f>IF(AA$16="","",IFERROR(INDEX('Daily Tracker'!$E9:$FA9,1,MATCH(AA$16,'Daily Tracker'!$E$2:$FA$2,0)),0))</f>
        <v>0</v>
      </c>
      <c r="AB23">
        <f>IF(AB$16="","",IFERROR(INDEX('Daily Tracker'!$E9:$FA9,1,MATCH(AB$16,'Daily Tracker'!$E$2:$FA$2,0)),0))</f>
        <v>15</v>
      </c>
      <c r="AC23">
        <f>IF(AC$16="","",IFERROR(INDEX('Daily Tracker'!$E9:$FA9,1,MATCH(AC$16,'Daily Tracker'!$E$2:$FA$2,0)),0))</f>
        <v>11</v>
      </c>
      <c r="AD23">
        <f>IF(AD$16="","",IFERROR(INDEX('Daily Tracker'!$E9:$FA9,1,MATCH(AD$16,'Daily Tracker'!$E$2:$FA$2,0)),0))</f>
        <v>16</v>
      </c>
      <c r="AE23">
        <f>IF(AE$16="","",IFERROR(INDEX('Daily Tracker'!$E9:$FA9,1,MATCH(AE$16,'Daily Tracker'!$E$2:$FA$2,0)),0))</f>
        <v>0</v>
      </c>
      <c r="AF23">
        <f>IF(AF$16="","",IFERROR(INDEX('Daily Tracker'!$E9:$FA9,1,MATCH(AF$16,'Daily Tracker'!$E$2:$FA$2,0)),0))</f>
        <v>12</v>
      </c>
      <c r="AG23">
        <f>IF(AG$16="","",IFERROR(INDEX('Daily Tracker'!$E9:$FA9,1,MATCH(AG$16,'Daily Tracker'!$E$2:$FA$2,0)),0))</f>
        <v>13</v>
      </c>
      <c r="AH23">
        <f>IF(AH$16="","",IFERROR(INDEX('Daily Tracker'!$E9:$FA9,1,MATCH(AH$16,'Daily Tracker'!$E$2:$FA$2,0)),0))</f>
        <v>0</v>
      </c>
      <c r="AI23">
        <f>IF(AI$16="","",IFERROR(INDEX('Daily Tracker'!$E9:$FA9,1,MATCH(AI$16,'Daily Tracker'!$E$2:$FA$2,0)),0))</f>
        <v>16</v>
      </c>
      <c r="AJ23">
        <f>IF(AJ$16="","",IFERROR(INDEX('Daily Tracker'!$E9:$FA9,1,MATCH(AJ$16,'Daily Tracker'!$E$2:$FA$2,0)),0))</f>
        <v>18</v>
      </c>
      <c r="FZ23" t="s">
        <v>57</v>
      </c>
    </row>
    <row r="24" spans="1:182">
      <c r="A24" s="277" t="s">
        <v>13</v>
      </c>
      <c r="B24" s="277" t="str">
        <f>IF('Daily Tracker'!B10="",A24,'Daily Tracker'!B10)</f>
        <v>C39</v>
      </c>
      <c r="C24" s="277" t="str">
        <f>'Daily Tracker'!C10</f>
        <v>C39 - Jaggery</v>
      </c>
      <c r="D24" s="277">
        <f>'Daily Tracker'!D10</f>
        <v>9</v>
      </c>
      <c r="E24" s="277">
        <f>IFERROR(INDEX('Daily Tracker'!$E10:$FA10,1,MATCH($B$4,'Daily Tracker'!$E$2:$FA$2,0)),0)</f>
        <v>19</v>
      </c>
      <c r="F24" s="277">
        <f>D24-E24</f>
        <v>-10</v>
      </c>
      <c r="G24" s="278">
        <f>IFERROR(E24/D24,0)</f>
        <v>2.1111111111111112</v>
      </c>
      <c r="V24">
        <v>10</v>
      </c>
      <c r="W24">
        <f>IF(W$16="","",IFERROR(INDEX('Daily Tracker'!$E10:$FA10,1,MATCH(W$16,'Daily Tracker'!$E$2:$FA$2,0)),0))</f>
        <v>20</v>
      </c>
      <c r="X24">
        <f>IF(X$16="","",IFERROR(INDEX('Daily Tracker'!$E10:$FA10,1,MATCH(X$16,'Daily Tracker'!$E$2:$FA$2,0)),0))</f>
        <v>14</v>
      </c>
      <c r="Y24">
        <f>IF(Y$16="","",IFERROR(INDEX('Daily Tracker'!$E10:$FA10,1,MATCH(Y$16,'Daily Tracker'!$E$2:$FA$2,0)),0))</f>
        <v>0</v>
      </c>
      <c r="Z24">
        <f>IF(Z$16="","",IFERROR(INDEX('Daily Tracker'!$E10:$FA10,1,MATCH(Z$16,'Daily Tracker'!$E$2:$FA$2,0)),0))</f>
        <v>15</v>
      </c>
      <c r="AA24">
        <f>IF(AA$16="","",IFERROR(INDEX('Daily Tracker'!$E10:$FA10,1,MATCH(AA$16,'Daily Tracker'!$E$2:$FA$2,0)),0))</f>
        <v>15</v>
      </c>
      <c r="AB24">
        <f>IF(AB$16="","",IFERROR(INDEX('Daily Tracker'!$E10:$FA10,1,MATCH(AB$16,'Daily Tracker'!$E$2:$FA$2,0)),0))</f>
        <v>17</v>
      </c>
      <c r="AC24">
        <f>IF(AC$16="","",IFERROR(INDEX('Daily Tracker'!$E10:$FA10,1,MATCH(AC$16,'Daily Tracker'!$E$2:$FA$2,0)),0))</f>
        <v>16</v>
      </c>
      <c r="AD24">
        <f>IF(AD$16="","",IFERROR(INDEX('Daily Tracker'!$E10:$FA10,1,MATCH(AD$16,'Daily Tracker'!$E$2:$FA$2,0)),0))</f>
        <v>15</v>
      </c>
      <c r="AE24">
        <f>IF(AE$16="","",IFERROR(INDEX('Daily Tracker'!$E10:$FA10,1,MATCH(AE$16,'Daily Tracker'!$E$2:$FA$2,0)),0))</f>
        <v>0</v>
      </c>
      <c r="AF24">
        <f>IF(AF$16="","",IFERROR(INDEX('Daily Tracker'!$E10:$FA10,1,MATCH(AF$16,'Daily Tracker'!$E$2:$FA$2,0)),0))</f>
        <v>17</v>
      </c>
      <c r="AG24">
        <f>IF(AG$16="","",IFERROR(INDEX('Daily Tracker'!$E10:$FA10,1,MATCH(AG$16,'Daily Tracker'!$E$2:$FA$2,0)),0))</f>
        <v>20</v>
      </c>
      <c r="AH24">
        <f>IF(AH$16="","",IFERROR(INDEX('Daily Tracker'!$E10:$FA10,1,MATCH(AH$16,'Daily Tracker'!$E$2:$FA$2,0)),0))</f>
        <v>0</v>
      </c>
      <c r="AI24">
        <f>IF(AI$16="","",IFERROR(INDEX('Daily Tracker'!$E10:$FA10,1,MATCH(AI$16,'Daily Tracker'!$E$2:$FA$2,0)),0))</f>
        <v>19</v>
      </c>
      <c r="AJ24">
        <f>IF(AJ$16="","",IFERROR(INDEX('Daily Tracker'!$E10:$FA10,1,MATCH(AJ$16,'Daily Tracker'!$E$2:$FA$2,0)),0))</f>
        <v>19</v>
      </c>
      <c r="FZ24" t="s">
        <v>58</v>
      </c>
    </row>
    <row r="25" spans="1:182">
      <c r="A25" s="277" t="s">
        <v>13</v>
      </c>
      <c r="B25" s="277" t="str">
        <f>IF('Daily Tracker'!B11="",A25,'Daily Tracker'!B11)</f>
        <v>C39</v>
      </c>
      <c r="C25" s="277" t="str">
        <f>'Daily Tracker'!C11</f>
        <v>C39 - Atta</v>
      </c>
      <c r="D25" s="277">
        <f>'Daily Tracker'!D11</f>
        <v>22</v>
      </c>
      <c r="E25" s="277">
        <f>IFERROR(INDEX('Daily Tracker'!$E11:$FA11,1,MATCH($B$4,'Daily Tracker'!$E$2:$FA$2,0)),0)</f>
        <v>9</v>
      </c>
      <c r="F25" s="277">
        <f>D25-E25</f>
        <v>13</v>
      </c>
      <c r="G25" s="278">
        <f>IFERROR(E25/D25,0)</f>
        <v>0.40909090909090912</v>
      </c>
      <c r="V25">
        <v>11</v>
      </c>
      <c r="W25">
        <f>IF(W$16="","",IFERROR(INDEX('Daily Tracker'!$E11:$FA11,1,MATCH(W$16,'Daily Tracker'!$E$2:$FA$2,0)),0))</f>
        <v>11</v>
      </c>
      <c r="X25">
        <f>IF(X$16="","",IFERROR(INDEX('Daily Tracker'!$E11:$FA11,1,MATCH(X$16,'Daily Tracker'!$E$2:$FA$2,0)),0))</f>
        <v>13</v>
      </c>
      <c r="Y25">
        <f>IF(Y$16="","",IFERROR(INDEX('Daily Tracker'!$E11:$FA11,1,MATCH(Y$16,'Daily Tracker'!$E$2:$FA$2,0)),0))</f>
        <v>0</v>
      </c>
      <c r="Z25">
        <f>IF(Z$16="","",IFERROR(INDEX('Daily Tracker'!$E11:$FA11,1,MATCH(Z$16,'Daily Tracker'!$E$2:$FA$2,0)),0))</f>
        <v>14</v>
      </c>
      <c r="AA25">
        <f>IF(AA$16="","",IFERROR(INDEX('Daily Tracker'!$E11:$FA11,1,MATCH(AA$16,'Daily Tracker'!$E$2:$FA$2,0)),0))</f>
        <v>13</v>
      </c>
      <c r="AB25">
        <f>IF(AB$16="","",IFERROR(INDEX('Daily Tracker'!$E11:$FA11,1,MATCH(AB$16,'Daily Tracker'!$E$2:$FA$2,0)),0))</f>
        <v>10</v>
      </c>
      <c r="AC25">
        <f>IF(AC$16="","",IFERROR(INDEX('Daily Tracker'!$E11:$FA11,1,MATCH(AC$16,'Daily Tracker'!$E$2:$FA$2,0)),0))</f>
        <v>17</v>
      </c>
      <c r="AD25">
        <f>IF(AD$16="","",IFERROR(INDEX('Daily Tracker'!$E11:$FA11,1,MATCH(AD$16,'Daily Tracker'!$E$2:$FA$2,0)),0))</f>
        <v>10</v>
      </c>
      <c r="AE25">
        <f>IF(AE$16="","",IFERROR(INDEX('Daily Tracker'!$E11:$FA11,1,MATCH(AE$16,'Daily Tracker'!$E$2:$FA$2,0)),0))</f>
        <v>12</v>
      </c>
      <c r="AF25">
        <f>IF(AF$16="","",IFERROR(INDEX('Daily Tracker'!$E11:$FA11,1,MATCH(AF$16,'Daily Tracker'!$E$2:$FA$2,0)),0))</f>
        <v>12</v>
      </c>
      <c r="AG25">
        <f>IF(AG$16="","",IFERROR(INDEX('Daily Tracker'!$E11:$FA11,1,MATCH(AG$16,'Daily Tracker'!$E$2:$FA$2,0)),0))</f>
        <v>10</v>
      </c>
      <c r="AH25">
        <f>IF(AH$16="","",IFERROR(INDEX('Daily Tracker'!$E11:$FA11,1,MATCH(AH$16,'Daily Tracker'!$E$2:$FA$2,0)),0))</f>
        <v>11</v>
      </c>
      <c r="AI25">
        <f>IF(AI$16="","",IFERROR(INDEX('Daily Tracker'!$E11:$FA11,1,MATCH(AI$16,'Daily Tracker'!$E$2:$FA$2,0)),0))</f>
        <v>10</v>
      </c>
      <c r="AJ25">
        <f>IF(AJ$16="","",IFERROR(INDEX('Daily Tracker'!$E11:$FA11,1,MATCH(AJ$16,'Daily Tracker'!$E$2:$FA$2,0)),0))</f>
        <v>9</v>
      </c>
      <c r="FZ25" t="s">
        <v>59</v>
      </c>
    </row>
    <row r="26" spans="1:182">
      <c r="A26" s="277" t="s">
        <v>13</v>
      </c>
      <c r="B26" s="277" t="str">
        <f>IF('Daily Tracker'!B12="",A26,'Daily Tracker'!B12)</f>
        <v>C6</v>
      </c>
      <c r="C26" s="277" t="str">
        <f>'Daily Tracker'!C12</f>
        <v>C6 - Atta - 1</v>
      </c>
      <c r="D26" s="277">
        <f>'Daily Tracker'!D12</f>
        <v>14</v>
      </c>
      <c r="E26" s="277">
        <f>IFERROR(INDEX('Daily Tracker'!$E12:$FA12,1,MATCH($B$4,'Daily Tracker'!$E$2:$FA$2,0)),0)</f>
        <v>16</v>
      </c>
      <c r="F26" s="277">
        <f>D26-E26</f>
        <v>-2</v>
      </c>
      <c r="G26" s="278">
        <f>IFERROR(E26/D26,0)</f>
        <v>1.1428571428571428</v>
      </c>
      <c r="V26">
        <v>12</v>
      </c>
      <c r="W26">
        <f>IF(W$16="","",IFERROR(INDEX('Daily Tracker'!$E12:$FA12,1,MATCH(W$16,'Daily Tracker'!$E$2:$FA$2,0)),0))</f>
        <v>16</v>
      </c>
      <c r="X26">
        <f>IF(X$16="","",IFERROR(INDEX('Daily Tracker'!$E12:$FA12,1,MATCH(X$16,'Daily Tracker'!$E$2:$FA$2,0)),0))</f>
        <v>17</v>
      </c>
      <c r="Y26">
        <f>IF(Y$16="","",IFERROR(INDEX('Daily Tracker'!$E12:$FA12,1,MATCH(Y$16,'Daily Tracker'!$E$2:$FA$2,0)),0))</f>
        <v>0</v>
      </c>
      <c r="Z26">
        <f>IF(Z$16="","",IFERROR(INDEX('Daily Tracker'!$E12:$FA12,1,MATCH(Z$16,'Daily Tracker'!$E$2:$FA$2,0)),0))</f>
        <v>16</v>
      </c>
      <c r="AA26">
        <f>IF(AA$16="","",IFERROR(INDEX('Daily Tracker'!$E12:$FA12,1,MATCH(AA$16,'Daily Tracker'!$E$2:$FA$2,0)),0))</f>
        <v>0</v>
      </c>
      <c r="AB26">
        <f>IF(AB$16="","",IFERROR(INDEX('Daily Tracker'!$E12:$FA12,1,MATCH(AB$16,'Daily Tracker'!$E$2:$FA$2,0)),0))</f>
        <v>17</v>
      </c>
      <c r="AC26">
        <f>IF(AC$16="","",IFERROR(INDEX('Daily Tracker'!$E12:$FA12,1,MATCH(AC$16,'Daily Tracker'!$E$2:$FA$2,0)),0))</f>
        <v>16</v>
      </c>
      <c r="AD26">
        <f>IF(AD$16="","",IFERROR(INDEX('Daily Tracker'!$E12:$FA12,1,MATCH(AD$16,'Daily Tracker'!$E$2:$FA$2,0)),0))</f>
        <v>16</v>
      </c>
      <c r="AE26">
        <f>IF(AE$16="","",IFERROR(INDEX('Daily Tracker'!$E12:$FA12,1,MATCH(AE$16,'Daily Tracker'!$E$2:$FA$2,0)),0))</f>
        <v>12</v>
      </c>
      <c r="AF26">
        <f>IF(AF$16="","",IFERROR(INDEX('Daily Tracker'!$E12:$FA12,1,MATCH(AF$16,'Daily Tracker'!$E$2:$FA$2,0)),0))</f>
        <v>15</v>
      </c>
      <c r="AG26">
        <f>IF(AG$16="","",IFERROR(INDEX('Daily Tracker'!$E12:$FA12,1,MATCH(AG$16,'Daily Tracker'!$E$2:$FA$2,0)),0))</f>
        <v>17</v>
      </c>
      <c r="AH26">
        <f>IF(AH$16="","",IFERROR(INDEX('Daily Tracker'!$E12:$FA12,1,MATCH(AH$16,'Daily Tracker'!$E$2:$FA$2,0)),0))</f>
        <v>14</v>
      </c>
      <c r="AI26">
        <f>IF(AI$16="","",IFERROR(INDEX('Daily Tracker'!$E12:$FA12,1,MATCH(AI$16,'Daily Tracker'!$E$2:$FA$2,0)),0))</f>
        <v>15</v>
      </c>
      <c r="AJ26">
        <f>IF(AJ$16="","",IFERROR(INDEX('Daily Tracker'!$E12:$FA12,1,MATCH(AJ$16,'Daily Tracker'!$E$2:$FA$2,0)),0))</f>
        <v>16</v>
      </c>
      <c r="FZ26" t="s">
        <v>60</v>
      </c>
    </row>
    <row r="27" spans="1:182">
      <c r="A27" s="277" t="s">
        <v>13</v>
      </c>
      <c r="B27" s="277" t="str">
        <f>IF('Daily Tracker'!B13="",A27,'Daily Tracker'!B13)</f>
        <v>C6</v>
      </c>
      <c r="C27" s="277" t="str">
        <f>'Daily Tracker'!C13</f>
        <v>C6 Atta - 2</v>
      </c>
      <c r="D27" s="277">
        <f>'Daily Tracker'!D13</f>
        <v>11</v>
      </c>
      <c r="E27" s="277">
        <f>IFERROR(INDEX('Daily Tracker'!$E13:$FA13,1,MATCH($B$4,'Daily Tracker'!$E$2:$FA$2,0)),0)</f>
        <v>5</v>
      </c>
      <c r="F27" s="277">
        <f>D27-E27</f>
        <v>6</v>
      </c>
      <c r="G27" s="278">
        <f>IFERROR(E27/D27,0)</f>
        <v>0.45454545454545453</v>
      </c>
      <c r="V27">
        <v>13</v>
      </c>
      <c r="W27">
        <f>IF(W$16="","",IFERROR(INDEX('Daily Tracker'!$E13:$FA13,1,MATCH(W$16,'Daily Tracker'!$E$2:$FA$2,0)),0))</f>
        <v>5</v>
      </c>
      <c r="X27">
        <f>IF(X$16="","",IFERROR(INDEX('Daily Tracker'!$E13:$FA13,1,MATCH(X$16,'Daily Tracker'!$E$2:$FA$2,0)),0))</f>
        <v>4</v>
      </c>
      <c r="Y27">
        <f>IF(Y$16="","",IFERROR(INDEX('Daily Tracker'!$E13:$FA13,1,MATCH(Y$16,'Daily Tracker'!$E$2:$FA$2,0)),0))</f>
        <v>0</v>
      </c>
      <c r="Z27">
        <f>IF(Z$16="","",IFERROR(INDEX('Daily Tracker'!$E13:$FA13,1,MATCH(Z$16,'Daily Tracker'!$E$2:$FA$2,0)),0))</f>
        <v>5</v>
      </c>
      <c r="AA27">
        <f>IF(AA$16="","",IFERROR(INDEX('Daily Tracker'!$E13:$FA13,1,MATCH(AA$16,'Daily Tracker'!$E$2:$FA$2,0)),0))</f>
        <v>0</v>
      </c>
      <c r="AB27">
        <f>IF(AB$16="","",IFERROR(INDEX('Daily Tracker'!$E13:$FA13,1,MATCH(AB$16,'Daily Tracker'!$E$2:$FA$2,0)),0))</f>
        <v>4</v>
      </c>
      <c r="AC27">
        <f>IF(AC$16="","",IFERROR(INDEX('Daily Tracker'!$E13:$FA13,1,MATCH(AC$16,'Daily Tracker'!$E$2:$FA$2,0)),0))</f>
        <v>4</v>
      </c>
      <c r="AD27">
        <f>IF(AD$16="","",IFERROR(INDEX('Daily Tracker'!$E13:$FA13,1,MATCH(AD$16,'Daily Tracker'!$E$2:$FA$2,0)),0))</f>
        <v>4</v>
      </c>
      <c r="AE27">
        <f>IF(AE$16="","",IFERROR(INDEX('Daily Tracker'!$E13:$FA13,1,MATCH(AE$16,'Daily Tracker'!$E$2:$FA$2,0)),0))</f>
        <v>0</v>
      </c>
      <c r="AF27">
        <f>IF(AF$16="","",IFERROR(INDEX('Daily Tracker'!$E13:$FA13,1,MATCH(AF$16,'Daily Tracker'!$E$2:$FA$2,0)),0))</f>
        <v>5</v>
      </c>
      <c r="AG27">
        <f>IF(AG$16="","",IFERROR(INDEX('Daily Tracker'!$E13:$FA13,1,MATCH(AG$16,'Daily Tracker'!$E$2:$FA$2,0)),0))</f>
        <v>6</v>
      </c>
      <c r="AH27">
        <f>IF(AH$16="","",IFERROR(INDEX('Daily Tracker'!$E13:$FA13,1,MATCH(AH$16,'Daily Tracker'!$E$2:$FA$2,0)),0))</f>
        <v>0</v>
      </c>
      <c r="AI27">
        <f>IF(AI$16="","",IFERROR(INDEX('Daily Tracker'!$E13:$FA13,1,MATCH(AI$16,'Daily Tracker'!$E$2:$FA$2,0)),0))</f>
        <v>4</v>
      </c>
      <c r="AJ27">
        <f>IF(AJ$16="","",IFERROR(INDEX('Daily Tracker'!$E13:$FA13,1,MATCH(AJ$16,'Daily Tracker'!$E$2:$FA$2,0)),0))</f>
        <v>5</v>
      </c>
      <c r="FZ27" t="s">
        <v>61</v>
      </c>
    </row>
    <row r="28" spans="1:182">
      <c r="A28" s="277" t="s">
        <v>13</v>
      </c>
      <c r="B28" s="277" t="str">
        <f>IF('Daily Tracker'!B14="",A28,'Daily Tracker'!B14)</f>
        <v>FRM</v>
      </c>
      <c r="C28" s="277" t="str">
        <f>'Daily Tracker'!C14</f>
        <v>FRM - Khapal-Khapli</v>
      </c>
      <c r="D28" s="277">
        <f>'Daily Tracker'!D14</f>
        <v>0</v>
      </c>
      <c r="E28" s="277">
        <f>IFERROR(INDEX('Daily Tracker'!$E14:$FA14,1,MATCH($B$4,'Daily Tracker'!$E$2:$FA$2,0)),0)</f>
        <v>0</v>
      </c>
      <c r="F28" s="277">
        <f>D28-E28</f>
        <v>0</v>
      </c>
      <c r="G28" s="278">
        <f>IFERROR(E28/D28,0)</f>
        <v>0</v>
      </c>
      <c r="V28">
        <v>14</v>
      </c>
      <c r="W28">
        <f>IF(W$16="","",IFERROR(INDEX('Daily Tracker'!$E14:$FA14,1,MATCH(W$16,'Daily Tracker'!$E$2:$FA$2,0)),0))</f>
        <v>0</v>
      </c>
      <c r="X28">
        <f>IF(X$16="","",IFERROR(INDEX('Daily Tracker'!$E14:$FA14,1,MATCH(X$16,'Daily Tracker'!$E$2:$FA$2,0)),0))</f>
        <v>0</v>
      </c>
      <c r="Y28">
        <f>IF(Y$16="","",IFERROR(INDEX('Daily Tracker'!$E14:$FA14,1,MATCH(Y$16,'Daily Tracker'!$E$2:$FA$2,0)),0))</f>
        <v>0</v>
      </c>
      <c r="Z28">
        <f>IF(Z$16="","",IFERROR(INDEX('Daily Tracker'!$E14:$FA14,1,MATCH(Z$16,'Daily Tracker'!$E$2:$FA$2,0)),0))</f>
        <v>0</v>
      </c>
      <c r="AA28">
        <f>IF(AA$16="","",IFERROR(INDEX('Daily Tracker'!$E14:$FA14,1,MATCH(AA$16,'Daily Tracker'!$E$2:$FA$2,0)),0))</f>
        <v>0</v>
      </c>
      <c r="AB28">
        <f>IF(AB$16="","",IFERROR(INDEX('Daily Tracker'!$E14:$FA14,1,MATCH(AB$16,'Daily Tracker'!$E$2:$FA$2,0)),0))</f>
        <v>0</v>
      </c>
      <c r="AC28">
        <f>IF(AC$16="","",IFERROR(INDEX('Daily Tracker'!$E14:$FA14,1,MATCH(AC$16,'Daily Tracker'!$E$2:$FA$2,0)),0))</f>
        <v>0</v>
      </c>
      <c r="AD28">
        <f>IF(AD$16="","",IFERROR(INDEX('Daily Tracker'!$E14:$FA14,1,MATCH(AD$16,'Daily Tracker'!$E$2:$FA$2,0)),0))</f>
        <v>0</v>
      </c>
      <c r="AE28">
        <f>IF(AE$16="","",IFERROR(INDEX('Daily Tracker'!$E14:$FA14,1,MATCH(AE$16,'Daily Tracker'!$E$2:$FA$2,0)),0))</f>
        <v>0</v>
      </c>
      <c r="AF28">
        <f>IF(AF$16="","",IFERROR(INDEX('Daily Tracker'!$E14:$FA14,1,MATCH(AF$16,'Daily Tracker'!$E$2:$FA$2,0)),0))</f>
        <v>0</v>
      </c>
      <c r="AG28">
        <f>IF(AG$16="","",IFERROR(INDEX('Daily Tracker'!$E14:$FA14,1,MATCH(AG$16,'Daily Tracker'!$E$2:$FA$2,0)),0))</f>
        <v>0</v>
      </c>
      <c r="AH28">
        <f>IF(AH$16="","",IFERROR(INDEX('Daily Tracker'!$E14:$FA14,1,MATCH(AH$16,'Daily Tracker'!$E$2:$FA$2,0)),0))</f>
        <v>0</v>
      </c>
      <c r="AI28">
        <f>IF(AI$16="","",IFERROR(INDEX('Daily Tracker'!$E14:$FA14,1,MATCH(AI$16,'Daily Tracker'!$E$2:$FA$2,0)),0))</f>
        <v>0</v>
      </c>
      <c r="AJ28">
        <f>IF(AJ$16="","",IFERROR(INDEX('Daily Tracker'!$E14:$FA14,1,MATCH(AJ$16,'Daily Tracker'!$E$2:$FA$2,0)),0))</f>
        <v>0</v>
      </c>
      <c r="FZ28" t="s">
        <v>62</v>
      </c>
    </row>
    <row r="29" spans="1:182">
      <c r="A29" s="277" t="s">
        <v>13</v>
      </c>
      <c r="B29" s="277" t="str">
        <f>IF('Daily Tracker'!B15="",A29,'Daily Tracker'!B15)</f>
        <v>Ghee</v>
      </c>
      <c r="C29" s="277" t="str">
        <f>'Daily Tracker'!C15</f>
        <v xml:space="preserve"> B Shift MP Total Ghee</v>
      </c>
      <c r="D29" s="277">
        <f>'Daily Tracker'!D15</f>
        <v>14</v>
      </c>
      <c r="E29" s="277">
        <f>IFERROR(INDEX('Daily Tracker'!$E15:$FA15,1,MATCH($B$4,'Daily Tracker'!$E$2:$FA$2,0)),0)</f>
        <v>17</v>
      </c>
      <c r="F29" s="277">
        <f>D29-E29</f>
        <v>-3</v>
      </c>
      <c r="G29" s="278">
        <f>IFERROR(E29/D29,0)</f>
        <v>1.2142857142857142</v>
      </c>
      <c r="V29">
        <v>15</v>
      </c>
      <c r="W29">
        <f>IF(W$16="","",IFERROR(INDEX('Daily Tracker'!$E15:$FA15,1,MATCH(W$16,'Daily Tracker'!$E$2:$FA$2,0)),0))</f>
        <v>0</v>
      </c>
      <c r="X29">
        <f>IF(X$16="","",IFERROR(INDEX('Daily Tracker'!$E15:$FA15,1,MATCH(X$16,'Daily Tracker'!$E$2:$FA$2,0)),0))</f>
        <v>0</v>
      </c>
      <c r="Y29">
        <f>IF(Y$16="","",IFERROR(INDEX('Daily Tracker'!$E15:$FA15,1,MATCH(Y$16,'Daily Tracker'!$E$2:$FA$2,0)),0))</f>
        <v>0</v>
      </c>
      <c r="Z29">
        <f>IF(Z$16="","",IFERROR(INDEX('Daily Tracker'!$E15:$FA15,1,MATCH(Z$16,'Daily Tracker'!$E$2:$FA$2,0)),0))</f>
        <v>0</v>
      </c>
      <c r="AA29">
        <f>IF(AA$16="","",IFERROR(INDEX('Daily Tracker'!$E15:$FA15,1,MATCH(AA$16,'Daily Tracker'!$E$2:$FA$2,0)),0))</f>
        <v>0</v>
      </c>
      <c r="AB29">
        <f>IF(AB$16="","",IFERROR(INDEX('Daily Tracker'!$E15:$FA15,1,MATCH(AB$16,'Daily Tracker'!$E$2:$FA$2,0)),0))</f>
        <v>0</v>
      </c>
      <c r="AC29">
        <f>IF(AC$16="","",IFERROR(INDEX('Daily Tracker'!$E15:$FA15,1,MATCH(AC$16,'Daily Tracker'!$E$2:$FA$2,0)),0))</f>
        <v>0</v>
      </c>
      <c r="AD29">
        <f>IF(AD$16="","",IFERROR(INDEX('Daily Tracker'!$E15:$FA15,1,MATCH(AD$16,'Daily Tracker'!$E$2:$FA$2,0)),0))</f>
        <v>0</v>
      </c>
      <c r="AE29">
        <f>IF(AE$16="","",IFERROR(INDEX('Daily Tracker'!$E15:$FA15,1,MATCH(AE$16,'Daily Tracker'!$E$2:$FA$2,0)),0))</f>
        <v>17</v>
      </c>
      <c r="AF29">
        <f>IF(AF$16="","",IFERROR(INDEX('Daily Tracker'!$E15:$FA15,1,MATCH(AF$16,'Daily Tracker'!$E$2:$FA$2,0)),0))</f>
        <v>18</v>
      </c>
      <c r="AG29">
        <f>IF(AG$16="","",IFERROR(INDEX('Daily Tracker'!$E15:$FA15,1,MATCH(AG$16,'Daily Tracker'!$E$2:$FA$2,0)),0))</f>
        <v>14</v>
      </c>
      <c r="AH29">
        <f>IF(AH$16="","",IFERROR(INDEX('Daily Tracker'!$E15:$FA15,1,MATCH(AH$16,'Daily Tracker'!$E$2:$FA$2,0)),0))</f>
        <v>5</v>
      </c>
      <c r="AI29">
        <f>IF(AI$16="","",IFERROR(INDEX('Daily Tracker'!$E15:$FA15,1,MATCH(AI$16,'Daily Tracker'!$E$2:$FA$2,0)),0))</f>
        <v>8</v>
      </c>
      <c r="AJ29">
        <f>IF(AJ$16="","",IFERROR(INDEX('Daily Tracker'!$E15:$FA15,1,MATCH(AJ$16,'Daily Tracker'!$E$2:$FA$2,0)),0))</f>
        <v>17</v>
      </c>
      <c r="FZ29" t="s">
        <v>63</v>
      </c>
    </row>
    <row r="30" spans="1:182">
      <c r="A30" s="277" t="s">
        <v>13</v>
      </c>
      <c r="B30" s="277" t="str">
        <f>IF('Daily Tracker'!B16="",A30,'Daily Tracker'!B16)</f>
        <v>Ghee</v>
      </c>
      <c r="C30" s="277" t="str">
        <f>'Daily Tracker'!C16</f>
        <v>Night MP Total Ghee</v>
      </c>
      <c r="D30" s="277">
        <f>'Daily Tracker'!D16</f>
        <v>5</v>
      </c>
      <c r="E30" s="277">
        <f>IFERROR(INDEX('Daily Tracker'!$E16:$FA16,1,MATCH($B$4,'Daily Tracker'!$E$2:$FA$2,0)),0)</f>
        <v>0</v>
      </c>
      <c r="F30" s="277">
        <f>D30-E30</f>
        <v>5</v>
      </c>
      <c r="G30" s="278">
        <f>IFERROR(E30/D30,0)</f>
        <v>0</v>
      </c>
      <c r="V30">
        <v>16</v>
      </c>
      <c r="W30">
        <f>IF(W$16="","",IFERROR(INDEX('Daily Tracker'!$E16:$FA16,1,MATCH(W$16,'Daily Tracker'!$E$2:$FA$2,0)),0))</f>
        <v>17</v>
      </c>
      <c r="X30">
        <f>IF(X$16="","",IFERROR(INDEX('Daily Tracker'!$E16:$FA16,1,MATCH(X$16,'Daily Tracker'!$E$2:$FA$2,0)),0))</f>
        <v>15</v>
      </c>
      <c r="Y30">
        <f>IF(Y$16="","",IFERROR(INDEX('Daily Tracker'!$E16:$FA16,1,MATCH(Y$16,'Daily Tracker'!$E$2:$FA$2,0)),0))</f>
        <v>0</v>
      </c>
      <c r="Z30">
        <f>IF(Z$16="","",IFERROR(INDEX('Daily Tracker'!$E16:$FA16,1,MATCH(Z$16,'Daily Tracker'!$E$2:$FA$2,0)),0))</f>
        <v>11</v>
      </c>
      <c r="AA30">
        <f>IF(AA$16="","",IFERROR(INDEX('Daily Tracker'!$E16:$FA16,1,MATCH(AA$16,'Daily Tracker'!$E$2:$FA$2,0)),0))</f>
        <v>11</v>
      </c>
      <c r="AB30">
        <f>IF(AB$16="","",IFERROR(INDEX('Daily Tracker'!$E16:$FA16,1,MATCH(AB$16,'Daily Tracker'!$E$2:$FA$2,0)),0))</f>
        <v>11</v>
      </c>
      <c r="AC30">
        <f>IF(AC$16="","",IFERROR(INDEX('Daily Tracker'!$E16:$FA16,1,MATCH(AC$16,'Daily Tracker'!$E$2:$FA$2,0)),0))</f>
        <v>16</v>
      </c>
      <c r="AD30">
        <f>IF(AD$16="","",IFERROR(INDEX('Daily Tracker'!$E16:$FA16,1,MATCH(AD$16,'Daily Tracker'!$E$2:$FA$2,0)),0))</f>
        <v>16</v>
      </c>
      <c r="AE30">
        <f>IF(AE$16="","",IFERROR(INDEX('Daily Tracker'!$E16:$FA16,1,MATCH(AE$16,'Daily Tracker'!$E$2:$FA$2,0)),0))</f>
        <v>0</v>
      </c>
      <c r="AF30">
        <f>IF(AF$16="","",IFERROR(INDEX('Daily Tracker'!$E16:$FA16,1,MATCH(AF$16,'Daily Tracker'!$E$2:$FA$2,0)),0))</f>
        <v>0</v>
      </c>
      <c r="AG30">
        <f>IF(AG$16="","",IFERROR(INDEX('Daily Tracker'!$E16:$FA16,1,MATCH(AG$16,'Daily Tracker'!$E$2:$FA$2,0)),0))</f>
        <v>0</v>
      </c>
      <c r="AH30">
        <f>IF(AH$16="","",IFERROR(INDEX('Daily Tracker'!$E16:$FA16,1,MATCH(AH$16,'Daily Tracker'!$E$2:$FA$2,0)),0))</f>
        <v>0</v>
      </c>
      <c r="AI30">
        <f>IF(AI$16="","",IFERROR(INDEX('Daily Tracker'!$E16:$FA16,1,MATCH(AI$16,'Daily Tracker'!$E$2:$FA$2,0)),0))</f>
        <v>0</v>
      </c>
      <c r="AJ30">
        <f>IF(AJ$16="","",IFERROR(INDEX('Daily Tracker'!$E16:$FA16,1,MATCH(AJ$16,'Daily Tracker'!$E$2:$FA$2,0)),0))</f>
        <v>0</v>
      </c>
      <c r="FZ30" t="s">
        <v>26</v>
      </c>
    </row>
    <row r="31" spans="1:182">
      <c r="A31" s="277" t="s">
        <v>13</v>
      </c>
      <c r="B31" s="277" t="str">
        <f>IF('Daily Tracker'!B17="",A31,'Daily Tracker'!B17)</f>
        <v>C6</v>
      </c>
      <c r="C31" s="277" t="str">
        <f>'Daily Tracker'!C17</f>
        <v>Total C6 Night MP</v>
      </c>
      <c r="D31" s="277">
        <f>'Daily Tracker'!D17</f>
        <v>7</v>
      </c>
      <c r="E31" s="277">
        <f>IFERROR(INDEX('Daily Tracker'!$E17:$FA17,1,MATCH($B$4,'Daily Tracker'!$E$2:$FA$2,0)),0)</f>
        <v>5</v>
      </c>
      <c r="F31" s="277">
        <f>D31-E31</f>
        <v>2</v>
      </c>
      <c r="G31" s="278">
        <f>IFERROR(E31/D31,0)</f>
        <v>0.7142857142857143</v>
      </c>
      <c r="V31">
        <v>17</v>
      </c>
      <c r="W31">
        <f>IF(W$16="","",IFERROR(INDEX('Daily Tracker'!$E17:$FA17,1,MATCH(W$16,'Daily Tracker'!$E$2:$FA$2,0)),0))</f>
        <v>3</v>
      </c>
      <c r="X31">
        <f>IF(X$16="","",IFERROR(INDEX('Daily Tracker'!$E17:$FA17,1,MATCH(X$16,'Daily Tracker'!$E$2:$FA$2,0)),0))</f>
        <v>5</v>
      </c>
      <c r="Y31">
        <f>IF(Y$16="","",IFERROR(INDEX('Daily Tracker'!$E17:$FA17,1,MATCH(Y$16,'Daily Tracker'!$E$2:$FA$2,0)),0))</f>
        <v>0</v>
      </c>
      <c r="Z31">
        <f>IF(Z$16="","",IFERROR(INDEX('Daily Tracker'!$E17:$FA17,1,MATCH(Z$16,'Daily Tracker'!$E$2:$FA$2,0)),0))</f>
        <v>0</v>
      </c>
      <c r="AA31">
        <f>IF(AA$16="","",IFERROR(INDEX('Daily Tracker'!$E17:$FA17,1,MATCH(AA$16,'Daily Tracker'!$E$2:$FA$2,0)),0))</f>
        <v>7</v>
      </c>
      <c r="AB31">
        <f>IF(AB$16="","",IFERROR(INDEX('Daily Tracker'!$E17:$FA17,1,MATCH(AB$16,'Daily Tracker'!$E$2:$FA$2,0)),0))</f>
        <v>0</v>
      </c>
      <c r="AC31">
        <f>IF(AC$16="","",IFERROR(INDEX('Daily Tracker'!$E17:$FA17,1,MATCH(AC$16,'Daily Tracker'!$E$2:$FA$2,0)),0))</f>
        <v>6</v>
      </c>
      <c r="AD31">
        <f>IF(AD$16="","",IFERROR(INDEX('Daily Tracker'!$E17:$FA17,1,MATCH(AD$16,'Daily Tracker'!$E$2:$FA$2,0)),0))</f>
        <v>9</v>
      </c>
      <c r="AE31">
        <f>IF(AE$16="","",IFERROR(INDEX('Daily Tracker'!$E17:$FA17,1,MATCH(AE$16,'Daily Tracker'!$E$2:$FA$2,0)),0))</f>
        <v>9</v>
      </c>
      <c r="AF31">
        <f>IF(AF$16="","",IFERROR(INDEX('Daily Tracker'!$E17:$FA17,1,MATCH(AF$16,'Daily Tracker'!$E$2:$FA$2,0)),0))</f>
        <v>9</v>
      </c>
      <c r="AG31">
        <f>IF(AG$16="","",IFERROR(INDEX('Daily Tracker'!$E17:$FA17,1,MATCH(AG$16,'Daily Tracker'!$E$2:$FA$2,0)),0))</f>
        <v>9</v>
      </c>
      <c r="AH31">
        <f>IF(AH$16="","",IFERROR(INDEX('Daily Tracker'!$E17:$FA17,1,MATCH(AH$16,'Daily Tracker'!$E$2:$FA$2,0)),0))</f>
        <v>9</v>
      </c>
      <c r="AI31">
        <f>IF(AI$16="","",IFERROR(INDEX('Daily Tracker'!$E17:$FA17,1,MATCH(AI$16,'Daily Tracker'!$E$2:$FA$2,0)),0))</f>
        <v>0</v>
      </c>
      <c r="AJ31">
        <f>IF(AJ$16="","",IFERROR(INDEX('Daily Tracker'!$E17:$FA17,1,MATCH(AJ$16,'Daily Tracker'!$E$2:$FA$2,0)),0))</f>
        <v>5</v>
      </c>
    </row>
    <row r="32" spans="1:182">
      <c r="A32" s="277" t="s">
        <v>13</v>
      </c>
      <c r="B32" s="277" t="str">
        <f>IF('Daily Tracker'!B18="",A32,'Daily Tracker'!B18)</f>
        <v>C39</v>
      </c>
      <c r="C32" s="277" t="str">
        <f>'Daily Tracker'!C18</f>
        <v>Total C39 Night MP</v>
      </c>
      <c r="D32" s="277">
        <f>'Daily Tracker'!D18</f>
        <v>21</v>
      </c>
      <c r="E32" s="277">
        <f>IFERROR(INDEX('Daily Tracker'!$E18:$FA18,1,MATCH($B$4,'Daily Tracker'!$E$2:$FA$2,0)),0)</f>
        <v>22</v>
      </c>
      <c r="F32" s="277">
        <f>D32-E32</f>
        <v>-1</v>
      </c>
      <c r="G32" s="278">
        <f>IFERROR(E32/D32,0)</f>
        <v>1.0476190476190477</v>
      </c>
      <c r="V32">
        <v>18</v>
      </c>
      <c r="W32">
        <f>IF(W$16="","",IFERROR(INDEX('Daily Tracker'!$E18:$FA18,1,MATCH(W$16,'Daily Tracker'!$E$2:$FA$2,0)),0))</f>
        <v>15</v>
      </c>
      <c r="X32">
        <f>IF(X$16="","",IFERROR(INDEX('Daily Tracker'!$E18:$FA18,1,MATCH(X$16,'Daily Tracker'!$E$2:$FA$2,0)),0))</f>
        <v>16</v>
      </c>
      <c r="Y32">
        <f>IF(Y$16="","",IFERROR(INDEX('Daily Tracker'!$E18:$FA18,1,MATCH(Y$16,'Daily Tracker'!$E$2:$FA$2,0)),0))</f>
        <v>0</v>
      </c>
      <c r="Z32">
        <f>IF(Z$16="","",IFERROR(INDEX('Daily Tracker'!$E18:$FA18,1,MATCH(Z$16,'Daily Tracker'!$E$2:$FA$2,0)),0))</f>
        <v>0</v>
      </c>
      <c r="AA32">
        <f>IF(AA$16="","",IFERROR(INDEX('Daily Tracker'!$E18:$FA18,1,MATCH(AA$16,'Daily Tracker'!$E$2:$FA$2,0)),0))</f>
        <v>22</v>
      </c>
      <c r="AB32">
        <f>IF(AB$16="","",IFERROR(INDEX('Daily Tracker'!$E18:$FA18,1,MATCH(AB$16,'Daily Tracker'!$E$2:$FA$2,0)),0))</f>
        <v>0</v>
      </c>
      <c r="AC32">
        <f>IF(AC$16="","",IFERROR(INDEX('Daily Tracker'!$E18:$FA18,1,MATCH(AC$16,'Daily Tracker'!$E$2:$FA$2,0)),0))</f>
        <v>24</v>
      </c>
      <c r="AD32">
        <f>IF(AD$16="","",IFERROR(INDEX('Daily Tracker'!$E18:$FA18,1,MATCH(AD$16,'Daily Tracker'!$E$2:$FA$2,0)),0))</f>
        <v>21</v>
      </c>
      <c r="AE32">
        <f>IF(AE$16="","",IFERROR(INDEX('Daily Tracker'!$E18:$FA18,1,MATCH(AE$16,'Daily Tracker'!$E$2:$FA$2,0)),0))</f>
        <v>28</v>
      </c>
      <c r="AF32">
        <f>IF(AF$16="","",IFERROR(INDEX('Daily Tracker'!$E18:$FA18,1,MATCH(AF$16,'Daily Tracker'!$E$2:$FA$2,0)),0))</f>
        <v>25</v>
      </c>
      <c r="AG32">
        <f>IF(AG$16="","",IFERROR(INDEX('Daily Tracker'!$E18:$FA18,1,MATCH(AG$16,'Daily Tracker'!$E$2:$FA$2,0)),0))</f>
        <v>24</v>
      </c>
      <c r="AH32">
        <f>IF(AH$16="","",IFERROR(INDEX('Daily Tracker'!$E18:$FA18,1,MATCH(AH$16,'Daily Tracker'!$E$2:$FA$2,0)),0))</f>
        <v>23</v>
      </c>
      <c r="AI32">
        <f>IF(AI$16="","",IFERROR(INDEX('Daily Tracker'!$E18:$FA18,1,MATCH(AI$16,'Daily Tracker'!$E$2:$FA$2,0)),0))</f>
        <v>0</v>
      </c>
      <c r="AJ32">
        <f>IF(AJ$16="","",IFERROR(INDEX('Daily Tracker'!$E18:$FA18,1,MATCH(AJ$16,'Daily Tracker'!$E$2:$FA$2,0)),0))</f>
        <v>22</v>
      </c>
    </row>
    <row r="33" spans="1:36">
      <c r="A33" s="277" t="s">
        <v>16</v>
      </c>
      <c r="B33" s="277" t="str">
        <f>IF('Daily Tracker'!B20="",A33,'Daily Tracker'!B20)</f>
        <v>Support</v>
      </c>
      <c r="C33" s="277" t="str">
        <f>'Daily Tracker'!C20</f>
        <v>Supervisors + Executive+AM +HR</v>
      </c>
      <c r="D33" s="277">
        <f>'Daily Tracker'!D20</f>
        <v>21</v>
      </c>
      <c r="E33" s="277">
        <f>IFERROR(INDEX('Daily Tracker'!$E20:$FA20,1,MATCH($B$4,'Daily Tracker'!$E$2:$FA$2,0)),0)</f>
        <v>13</v>
      </c>
      <c r="F33" s="277">
        <f>D33-E33</f>
        <v>8</v>
      </c>
      <c r="G33" s="278">
        <f>IFERROR(E33/D33,0)</f>
        <v>0.61904761904761907</v>
      </c>
      <c r="V33">
        <v>20</v>
      </c>
      <c r="W33">
        <f>IF(W$16="","",IFERROR(INDEX('Daily Tracker'!$E20:$FA20,1,MATCH(W$16,'Daily Tracker'!$E$2:$FA$2,0)),0))</f>
        <v>11</v>
      </c>
      <c r="X33">
        <f>IF(X$16="","",IFERROR(INDEX('Daily Tracker'!$E20:$FA20,1,MATCH(X$16,'Daily Tracker'!$E$2:$FA$2,0)),0))</f>
        <v>11</v>
      </c>
      <c r="Y33">
        <f>IF(Y$16="","",IFERROR(INDEX('Daily Tracker'!$E20:$FA20,1,MATCH(Y$16,'Daily Tracker'!$E$2:$FA$2,0)),0))</f>
        <v>0</v>
      </c>
      <c r="Z33">
        <f>IF(Z$16="","",IFERROR(INDEX('Daily Tracker'!$E20:$FA20,1,MATCH(Z$16,'Daily Tracker'!$E$2:$FA$2,0)),0))</f>
        <v>8</v>
      </c>
      <c r="AA33">
        <f>IF(AA$16="","",IFERROR(INDEX('Daily Tracker'!$E20:$FA20,1,MATCH(AA$16,'Daily Tracker'!$E$2:$FA$2,0)),0))</f>
        <v>0</v>
      </c>
      <c r="AB33">
        <f>IF(AB$16="","",IFERROR(INDEX('Daily Tracker'!$E20:$FA20,1,MATCH(AB$16,'Daily Tracker'!$E$2:$FA$2,0)),0))</f>
        <v>10</v>
      </c>
      <c r="AC33">
        <f>IF(AC$16="","",IFERROR(INDEX('Daily Tracker'!$E20:$FA20,1,MATCH(AC$16,'Daily Tracker'!$E$2:$FA$2,0)),0))</f>
        <v>11</v>
      </c>
      <c r="AD33">
        <f>IF(AD$16="","",IFERROR(INDEX('Daily Tracker'!$E20:$FA20,1,MATCH(AD$16,'Daily Tracker'!$E$2:$FA$2,0)),0))</f>
        <v>11</v>
      </c>
      <c r="AE33">
        <f>IF(AE$16="","",IFERROR(INDEX('Daily Tracker'!$E20:$FA20,1,MATCH(AE$16,'Daily Tracker'!$E$2:$FA$2,0)),0))</f>
        <v>11</v>
      </c>
      <c r="AF33">
        <f>IF(AF$16="","",IFERROR(INDEX('Daily Tracker'!$E20:$FA20,1,MATCH(AF$16,'Daily Tracker'!$E$2:$FA$2,0)),0))</f>
        <v>12</v>
      </c>
      <c r="AG33">
        <f>IF(AG$16="","",IFERROR(INDEX('Daily Tracker'!$E20:$FA20,1,MATCH(AG$16,'Daily Tracker'!$E$2:$FA$2,0)),0))</f>
        <v>11</v>
      </c>
      <c r="AH33">
        <f>IF(AH$16="","",IFERROR(INDEX('Daily Tracker'!$E20:$FA20,1,MATCH(AH$16,'Daily Tracker'!$E$2:$FA$2,0)),0))</f>
        <v>0</v>
      </c>
      <c r="AI33">
        <f>IF(AI$16="","",IFERROR(INDEX('Daily Tracker'!$E20:$FA20,1,MATCH(AI$16,'Daily Tracker'!$E$2:$FA$2,0)),0))</f>
        <v>10</v>
      </c>
      <c r="AJ33">
        <f>IF(AJ$16="","",IFERROR(INDEX('Daily Tracker'!$E20:$FA20,1,MATCH(AJ$16,'Daily Tracker'!$E$2:$FA$2,0)),0))</f>
        <v>13</v>
      </c>
    </row>
    <row r="34" spans="1:36">
      <c r="A34" s="277" t="s">
        <v>16</v>
      </c>
      <c r="B34" s="277" t="str">
        <f>IF('Daily Tracker'!B21="",A34,'Daily Tracker'!B21)</f>
        <v>Support</v>
      </c>
      <c r="C34" s="277" t="str">
        <f>'Daily Tracker'!C21</f>
        <v>C39-HK</v>
      </c>
      <c r="D34" s="277">
        <f>'Daily Tracker'!D21</f>
        <v>5</v>
      </c>
      <c r="E34" s="277">
        <f>IFERROR(INDEX('Daily Tracker'!$E21:$FA21,1,MATCH($B$4,'Daily Tracker'!$E$2:$FA$2,0)),0)</f>
        <v>5</v>
      </c>
      <c r="F34" s="277">
        <f>D34-E34</f>
        <v>0</v>
      </c>
      <c r="G34" s="278">
        <f>IFERROR(E34/D34,0)</f>
        <v>1</v>
      </c>
      <c r="V34">
        <v>21</v>
      </c>
      <c r="W34">
        <f>IF(W$16="","",IFERROR(INDEX('Daily Tracker'!$E21:$FA21,1,MATCH(W$16,'Daily Tracker'!$E$2:$FA$2,0)),0))</f>
        <v>5</v>
      </c>
      <c r="X34">
        <f>IF(X$16="","",IFERROR(INDEX('Daily Tracker'!$E21:$FA21,1,MATCH(X$16,'Daily Tracker'!$E$2:$FA$2,0)),0))</f>
        <v>4</v>
      </c>
      <c r="Y34">
        <f>IF(Y$16="","",IFERROR(INDEX('Daily Tracker'!$E21:$FA21,1,MATCH(Y$16,'Daily Tracker'!$E$2:$FA$2,0)),0))</f>
        <v>0</v>
      </c>
      <c r="Z34">
        <f>IF(Z$16="","",IFERROR(INDEX('Daily Tracker'!$E21:$FA21,1,MATCH(Z$16,'Daily Tracker'!$E$2:$FA$2,0)),0))</f>
        <v>5</v>
      </c>
      <c r="AA34">
        <f>IF(AA$16="","",IFERROR(INDEX('Daily Tracker'!$E21:$FA21,1,MATCH(AA$16,'Daily Tracker'!$E$2:$FA$2,0)),0))</f>
        <v>3</v>
      </c>
      <c r="AB34">
        <f>IF(AB$16="","",IFERROR(INDEX('Daily Tracker'!$E21:$FA21,1,MATCH(AB$16,'Daily Tracker'!$E$2:$FA$2,0)),0))</f>
        <v>6</v>
      </c>
      <c r="AC34">
        <f>IF(AC$16="","",IFERROR(INDEX('Daily Tracker'!$E21:$FA21,1,MATCH(AC$16,'Daily Tracker'!$E$2:$FA$2,0)),0))</f>
        <v>4</v>
      </c>
      <c r="AD34">
        <f>IF(AD$16="","",IFERROR(INDEX('Daily Tracker'!$E21:$FA21,1,MATCH(AD$16,'Daily Tracker'!$E$2:$FA$2,0)),0))</f>
        <v>5</v>
      </c>
      <c r="AE34">
        <f>IF(AE$16="","",IFERROR(INDEX('Daily Tracker'!$E21:$FA21,1,MATCH(AE$16,'Daily Tracker'!$E$2:$FA$2,0)),0))</f>
        <v>3</v>
      </c>
      <c r="AF34">
        <f>IF(AF$16="","",IFERROR(INDEX('Daily Tracker'!$E21:$FA21,1,MATCH(AF$16,'Daily Tracker'!$E$2:$FA$2,0)),0))</f>
        <v>5</v>
      </c>
      <c r="AG34">
        <f>IF(AG$16="","",IFERROR(INDEX('Daily Tracker'!$E21:$FA21,1,MATCH(AG$16,'Daily Tracker'!$E$2:$FA$2,0)),0))</f>
        <v>2</v>
      </c>
      <c r="AH34">
        <f>IF(AH$16="","",IFERROR(INDEX('Daily Tracker'!$E21:$FA21,1,MATCH(AH$16,'Daily Tracker'!$E$2:$FA$2,0)),0))</f>
        <v>1</v>
      </c>
      <c r="AI34">
        <f>IF(AI$16="","",IFERROR(INDEX('Daily Tracker'!$E21:$FA21,1,MATCH(AI$16,'Daily Tracker'!$E$2:$FA$2,0)),0))</f>
        <v>6</v>
      </c>
      <c r="AJ34">
        <f>IF(AJ$16="","",IFERROR(INDEX('Daily Tracker'!$E21:$FA21,1,MATCH(AJ$16,'Daily Tracker'!$E$2:$FA$2,0)),0))</f>
        <v>5</v>
      </c>
    </row>
    <row r="35" spans="1:36">
      <c r="A35" s="277" t="s">
        <v>16</v>
      </c>
      <c r="B35" s="277" t="str">
        <f>IF('Daily Tracker'!B22="",A35,'Daily Tracker'!B22)</f>
        <v>Support</v>
      </c>
      <c r="C35" s="277" t="str">
        <f>'Daily Tracker'!C22</f>
        <v>C6-HK</v>
      </c>
      <c r="D35" s="277">
        <f>'Daily Tracker'!D22</f>
        <v>9</v>
      </c>
      <c r="E35" s="277">
        <f>IFERROR(INDEX('Daily Tracker'!$E22:$FA22,1,MATCH($B$4,'Daily Tracker'!$E$2:$FA$2,0)),0)</f>
        <v>9</v>
      </c>
      <c r="F35" s="277">
        <f>D35-E35</f>
        <v>0</v>
      </c>
      <c r="G35" s="278">
        <f>IFERROR(E35/D35,0)</f>
        <v>1</v>
      </c>
      <c r="V35">
        <v>22</v>
      </c>
      <c r="W35">
        <f>IF(W$16="","",IFERROR(INDEX('Daily Tracker'!$E22:$FA22,1,MATCH(W$16,'Daily Tracker'!$E$2:$FA$2,0)),0))</f>
        <v>9</v>
      </c>
      <c r="X35">
        <f>IF(X$16="","",IFERROR(INDEX('Daily Tracker'!$E22:$FA22,1,MATCH(X$16,'Daily Tracker'!$E$2:$FA$2,0)),0))</f>
        <v>9</v>
      </c>
      <c r="Y35">
        <f>IF(Y$16="","",IFERROR(INDEX('Daily Tracker'!$E22:$FA22,1,MATCH(Y$16,'Daily Tracker'!$E$2:$FA$2,0)),0))</f>
        <v>0</v>
      </c>
      <c r="Z35">
        <f>IF(Z$16="","",IFERROR(INDEX('Daily Tracker'!$E22:$FA22,1,MATCH(Z$16,'Daily Tracker'!$E$2:$FA$2,0)),0))</f>
        <v>8</v>
      </c>
      <c r="AA35">
        <f>IF(AA$16="","",IFERROR(INDEX('Daily Tracker'!$E22:$FA22,1,MATCH(AA$16,'Daily Tracker'!$E$2:$FA$2,0)),0))</f>
        <v>6</v>
      </c>
      <c r="AB35">
        <f>IF(AB$16="","",IFERROR(INDEX('Daily Tracker'!$E22:$FA22,1,MATCH(AB$16,'Daily Tracker'!$E$2:$FA$2,0)),0))</f>
        <v>8</v>
      </c>
      <c r="AC35">
        <f>IF(AC$16="","",IFERROR(INDEX('Daily Tracker'!$E22:$FA22,1,MATCH(AC$16,'Daily Tracker'!$E$2:$FA$2,0)),0))</f>
        <v>8</v>
      </c>
      <c r="AD35">
        <f>IF(AD$16="","",IFERROR(INDEX('Daily Tracker'!$E22:$FA22,1,MATCH(AD$16,'Daily Tracker'!$E$2:$FA$2,0)),0))</f>
        <v>8</v>
      </c>
      <c r="AE35">
        <f>IF(AE$16="","",IFERROR(INDEX('Daily Tracker'!$E22:$FA22,1,MATCH(AE$16,'Daily Tracker'!$E$2:$FA$2,0)),0))</f>
        <v>7</v>
      </c>
      <c r="AF35">
        <f>IF(AF$16="","",IFERROR(INDEX('Daily Tracker'!$E22:$FA22,1,MATCH(AF$16,'Daily Tracker'!$E$2:$FA$2,0)),0))</f>
        <v>9</v>
      </c>
      <c r="AG35">
        <f>IF(AG$16="","",IFERROR(INDEX('Daily Tracker'!$E22:$FA22,1,MATCH(AG$16,'Daily Tracker'!$E$2:$FA$2,0)),0))</f>
        <v>7</v>
      </c>
      <c r="AH35">
        <f>IF(AH$16="","",IFERROR(INDEX('Daily Tracker'!$E22:$FA22,1,MATCH(AH$16,'Daily Tracker'!$E$2:$FA$2,0)),0))</f>
        <v>2</v>
      </c>
      <c r="AI35">
        <f>IF(AI$16="","",IFERROR(INDEX('Daily Tracker'!$E22:$FA22,1,MATCH(AI$16,'Daily Tracker'!$E$2:$FA$2,0)),0))</f>
        <v>8</v>
      </c>
      <c r="AJ35">
        <f>IF(AJ$16="","",IFERROR(INDEX('Daily Tracker'!$E22:$FA22,1,MATCH(AJ$16,'Daily Tracker'!$E$2:$FA$2,0)),0))</f>
        <v>9</v>
      </c>
    </row>
    <row r="36" spans="1:36">
      <c r="A36" s="277" t="s">
        <v>16</v>
      </c>
      <c r="B36" s="277" t="str">
        <f>IF('Daily Tracker'!B23="",A36,'Daily Tracker'!B23)</f>
        <v>Support</v>
      </c>
      <c r="C36" s="277" t="str">
        <f>'Daily Tracker'!C23</f>
        <v>Maintenance-C6&amp;C39</v>
      </c>
      <c r="D36" s="277">
        <f>'Daily Tracker'!D23</f>
        <v>6</v>
      </c>
      <c r="E36" s="277">
        <f>IFERROR(INDEX('Daily Tracker'!$E23:$FA23,1,MATCH($B$4,'Daily Tracker'!$E$2:$FA$2,0)),0)</f>
        <v>5</v>
      </c>
      <c r="F36" s="277">
        <f>D36-E36</f>
        <v>1</v>
      </c>
      <c r="G36" s="278">
        <f>IFERROR(E36/D36,0)</f>
        <v>0.83333333333333337</v>
      </c>
      <c r="V36">
        <v>23</v>
      </c>
      <c r="W36">
        <f>IF(W$16="","",IFERROR(INDEX('Daily Tracker'!$E23:$FA23,1,MATCH(W$16,'Daily Tracker'!$E$2:$FA$2,0)),0))</f>
        <v>4</v>
      </c>
      <c r="X36">
        <f>IF(X$16="","",IFERROR(INDEX('Daily Tracker'!$E23:$FA23,1,MATCH(X$16,'Daily Tracker'!$E$2:$FA$2,0)),0))</f>
        <v>4</v>
      </c>
      <c r="Y36">
        <f>IF(Y$16="","",IFERROR(INDEX('Daily Tracker'!$E23:$FA23,1,MATCH(Y$16,'Daily Tracker'!$E$2:$FA$2,0)),0))</f>
        <v>0</v>
      </c>
      <c r="Z36">
        <f>IF(Z$16="","",IFERROR(INDEX('Daily Tracker'!$E23:$FA23,1,MATCH(Z$16,'Daily Tracker'!$E$2:$FA$2,0)),0))</f>
        <v>5</v>
      </c>
      <c r="AA36">
        <f>IF(AA$16="","",IFERROR(INDEX('Daily Tracker'!$E23:$FA23,1,MATCH(AA$16,'Daily Tracker'!$E$2:$FA$2,0)),0))</f>
        <v>3</v>
      </c>
      <c r="AB36">
        <f>IF(AB$16="","",IFERROR(INDEX('Daily Tracker'!$E23:$FA23,1,MATCH(AB$16,'Daily Tracker'!$E$2:$FA$2,0)),0))</f>
        <v>4</v>
      </c>
      <c r="AC36">
        <f>IF(AC$16="","",IFERROR(INDEX('Daily Tracker'!$E23:$FA23,1,MATCH(AC$16,'Daily Tracker'!$E$2:$FA$2,0)),0))</f>
        <v>4</v>
      </c>
      <c r="AD36">
        <f>IF(AD$16="","",IFERROR(INDEX('Daily Tracker'!$E23:$FA23,1,MATCH(AD$16,'Daily Tracker'!$E$2:$FA$2,0)),0))</f>
        <v>1</v>
      </c>
      <c r="AE36">
        <f>IF(AE$16="","",IFERROR(INDEX('Daily Tracker'!$E23:$FA23,1,MATCH(AE$16,'Daily Tracker'!$E$2:$FA$2,0)),0))</f>
        <v>5</v>
      </c>
      <c r="AF36">
        <f>IF(AF$16="","",IFERROR(INDEX('Daily Tracker'!$E23:$FA23,1,MATCH(AF$16,'Daily Tracker'!$E$2:$FA$2,0)),0))</f>
        <v>3</v>
      </c>
      <c r="AG36">
        <f>IF(AG$16="","",IFERROR(INDEX('Daily Tracker'!$E23:$FA23,1,MATCH(AG$16,'Daily Tracker'!$E$2:$FA$2,0)),0))</f>
        <v>4</v>
      </c>
      <c r="AH36">
        <f>IF(AH$16="","",IFERROR(INDEX('Daily Tracker'!$E23:$FA23,1,MATCH(AH$16,'Daily Tracker'!$E$2:$FA$2,0)),0))</f>
        <v>4</v>
      </c>
      <c r="AI36">
        <f>IF(AI$16="","",IFERROR(INDEX('Daily Tracker'!$E23:$FA23,1,MATCH(AI$16,'Daily Tracker'!$E$2:$FA$2,0)),0))</f>
        <v>4</v>
      </c>
      <c r="AJ36">
        <f>IF(AJ$16="","",IFERROR(INDEX('Daily Tracker'!$E23:$FA23,1,MATCH(AJ$16,'Daily Tracker'!$E$2:$FA$2,0)),0))</f>
        <v>5</v>
      </c>
    </row>
    <row r="37" spans="1:36">
      <c r="A37" s="277" t="s">
        <v>16</v>
      </c>
      <c r="B37" s="277" t="str">
        <f>IF('Daily Tracker'!B24="",A37,'Daily Tracker'!B24)</f>
        <v>Support</v>
      </c>
      <c r="C37" s="277" t="str">
        <f>'Daily Tracker'!C24</f>
        <v>Admin</v>
      </c>
      <c r="D37" s="277">
        <f>'Daily Tracker'!D24</f>
        <v>4</v>
      </c>
      <c r="E37" s="277">
        <f>IFERROR(INDEX('Daily Tracker'!$E24:$FA24,1,MATCH($B$4,'Daily Tracker'!$E$2:$FA$2,0)),0)</f>
        <v>3</v>
      </c>
      <c r="F37" s="277">
        <f>D37-E37</f>
        <v>1</v>
      </c>
      <c r="G37" s="278">
        <f>IFERROR(E37/D37,0)</f>
        <v>0.75</v>
      </c>
      <c r="V37">
        <v>24</v>
      </c>
      <c r="W37">
        <f>IF(W$16="","",IFERROR(INDEX('Daily Tracker'!$E24:$FA24,1,MATCH(W$16,'Daily Tracker'!$E$2:$FA$2,0)),0))</f>
        <v>3</v>
      </c>
      <c r="X37">
        <f>IF(X$16="","",IFERROR(INDEX('Daily Tracker'!$E24:$FA24,1,MATCH(X$16,'Daily Tracker'!$E$2:$FA$2,0)),0))</f>
        <v>3</v>
      </c>
      <c r="Y37">
        <f>IF(Y$16="","",IFERROR(INDEX('Daily Tracker'!$E24:$FA24,1,MATCH(Y$16,'Daily Tracker'!$E$2:$FA$2,0)),0))</f>
        <v>0</v>
      </c>
      <c r="Z37">
        <f>IF(Z$16="","",IFERROR(INDEX('Daily Tracker'!$E24:$FA24,1,MATCH(Z$16,'Daily Tracker'!$E$2:$FA$2,0)),0))</f>
        <v>3</v>
      </c>
      <c r="AA37">
        <f>IF(AA$16="","",IFERROR(INDEX('Daily Tracker'!$E24:$FA24,1,MATCH(AA$16,'Daily Tracker'!$E$2:$FA$2,0)),0))</f>
        <v>1</v>
      </c>
      <c r="AB37">
        <f>IF(AB$16="","",IFERROR(INDEX('Daily Tracker'!$E24:$FA24,1,MATCH(AB$16,'Daily Tracker'!$E$2:$FA$2,0)),0))</f>
        <v>3</v>
      </c>
      <c r="AC37">
        <f>IF(AC$16="","",IFERROR(INDEX('Daily Tracker'!$E24:$FA24,1,MATCH(AC$16,'Daily Tracker'!$E$2:$FA$2,0)),0))</f>
        <v>3</v>
      </c>
      <c r="AD37">
        <f>IF(AD$16="","",IFERROR(INDEX('Daily Tracker'!$E24:$FA24,1,MATCH(AD$16,'Daily Tracker'!$E$2:$FA$2,0)),0))</f>
        <v>3</v>
      </c>
      <c r="AE37">
        <f>IF(AE$16="","",IFERROR(INDEX('Daily Tracker'!$E24:$FA24,1,MATCH(AE$16,'Daily Tracker'!$E$2:$FA$2,0)),0))</f>
        <v>1</v>
      </c>
      <c r="AF37">
        <f>IF(AF$16="","",IFERROR(INDEX('Daily Tracker'!$E24:$FA24,1,MATCH(AF$16,'Daily Tracker'!$E$2:$FA$2,0)),0))</f>
        <v>3</v>
      </c>
      <c r="AG37">
        <f>IF(AG$16="","",IFERROR(INDEX('Daily Tracker'!$E24:$FA24,1,MATCH(AG$16,'Daily Tracker'!$E$2:$FA$2,0)),0))</f>
        <v>4</v>
      </c>
      <c r="AH37">
        <f>IF(AH$16="","",IFERROR(INDEX('Daily Tracker'!$E24:$FA24,1,MATCH(AH$16,'Daily Tracker'!$E$2:$FA$2,0)),0))</f>
        <v>1</v>
      </c>
      <c r="AI37">
        <f>IF(AI$16="","",IFERROR(INDEX('Daily Tracker'!$E24:$FA24,1,MATCH(AI$16,'Daily Tracker'!$E$2:$FA$2,0)),0))</f>
        <v>3</v>
      </c>
      <c r="AJ37">
        <f>IF(AJ$16="","",IFERROR(INDEX('Daily Tracker'!$E24:$FA24,1,MATCH(AJ$16,'Daily Tracker'!$E$2:$FA$2,0)),0))</f>
        <v>3</v>
      </c>
    </row>
    <row r="38" spans="1:36">
      <c r="A38" s="277" t="s">
        <v>16</v>
      </c>
      <c r="B38" s="277" t="str">
        <f>IF('Daily Tracker'!B25="",A38,'Daily Tracker'!B25)</f>
        <v>Support</v>
      </c>
      <c r="C38" s="277" t="str">
        <f>'Daily Tracker'!C25</f>
        <v>Lab</v>
      </c>
      <c r="D38" s="277">
        <f>'Daily Tracker'!D25</f>
        <v>1</v>
      </c>
      <c r="E38" s="277">
        <f>IFERROR(INDEX('Daily Tracker'!$E25:$FA25,1,MATCH($B$4,'Daily Tracker'!$E$2:$FA$2,0)),0)</f>
        <v>1</v>
      </c>
      <c r="F38" s="277">
        <f>D38-E38</f>
        <v>0</v>
      </c>
      <c r="G38" s="278">
        <f>IFERROR(E38/D38,0)</f>
        <v>1</v>
      </c>
      <c r="V38">
        <v>25</v>
      </c>
      <c r="W38">
        <f>IF(W$16="","",IFERROR(INDEX('Daily Tracker'!$E25:$FA25,1,MATCH(W$16,'Daily Tracker'!$E$2:$FA$2,0)),0))</f>
        <v>1</v>
      </c>
      <c r="X38">
        <f>IF(X$16="","",IFERROR(INDEX('Daily Tracker'!$E25:$FA25,1,MATCH(X$16,'Daily Tracker'!$E$2:$FA$2,0)),0))</f>
        <v>1</v>
      </c>
      <c r="Y38">
        <f>IF(Y$16="","",IFERROR(INDEX('Daily Tracker'!$E25:$FA25,1,MATCH(Y$16,'Daily Tracker'!$E$2:$FA$2,0)),0))</f>
        <v>0</v>
      </c>
      <c r="Z38">
        <f>IF(Z$16="","",IFERROR(INDEX('Daily Tracker'!$E25:$FA25,1,MATCH(Z$16,'Daily Tracker'!$E$2:$FA$2,0)),0))</f>
        <v>0</v>
      </c>
      <c r="AA38">
        <f>IF(AA$16="","",IFERROR(INDEX('Daily Tracker'!$E25:$FA25,1,MATCH(AA$16,'Daily Tracker'!$E$2:$FA$2,0)),0))</f>
        <v>0</v>
      </c>
      <c r="AB38">
        <f>IF(AB$16="","",IFERROR(INDEX('Daily Tracker'!$E25:$FA25,1,MATCH(AB$16,'Daily Tracker'!$E$2:$FA$2,0)),0))</f>
        <v>1</v>
      </c>
      <c r="AC38">
        <f>IF(AC$16="","",IFERROR(INDEX('Daily Tracker'!$E25:$FA25,1,MATCH(AC$16,'Daily Tracker'!$E$2:$FA$2,0)),0))</f>
        <v>1</v>
      </c>
      <c r="AD38">
        <f>IF(AD$16="","",IFERROR(INDEX('Daily Tracker'!$E25:$FA25,1,MATCH(AD$16,'Daily Tracker'!$E$2:$FA$2,0)),0))</f>
        <v>1</v>
      </c>
      <c r="AE38">
        <f>IF(AE$16="","",IFERROR(INDEX('Daily Tracker'!$E25:$FA25,1,MATCH(AE$16,'Daily Tracker'!$E$2:$FA$2,0)),0))</f>
        <v>1</v>
      </c>
      <c r="AF38">
        <f>IF(AF$16="","",IFERROR(INDEX('Daily Tracker'!$E25:$FA25,1,MATCH(AF$16,'Daily Tracker'!$E$2:$FA$2,0)),0))</f>
        <v>1</v>
      </c>
      <c r="AG38">
        <f>IF(AG$16="","",IFERROR(INDEX('Daily Tracker'!$E25:$FA25,1,MATCH(AG$16,'Daily Tracker'!$E$2:$FA$2,0)),0))</f>
        <v>0</v>
      </c>
      <c r="AH38">
        <f>IF(AH$16="","",IFERROR(INDEX('Daily Tracker'!$E25:$FA25,1,MATCH(AH$16,'Daily Tracker'!$E$2:$FA$2,0)),0))</f>
        <v>0</v>
      </c>
      <c r="AI38">
        <f>IF(AI$16="","",IFERROR(INDEX('Daily Tracker'!$E25:$FA25,1,MATCH(AI$16,'Daily Tracker'!$E$2:$FA$2,0)),0))</f>
        <v>1</v>
      </c>
      <c r="AJ38">
        <f>IF(AJ$16="","",IFERROR(INDEX('Daily Tracker'!$E25:$FA25,1,MATCH(AJ$16,'Daily Tracker'!$E$2:$FA$2,0)),0))</f>
        <v>1</v>
      </c>
    </row>
    <row r="39" spans="1:36">
      <c r="A39" s="277" t="s">
        <v>16</v>
      </c>
      <c r="B39" s="277" t="str">
        <f>IF('Daily Tracker'!B26="",A39,'Daily Tracker'!B26)</f>
        <v>Support</v>
      </c>
      <c r="C39" s="277" t="str">
        <f>'Daily Tracker'!C26</f>
        <v>Project</v>
      </c>
      <c r="D39" s="277">
        <f>'Daily Tracker'!D26</f>
        <v>2</v>
      </c>
      <c r="E39" s="277">
        <f>IFERROR(INDEX('Daily Tracker'!$E26:$FA26,1,MATCH($B$4,'Daily Tracker'!$E$2:$FA$2,0)),0)</f>
        <v>1</v>
      </c>
      <c r="F39" s="277">
        <f>D39-E39</f>
        <v>1</v>
      </c>
      <c r="G39" s="278">
        <f>IFERROR(E39/D39,0)</f>
        <v>0.5</v>
      </c>
      <c r="V39">
        <v>26</v>
      </c>
      <c r="W39">
        <f>IF(W$16="","",IFERROR(INDEX('Daily Tracker'!$E26:$FA26,1,MATCH(W$16,'Daily Tracker'!$E$2:$FA$2,0)),0))</f>
        <v>2</v>
      </c>
      <c r="X39">
        <f>IF(X$16="","",IFERROR(INDEX('Daily Tracker'!$E26:$FA26,1,MATCH(X$16,'Daily Tracker'!$E$2:$FA$2,0)),0))</f>
        <v>2</v>
      </c>
      <c r="Y39">
        <f>IF(Y$16="","",IFERROR(INDEX('Daily Tracker'!$E26:$FA26,1,MATCH(Y$16,'Daily Tracker'!$E$2:$FA$2,0)),0))</f>
        <v>0</v>
      </c>
      <c r="Z39">
        <f>IF(Z$16="","",IFERROR(INDEX('Daily Tracker'!$E26:$FA26,1,MATCH(Z$16,'Daily Tracker'!$E$2:$FA$2,0)),0))</f>
        <v>1</v>
      </c>
      <c r="AA39">
        <f>IF(AA$16="","",IFERROR(INDEX('Daily Tracker'!$E26:$FA26,1,MATCH(AA$16,'Daily Tracker'!$E$2:$FA$2,0)),0))</f>
        <v>0</v>
      </c>
      <c r="AB39">
        <f>IF(AB$16="","",IFERROR(INDEX('Daily Tracker'!$E26:$FA26,1,MATCH(AB$16,'Daily Tracker'!$E$2:$FA$2,0)),0))</f>
        <v>0</v>
      </c>
      <c r="AC39">
        <f>IF(AC$16="","",IFERROR(INDEX('Daily Tracker'!$E26:$FA26,1,MATCH(AC$16,'Daily Tracker'!$E$2:$FA$2,0)),0))</f>
        <v>1</v>
      </c>
      <c r="AD39">
        <f>IF(AD$16="","",IFERROR(INDEX('Daily Tracker'!$E26:$FA26,1,MATCH(AD$16,'Daily Tracker'!$E$2:$FA$2,0)),0))</f>
        <v>0</v>
      </c>
      <c r="AE39">
        <f>IF(AE$16="","",IFERROR(INDEX('Daily Tracker'!$E26:$FA26,1,MATCH(AE$16,'Daily Tracker'!$E$2:$FA$2,0)),0))</f>
        <v>1</v>
      </c>
      <c r="AF39">
        <f>IF(AF$16="","",IFERROR(INDEX('Daily Tracker'!$E26:$FA26,1,MATCH(AF$16,'Daily Tracker'!$E$2:$FA$2,0)),0))</f>
        <v>1</v>
      </c>
      <c r="AG39">
        <f>IF(AG$16="","",IFERROR(INDEX('Daily Tracker'!$E26:$FA26,1,MATCH(AG$16,'Daily Tracker'!$E$2:$FA$2,0)),0))</f>
        <v>1</v>
      </c>
      <c r="AH39">
        <f>IF(AH$16="","",IFERROR(INDEX('Daily Tracker'!$E26:$FA26,1,MATCH(AH$16,'Daily Tracker'!$E$2:$FA$2,0)),0))</f>
        <v>0</v>
      </c>
      <c r="AI39">
        <f>IF(AI$16="","",IFERROR(INDEX('Daily Tracker'!$E26:$FA26,1,MATCH(AI$16,'Daily Tracker'!$E$2:$FA$2,0)),0))</f>
        <v>1</v>
      </c>
      <c r="AJ39">
        <f>IF(AJ$16="","",IFERROR(INDEX('Daily Tracker'!$E26:$FA26,1,MATCH(AJ$16,'Daily Tracker'!$E$2:$FA$2,0)),0))</f>
        <v>1</v>
      </c>
    </row>
    <row r="40" spans="1:36">
      <c r="A40" s="277" t="s">
        <v>16</v>
      </c>
      <c r="B40" s="277" t="str">
        <f>IF('Daily Tracker'!B27="",A40,'Daily Tracker'!B27)</f>
        <v>Support</v>
      </c>
      <c r="C40" s="277" t="str">
        <f>'Daily Tracker'!C27</f>
        <v>Accounts</v>
      </c>
      <c r="D40" s="277">
        <f>'Daily Tracker'!D27</f>
        <v>2</v>
      </c>
      <c r="E40" s="277">
        <f>IFERROR(INDEX('Daily Tracker'!$E27:$FA27,1,MATCH($B$4,'Daily Tracker'!$E$2:$FA$2,0)),0)</f>
        <v>1</v>
      </c>
      <c r="F40" s="277">
        <f>D40-E40</f>
        <v>1</v>
      </c>
      <c r="G40" s="278">
        <f>IFERROR(E40/D40,0)</f>
        <v>0.5</v>
      </c>
      <c r="V40">
        <v>27</v>
      </c>
      <c r="W40">
        <f>IF(W$16="","",IFERROR(INDEX('Daily Tracker'!$E27:$FA27,1,MATCH(W$16,'Daily Tracker'!$E$2:$FA$2,0)),0))</f>
        <v>2</v>
      </c>
      <c r="X40">
        <f>IF(X$16="","",IFERROR(INDEX('Daily Tracker'!$E27:$FA27,1,MATCH(X$16,'Daily Tracker'!$E$2:$FA$2,0)),0))</f>
        <v>1</v>
      </c>
      <c r="Y40">
        <f>IF(Y$16="","",IFERROR(INDEX('Daily Tracker'!$E27:$FA27,1,MATCH(Y$16,'Daily Tracker'!$E$2:$FA$2,0)),0))</f>
        <v>0</v>
      </c>
      <c r="Z40">
        <f>IF(Z$16="","",IFERROR(INDEX('Daily Tracker'!$E27:$FA27,1,MATCH(Z$16,'Daily Tracker'!$E$2:$FA$2,0)),0))</f>
        <v>1</v>
      </c>
      <c r="AA40">
        <f>IF(AA$16="","",IFERROR(INDEX('Daily Tracker'!$E27:$FA27,1,MATCH(AA$16,'Daily Tracker'!$E$2:$FA$2,0)),0))</f>
        <v>0</v>
      </c>
      <c r="AB40">
        <f>IF(AB$16="","",IFERROR(INDEX('Daily Tracker'!$E27:$FA27,1,MATCH(AB$16,'Daily Tracker'!$E$2:$FA$2,0)),0))</f>
        <v>2</v>
      </c>
      <c r="AC40">
        <f>IF(AC$16="","",IFERROR(INDEX('Daily Tracker'!$E27:$FA27,1,MATCH(AC$16,'Daily Tracker'!$E$2:$FA$2,0)),0))</f>
        <v>1</v>
      </c>
      <c r="AD40">
        <f>IF(AD$16="","",IFERROR(INDEX('Daily Tracker'!$E27:$FA27,1,MATCH(AD$16,'Daily Tracker'!$E$2:$FA$2,0)),0))</f>
        <v>2</v>
      </c>
      <c r="AE40">
        <f>IF(AE$16="","",IFERROR(INDEX('Daily Tracker'!$E27:$FA27,1,MATCH(AE$16,'Daily Tracker'!$E$2:$FA$2,0)),0))</f>
        <v>1</v>
      </c>
      <c r="AF40">
        <f>IF(AF$16="","",IFERROR(INDEX('Daily Tracker'!$E27:$FA27,1,MATCH(AF$16,'Daily Tracker'!$E$2:$FA$2,0)),0))</f>
        <v>1</v>
      </c>
      <c r="AG40">
        <f>IF(AG$16="","",IFERROR(INDEX('Daily Tracker'!$E27:$FA27,1,MATCH(AG$16,'Daily Tracker'!$E$2:$FA$2,0)),0))</f>
        <v>1</v>
      </c>
      <c r="AH40">
        <f>IF(AH$16="","",IFERROR(INDEX('Daily Tracker'!$E27:$FA27,1,MATCH(AH$16,'Daily Tracker'!$E$2:$FA$2,0)),0))</f>
        <v>1</v>
      </c>
      <c r="AI40">
        <f>IF(AI$16="","",IFERROR(INDEX('Daily Tracker'!$E27:$FA27,1,MATCH(AI$16,'Daily Tracker'!$E$2:$FA$2,0)),0))</f>
        <v>2</v>
      </c>
      <c r="AJ40">
        <f>IF(AJ$16="","",IFERROR(INDEX('Daily Tracker'!$E27:$FA27,1,MATCH(AJ$16,'Daily Tracker'!$E$2:$FA$2,0)),0))</f>
        <v>1</v>
      </c>
    </row>
    <row r="41" spans="1:36">
      <c r="A41" s="277" t="s">
        <v>16</v>
      </c>
      <c r="B41" s="277" t="str">
        <f>IF('Daily Tracker'!B28="",A41,'Daily Tracker'!B28)</f>
        <v>Support</v>
      </c>
      <c r="C41" s="277" t="str">
        <f>'Daily Tracker'!C28</f>
        <v>IT</v>
      </c>
      <c r="D41" s="277">
        <f>'Daily Tracker'!D28</f>
        <v>2</v>
      </c>
      <c r="E41" s="277">
        <f>IFERROR(INDEX('Daily Tracker'!$E28:$FA28,1,MATCH($B$4,'Daily Tracker'!$E$2:$FA$2,0)),0)</f>
        <v>1</v>
      </c>
      <c r="F41" s="277">
        <f>D41-E41</f>
        <v>1</v>
      </c>
      <c r="G41" s="278">
        <f>IFERROR(E41/D41,0)</f>
        <v>0.5</v>
      </c>
      <c r="V41">
        <v>28</v>
      </c>
      <c r="W41">
        <f>IF(W$16="","",IFERROR(INDEX('Daily Tracker'!$E28:$FA28,1,MATCH(W$16,'Daily Tracker'!$E$2:$FA$2,0)),0))</f>
        <v>1</v>
      </c>
      <c r="X41">
        <f>IF(X$16="","",IFERROR(INDEX('Daily Tracker'!$E28:$FA28,1,MATCH(X$16,'Daily Tracker'!$E$2:$FA$2,0)),0))</f>
        <v>0</v>
      </c>
      <c r="Y41">
        <f>IF(Y$16="","",IFERROR(INDEX('Daily Tracker'!$E28:$FA28,1,MATCH(Y$16,'Daily Tracker'!$E$2:$FA$2,0)),0))</f>
        <v>0</v>
      </c>
      <c r="Z41">
        <f>IF(Z$16="","",IFERROR(INDEX('Daily Tracker'!$E28:$FA28,1,MATCH(Z$16,'Daily Tracker'!$E$2:$FA$2,0)),0))</f>
        <v>0</v>
      </c>
      <c r="AA41">
        <f>IF(AA$16="","",IFERROR(INDEX('Daily Tracker'!$E28:$FA28,1,MATCH(AA$16,'Daily Tracker'!$E$2:$FA$2,0)),0))</f>
        <v>0</v>
      </c>
      <c r="AB41">
        <f>IF(AB$16="","",IFERROR(INDEX('Daily Tracker'!$E28:$FA28,1,MATCH(AB$16,'Daily Tracker'!$E$2:$FA$2,0)),0))</f>
        <v>1</v>
      </c>
      <c r="AC41">
        <f>IF(AC$16="","",IFERROR(INDEX('Daily Tracker'!$E28:$FA28,1,MATCH(AC$16,'Daily Tracker'!$E$2:$FA$2,0)),0))</f>
        <v>1</v>
      </c>
      <c r="AD41">
        <f>IF(AD$16="","",IFERROR(INDEX('Daily Tracker'!$E28:$FA28,1,MATCH(AD$16,'Daily Tracker'!$E$2:$FA$2,0)),0))</f>
        <v>2</v>
      </c>
      <c r="AE41">
        <f>IF(AE$16="","",IFERROR(INDEX('Daily Tracker'!$E28:$FA28,1,MATCH(AE$16,'Daily Tracker'!$E$2:$FA$2,0)),0))</f>
        <v>2</v>
      </c>
      <c r="AF41">
        <f>IF(AF$16="","",IFERROR(INDEX('Daily Tracker'!$E28:$FA28,1,MATCH(AF$16,'Daily Tracker'!$E$2:$FA$2,0)),0))</f>
        <v>0</v>
      </c>
      <c r="AG41">
        <f>IF(AG$16="","",IFERROR(INDEX('Daily Tracker'!$E28:$FA28,1,MATCH(AG$16,'Daily Tracker'!$E$2:$FA$2,0)),0))</f>
        <v>0</v>
      </c>
      <c r="AH41">
        <f>IF(AH$16="","",IFERROR(INDEX('Daily Tracker'!$E28:$FA28,1,MATCH(AH$16,'Daily Tracker'!$E$2:$FA$2,0)),0))</f>
        <v>0</v>
      </c>
      <c r="AI41">
        <f>IF(AI$16="","",IFERROR(INDEX('Daily Tracker'!$E28:$FA28,1,MATCH(AI$16,'Daily Tracker'!$E$2:$FA$2,0)),0))</f>
        <v>2</v>
      </c>
      <c r="AJ41">
        <f>IF(AJ$16="","",IFERROR(INDEX('Daily Tracker'!$E28:$FA28,1,MATCH(AJ$16,'Daily Tracker'!$E$2:$FA$2,0)),0))</f>
        <v>1</v>
      </c>
    </row>
    <row r="42" spans="1:36">
      <c r="A42" s="277" t="s">
        <v>16</v>
      </c>
      <c r="B42" s="277" t="str">
        <f>IF('Daily Tracker'!B29="",A42,'Daily Tracker'!B29)</f>
        <v>Support</v>
      </c>
      <c r="C42" s="277" t="str">
        <f>'Daily Tracker'!C29</f>
        <v>QA</v>
      </c>
      <c r="D42" s="277">
        <f>'Daily Tracker'!D29</f>
        <v>9</v>
      </c>
      <c r="E42" s="277">
        <f>IFERROR(INDEX('Daily Tracker'!$E29:$FA29,1,MATCH($B$4,'Daily Tracker'!$E$2:$FA$2,0)),0)</f>
        <v>7</v>
      </c>
      <c r="F42" s="277">
        <f>D42-E42</f>
        <v>2</v>
      </c>
      <c r="G42" s="278">
        <f>IFERROR(E42/D42,0)</f>
        <v>0.77777777777777779</v>
      </c>
      <c r="V42">
        <v>29</v>
      </c>
      <c r="W42">
        <f>IF(W$16="","",IFERROR(INDEX('Daily Tracker'!$E29:$FA29,1,MATCH(W$16,'Daily Tracker'!$E$2:$FA$2,0)),0))</f>
        <v>6</v>
      </c>
      <c r="X42">
        <f>IF(X$16="","",IFERROR(INDEX('Daily Tracker'!$E29:$FA29,1,MATCH(X$16,'Daily Tracker'!$E$2:$FA$2,0)),0))</f>
        <v>5</v>
      </c>
      <c r="Y42">
        <f>IF(Y$16="","",IFERROR(INDEX('Daily Tracker'!$E29:$FA29,1,MATCH(Y$16,'Daily Tracker'!$E$2:$FA$2,0)),0))</f>
        <v>0</v>
      </c>
      <c r="Z42">
        <f>IF(Z$16="","",IFERROR(INDEX('Daily Tracker'!$E29:$FA29,1,MATCH(Z$16,'Daily Tracker'!$E$2:$FA$2,0)),0))</f>
        <v>7</v>
      </c>
      <c r="AA42">
        <f>IF(AA$16="","",IFERROR(INDEX('Daily Tracker'!$E29:$FA29,1,MATCH(AA$16,'Daily Tracker'!$E$2:$FA$2,0)),0))</f>
        <v>2</v>
      </c>
      <c r="AB42">
        <f>IF(AB$16="","",IFERROR(INDEX('Daily Tracker'!$E29:$FA29,1,MATCH(AB$16,'Daily Tracker'!$E$2:$FA$2,0)),0))</f>
        <v>7</v>
      </c>
      <c r="AC42">
        <f>IF(AC$16="","",IFERROR(INDEX('Daily Tracker'!$E29:$FA29,1,MATCH(AC$16,'Daily Tracker'!$E$2:$FA$2,0)),0))</f>
        <v>8</v>
      </c>
      <c r="AD42">
        <f>IF(AD$16="","",IFERROR(INDEX('Daily Tracker'!$E29:$FA29,1,MATCH(AD$16,'Daily Tracker'!$E$2:$FA$2,0)),0))</f>
        <v>7</v>
      </c>
      <c r="AE42">
        <f>IF(AE$16="","",IFERROR(INDEX('Daily Tracker'!$E29:$FA29,1,MATCH(AE$16,'Daily Tracker'!$E$2:$FA$2,0)),0))</f>
        <v>7</v>
      </c>
      <c r="AF42">
        <f>IF(AF$16="","",IFERROR(INDEX('Daily Tracker'!$E29:$FA29,1,MATCH(AF$16,'Daily Tracker'!$E$2:$FA$2,0)),0))</f>
        <v>8</v>
      </c>
      <c r="AG42">
        <f>IF(AG$16="","",IFERROR(INDEX('Daily Tracker'!$E29:$FA29,1,MATCH(AG$16,'Daily Tracker'!$E$2:$FA$2,0)),0))</f>
        <v>7</v>
      </c>
      <c r="AH42">
        <f>IF(AH$16="","",IFERROR(INDEX('Daily Tracker'!$E29:$FA29,1,MATCH(AH$16,'Daily Tracker'!$E$2:$FA$2,0)),0))</f>
        <v>2</v>
      </c>
      <c r="AI42">
        <f>IF(AI$16="","",IFERROR(INDEX('Daily Tracker'!$E29:$FA29,1,MATCH(AI$16,'Daily Tracker'!$E$2:$FA$2,0)),0))</f>
        <v>7</v>
      </c>
      <c r="AJ42">
        <f>IF(AJ$16="","",IFERROR(INDEX('Daily Tracker'!$E29:$FA29,1,MATCH(AJ$16,'Daily Tracker'!$E$2:$FA$2,0)),0))</f>
        <v>7</v>
      </c>
    </row>
    <row r="43" spans="1:36">
      <c r="A43" s="277" t="s">
        <v>16</v>
      </c>
      <c r="B43" s="277" t="str">
        <f>IF('Daily Tracker'!B30="",A43,'Daily Tracker'!B30)</f>
        <v>Support</v>
      </c>
      <c r="C43" s="277" t="str">
        <f>'Daily Tracker'!C30</f>
        <v>FRM</v>
      </c>
      <c r="D43" s="277">
        <f>'Daily Tracker'!D30</f>
        <v>2</v>
      </c>
      <c r="E43" s="277">
        <f>IFERROR(INDEX('Daily Tracker'!$E30:$FA30,1,MATCH($B$4,'Daily Tracker'!$E$2:$FA$2,0)),0)</f>
        <v>1</v>
      </c>
      <c r="F43" s="277">
        <f>D43-E43</f>
        <v>1</v>
      </c>
      <c r="G43" s="278">
        <f>IFERROR(E43/D43,0)</f>
        <v>0.5</v>
      </c>
      <c r="V43">
        <v>30</v>
      </c>
      <c r="W43">
        <f>IF(W$16="","",IFERROR(INDEX('Daily Tracker'!$E30:$FA30,1,MATCH(W$16,'Daily Tracker'!$E$2:$FA$2,0)),0))</f>
        <v>1</v>
      </c>
      <c r="X43">
        <f>IF(X$16="","",IFERROR(INDEX('Daily Tracker'!$E30:$FA30,1,MATCH(X$16,'Daily Tracker'!$E$2:$FA$2,0)),0))</f>
        <v>1</v>
      </c>
      <c r="Y43">
        <f>IF(Y$16="","",IFERROR(INDEX('Daily Tracker'!$E30:$FA30,1,MATCH(Y$16,'Daily Tracker'!$E$2:$FA$2,0)),0))</f>
        <v>0</v>
      </c>
      <c r="Z43">
        <f>IF(Z$16="","",IFERROR(INDEX('Daily Tracker'!$E30:$FA30,1,MATCH(Z$16,'Daily Tracker'!$E$2:$FA$2,0)),0))</f>
        <v>1</v>
      </c>
      <c r="AA43">
        <f>IF(AA$16="","",IFERROR(INDEX('Daily Tracker'!$E30:$FA30,1,MATCH(AA$16,'Daily Tracker'!$E$2:$FA$2,0)),0))</f>
        <v>0</v>
      </c>
      <c r="AB43">
        <f>IF(AB$16="","",IFERROR(INDEX('Daily Tracker'!$E30:$FA30,1,MATCH(AB$16,'Daily Tracker'!$E$2:$FA$2,0)),0))</f>
        <v>0</v>
      </c>
      <c r="AC43">
        <f>IF(AC$16="","",IFERROR(INDEX('Daily Tracker'!$E30:$FA30,1,MATCH(AC$16,'Daily Tracker'!$E$2:$FA$2,0)),0))</f>
        <v>0</v>
      </c>
      <c r="AD43">
        <f>IF(AD$16="","",IFERROR(INDEX('Daily Tracker'!$E30:$FA30,1,MATCH(AD$16,'Daily Tracker'!$E$2:$FA$2,0)),0))</f>
        <v>1</v>
      </c>
      <c r="AE43">
        <f>IF(AE$16="","",IFERROR(INDEX('Daily Tracker'!$E30:$FA30,1,MATCH(AE$16,'Daily Tracker'!$E$2:$FA$2,0)),0))</f>
        <v>0</v>
      </c>
      <c r="AF43">
        <f>IF(AF$16="","",IFERROR(INDEX('Daily Tracker'!$E30:$FA30,1,MATCH(AF$16,'Daily Tracker'!$E$2:$FA$2,0)),0))</f>
        <v>1</v>
      </c>
      <c r="AG43">
        <f>IF(AG$16="","",IFERROR(INDEX('Daily Tracker'!$E30:$FA30,1,MATCH(AG$16,'Daily Tracker'!$E$2:$FA$2,0)),0))</f>
        <v>1</v>
      </c>
      <c r="AH43">
        <f>IF(AH$16="","",IFERROR(INDEX('Daily Tracker'!$E30:$FA30,1,MATCH(AH$16,'Daily Tracker'!$E$2:$FA$2,0)),0))</f>
        <v>0</v>
      </c>
      <c r="AI43">
        <f>IF(AI$16="","",IFERROR(INDEX('Daily Tracker'!$E30:$FA30,1,MATCH(AI$16,'Daily Tracker'!$E$2:$FA$2,0)),0))</f>
        <v>1</v>
      </c>
      <c r="AJ43">
        <f>IF(AJ$16="","",IFERROR(INDEX('Daily Tracker'!$E30:$FA30,1,MATCH(AJ$16,'Daily Tracker'!$E$2:$FA$2,0)),0))</f>
        <v>1</v>
      </c>
    </row>
    <row r="44" spans="1:36">
      <c r="A44" s="279"/>
      <c r="B44" s="279"/>
      <c r="C44" s="280" t="s">
        <v>64</v>
      </c>
      <c r="D44" s="281">
        <f>SUM(D17:D43)</f>
        <v>266</v>
      </c>
      <c r="E44" s="281">
        <f>SUM(E17:E43)</f>
        <v>234</v>
      </c>
      <c r="F44" s="282">
        <f>D44-E44</f>
        <v>32</v>
      </c>
      <c r="G44" s="283">
        <f>IFERROR(E44/D44,0)</f>
        <v>0.87969924812030076</v>
      </c>
    </row>
    <row r="46" spans="1:36">
      <c r="A46" s="340" t="s">
        <v>65</v>
      </c>
      <c r="B46" s="340"/>
      <c r="C46" s="340"/>
      <c r="D46" s="340"/>
      <c r="E46" s="340"/>
      <c r="F46" s="340"/>
      <c r="G46" s="340"/>
    </row>
    <row r="48" spans="1:36" ht="21.75" customHeight="1">
      <c r="A48" s="341" t="s">
        <v>66</v>
      </c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M48" s="341"/>
      <c r="N48" s="341"/>
    </row>
    <row r="49" spans="1:14" ht="24.75" customHeight="1">
      <c r="A49" s="316" t="s">
        <v>67</v>
      </c>
      <c r="B49" s="316"/>
      <c r="C49" s="317" t="s">
        <v>68</v>
      </c>
      <c r="D49" s="317"/>
      <c r="E49" s="318" t="s">
        <v>69</v>
      </c>
      <c r="F49" s="318"/>
      <c r="H49" s="319" t="s">
        <v>70</v>
      </c>
      <c r="I49" s="319"/>
      <c r="J49" s="319"/>
      <c r="K49" s="319"/>
      <c r="L49" s="319"/>
      <c r="M49" s="319"/>
      <c r="N49" s="319"/>
    </row>
    <row r="50" spans="1:14" ht="24.75" customHeight="1">
      <c r="A50" s="316"/>
      <c r="B50" s="316"/>
      <c r="C50" s="317"/>
      <c r="D50" s="317"/>
      <c r="E50" s="318"/>
      <c r="F50" s="318"/>
      <c r="H50" s="319"/>
      <c r="I50" s="319"/>
      <c r="J50" s="319"/>
      <c r="K50" s="319"/>
      <c r="L50" s="319"/>
      <c r="M50" s="319"/>
      <c r="N50" s="319"/>
    </row>
    <row r="52" spans="1:14" ht="21.75" customHeight="1">
      <c r="A52" s="313" t="s">
        <v>71</v>
      </c>
      <c r="B52" s="313"/>
      <c r="C52" s="313"/>
      <c r="D52" s="313"/>
      <c r="E52" s="313"/>
      <c r="F52" s="313"/>
      <c r="G52" s="313"/>
      <c r="H52" s="313"/>
      <c r="I52" s="313"/>
      <c r="J52" s="313"/>
      <c r="K52" s="313"/>
      <c r="L52" s="313"/>
      <c r="M52" s="313"/>
      <c r="N52" s="313"/>
    </row>
  </sheetData>
  <mergeCells count="35">
    <mergeCell ref="A52:N52"/>
    <mergeCell ref="A5:N5"/>
    <mergeCell ref="E4:F4"/>
    <mergeCell ref="H4:I4"/>
    <mergeCell ref="K4:N4"/>
    <mergeCell ref="A48:N48"/>
    <mergeCell ref="A49:B50"/>
    <mergeCell ref="C49:D50"/>
    <mergeCell ref="E49:F50"/>
    <mergeCell ref="H49:N50"/>
    <mergeCell ref="J11:L11"/>
    <mergeCell ref="J12:L14"/>
    <mergeCell ref="M11:N11"/>
    <mergeCell ref="M12:N14"/>
    <mergeCell ref="A15:G15"/>
    <mergeCell ref="A46:G46"/>
    <mergeCell ref="A12:C14"/>
    <mergeCell ref="D11:F11"/>
    <mergeCell ref="D12:F14"/>
    <mergeCell ref="G11:I11"/>
    <mergeCell ref="G12:I14"/>
    <mergeCell ref="A11:C11"/>
    <mergeCell ref="A1:N2"/>
    <mergeCell ref="A3:N3"/>
    <mergeCell ref="B4:C4"/>
    <mergeCell ref="A6:C6"/>
    <mergeCell ref="A7:C9"/>
    <mergeCell ref="D6:F6"/>
    <mergeCell ref="D7:F9"/>
    <mergeCell ref="G6:I6"/>
    <mergeCell ref="G7:I9"/>
    <mergeCell ref="J6:L6"/>
    <mergeCell ref="J7:L9"/>
    <mergeCell ref="M6:N6"/>
    <mergeCell ref="M7:N9"/>
  </mergeCells>
  <conditionalFormatting sqref="G17:G43">
    <cfRule type="colorScale" priority="1">
      <colorScale>
        <cfvo type="min"/>
        <cfvo type="percentile" val="50"/>
        <cfvo type="max"/>
        <color rgb="FFFADBD8"/>
        <color rgb="FFFFF2CC"/>
        <color rgb="FFC6E0B4"/>
      </colorScale>
    </cfRule>
  </conditionalFormatting>
  <conditionalFormatting sqref="F17:F4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{73819C99-801E-484C-9595-609620367E28}</x14:id>
        </ext>
      </extLst>
    </cfRule>
  </conditionalFormatting>
  <conditionalFormatting sqref="J7:L9">
    <cfRule type="expression" dxfId="23" priority="3">
      <formula>$J$7&gt;=0.95</formula>
    </cfRule>
  </conditionalFormatting>
  <conditionalFormatting sqref="J7:L9">
    <cfRule type="expression" dxfId="22" priority="4">
      <formula>AND($J$7&gt;=0.85,$J$7&lt;0.95)</formula>
    </cfRule>
  </conditionalFormatting>
  <conditionalFormatting sqref="J7:L9">
    <cfRule type="expression" dxfId="21" priority="5">
      <formula>$J$7&lt;0.85</formula>
    </cfRule>
  </conditionalFormatting>
  <conditionalFormatting sqref="A17:G43">
    <cfRule type="expression" dxfId="20" priority="6">
      <formula>OR(AND($E$4&lt;&gt;"All",$A17&lt;&gt;$E$4),AND($H$4&lt;&gt;"All",$B17&lt;&gt;$H$4),AND($K$4&lt;&gt;"All",$C17&lt;&gt;$K$4))</formula>
    </cfRule>
  </conditionalFormatting>
  <dataValidations count="4">
    <dataValidation type="list" allowBlank="1" showInputMessage="1" showErrorMessage="1" promptTitle="Reporting date" prompt="Choose any Daily Tracker date; the default is the latest populated date." sqref="B4:C4" xr:uid="{83434E03-C3D9-480B-BDFB-0ADF46F04B2D}">
      <formula1>$AA$2:$FW$2</formula1>
    </dataValidation>
    <dataValidation type="list" allowBlank="1" showInputMessage="1" showErrorMessage="1" promptTitle="Category filter" prompt="Choose All, Production or Support." sqref="E4:F4" xr:uid="{C97B7493-7BE0-4064-8511-AB625193C77B}">
      <formula1>$FX$3:$FX$5</formula1>
    </dataValidation>
    <dataValidation type="list" allowBlank="1" showInputMessage="1" showErrorMessage="1" promptTitle="Plant filter" prompt="Choose a plant grouping or All." sqref="H4:I4" xr:uid="{16A1ED09-920C-433D-802B-B36A1ED8E962}">
      <formula1>$FY$3:$FY$10</formula1>
    </dataValidation>
    <dataValidation type="list" allowBlank="1" showInputMessage="1" showErrorMessage="1" promptTitle="Section filter" prompt="Choose a section or All." sqref="K4:N4" xr:uid="{94092C51-A1E2-48E7-A4DA-47512D42C79F}">
      <formula1>$FZ$3:$FZ$30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19C99-801E-484C-9595-609620367E28}">
            <x14:dataBar minLength="0" maxLength="100" negativeBarColorSameAsPositive="1" axisPosition="none">
              <x14:cfvo type="min"/>
              <x14:cfvo type="max"/>
            </x14:dataBar>
          </x14:cfRule>
          <xm:sqref>F17:F43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A617-E37A-405C-BE5F-F2C988907BB6}">
  <dimension ref="A1:FA69"/>
  <sheetViews>
    <sheetView zoomScale="85" zoomScaleNormal="70" workbookViewId="0">
      <pane xSplit="4" ySplit="2" topLeftCell="DW9" activePane="bottomRight" state="frozen"/>
      <selection pane="bottomRight" activeCell="EH45" sqref="EH45"/>
      <selection pane="bottomLeft" activeCell="A5" sqref="A5"/>
      <selection pane="topRight" activeCell="D1" sqref="D1"/>
    </sheetView>
  </sheetViews>
  <sheetFormatPr defaultColWidth="8.85546875" defaultRowHeight="14.45"/>
  <cols>
    <col min="1" max="1" width="10" bestFit="1" customWidth="1"/>
    <col min="2" max="2" width="10" customWidth="1"/>
    <col min="3" max="3" width="35.42578125" customWidth="1"/>
    <col min="4" max="4" width="12.7109375" customWidth="1"/>
    <col min="5" max="5" width="17.85546875" customWidth="1"/>
    <col min="6" max="6" width="15" bestFit="1" customWidth="1"/>
    <col min="7" max="24" width="9.42578125" customWidth="1"/>
    <col min="25" max="25" width="14.28515625" customWidth="1"/>
    <col min="26" max="38" width="9.42578125" customWidth="1"/>
    <col min="39" max="39" width="10.28515625" bestFit="1" customWidth="1"/>
    <col min="45" max="59" width="8.85546875" customWidth="1"/>
    <col min="60" max="60" width="13" bestFit="1" customWidth="1"/>
    <col min="61" max="64" width="8.85546875" customWidth="1"/>
    <col min="66" max="68" width="8.85546875" customWidth="1"/>
    <col min="69" max="69" width="12.28515625" bestFit="1" customWidth="1"/>
    <col min="70" max="89" width="8.85546875" customWidth="1"/>
    <col min="90" max="90" width="12.140625" customWidth="1"/>
    <col min="91" max="96" width="8.85546875" customWidth="1"/>
  </cols>
  <sheetData>
    <row r="1" spans="1:157" s="38" customFormat="1" ht="63.75" hidden="1" customHeight="1">
      <c r="A1" s="35"/>
      <c r="B1" s="35"/>
      <c r="C1" s="36" t="s">
        <v>72</v>
      </c>
      <c r="D1" s="35"/>
      <c r="E1" s="37" t="str" cm="1">
        <f t="array" ref="E1">IFERROR(_xlfn.TEXTJOIN(", ",TRUE,IF(#REF!&gt;#REF!,#REF!,"")),"")</f>
        <v/>
      </c>
      <c r="F1" s="37" t="str" cm="1">
        <f t="array" ref="F1">IFERROR(_xlfn.TEXTJOIN(", ",TRUE,IF(#REF!&gt;#REF!,#REF!,"")),"")</f>
        <v/>
      </c>
      <c r="G1" s="37" t="str" cm="1">
        <f t="array" ref="G1">IFERROR(_xlfn.TEXTJOIN(", ",TRUE,IF(#REF!&gt;#REF!,#REF!,"")),"")</f>
        <v/>
      </c>
      <c r="H1" s="37" t="str" cm="1">
        <f t="array" ref="H1">IFERROR(_xlfn.TEXTJOIN(", ",TRUE,IF(#REF!&gt;#REF!,#REF!,"")),"")</f>
        <v/>
      </c>
      <c r="I1" s="37" t="str" cm="1">
        <f t="array" ref="I1">IFERROR(_xlfn.TEXTJOIN(", ",TRUE,IF(#REF!&gt;#REF!,#REF!,"")),"")</f>
        <v/>
      </c>
      <c r="J1" s="37" t="str" cm="1">
        <f t="array" ref="J1">IFERROR(_xlfn.TEXTJOIN(", ",TRUE,IF(#REF!&gt;#REF!,#REF!,"")),"")</f>
        <v/>
      </c>
      <c r="K1" s="37" t="str" cm="1">
        <f t="array" ref="K1">IFERROR(_xlfn.TEXTJOIN(", ",TRUE,IF(#REF!&gt;#REF!,#REF!,"")),"")</f>
        <v/>
      </c>
      <c r="L1" s="37" t="str" cm="1">
        <f t="array" ref="L1">IFERROR(_xlfn.TEXTJOIN(", ",TRUE,IF(#REF!&gt;#REF!,#REF!,"")),"")</f>
        <v/>
      </c>
      <c r="M1" s="37" t="str" cm="1">
        <f t="array" ref="M1">IFERROR(_xlfn.TEXTJOIN(", ",TRUE,IF(#REF!&gt;#REF!,#REF!,"")),"")</f>
        <v/>
      </c>
      <c r="N1" s="37" t="str" cm="1">
        <f t="array" ref="N1">IFERROR(_xlfn.TEXTJOIN(", ",TRUE,IF(#REF!&gt;#REF!,#REF!,"")),"")</f>
        <v/>
      </c>
      <c r="O1" s="37" t="str" cm="1">
        <f t="array" ref="O1">IFERROR(_xlfn.TEXTJOIN(", ",TRUE,IF(#REF!&gt;#REF!,#REF!,"")),"")</f>
        <v/>
      </c>
      <c r="P1" s="37" t="str" cm="1">
        <f t="array" ref="P1">IFERROR(_xlfn.TEXTJOIN(", ",TRUE,IF(#REF!&gt;#REF!,#REF!,"")),"")</f>
        <v/>
      </c>
      <c r="Q1" s="37" t="str" cm="1">
        <f t="array" ref="Q1">IFERROR(_xlfn.TEXTJOIN(", ",TRUE,IF(#REF!&gt;#REF!,#REF!,"")),"")</f>
        <v/>
      </c>
      <c r="R1" s="37" t="str">
        <f>IFERROR(_xlfn.TEXTJOIN(", ",TRUE,IF(#REF!&gt;#REF!,#REF!,"")),"")</f>
        <v/>
      </c>
      <c r="S1" s="37" t="str" cm="1">
        <f t="array" ref="S1">IFERROR(_xlfn.TEXTJOIN(", ",TRUE,IF(#REF!&gt;#REF!,#REF!,"")),"")</f>
        <v/>
      </c>
      <c r="T1" s="37" t="str" cm="1">
        <f t="array" ref="T1">IFERROR(_xlfn.TEXTJOIN(", ",TRUE,IF(#REF!&gt;#REF!,#REF!,"")),"")</f>
        <v/>
      </c>
      <c r="U1" s="37" t="str" cm="1">
        <f t="array" ref="U1">IFERROR(_xlfn.TEXTJOIN(", ",TRUE,IF(#REF!&gt;#REF!,#REF!,"")),"")</f>
        <v/>
      </c>
      <c r="V1" s="37" t="str">
        <f>IFERROR(_xlfn.TEXTJOIN(", ",TRUE,IF(#REF!&gt;#REF!,#REF!,"")),"")</f>
        <v/>
      </c>
      <c r="W1" s="37" t="str" cm="1">
        <f t="array" ref="W1">IFERROR(_xlfn.TEXTJOIN(", ",TRUE,IF(#REF!&gt;#REF!,#REF!,"")),"")</f>
        <v/>
      </c>
      <c r="X1" s="37" t="str" cm="1">
        <f t="array" ref="X1">IFERROR(_xlfn.TEXTJOIN(", ",TRUE,IF(#REF!&gt;#REF!,#REF!,"")),"")</f>
        <v/>
      </c>
      <c r="Y1" s="37" t="str" cm="1">
        <f t="array" ref="Y1">IFERROR(_xlfn.TEXTJOIN(", ",TRUE,IF(#REF!&gt;#REF!,#REF!,"")),"")</f>
        <v/>
      </c>
      <c r="Z1" s="37" t="str" cm="1">
        <f t="array" ref="Z1">IFERROR(_xlfn.TEXTJOIN(", ",TRUE,IF(#REF!&gt;#REF!,#REF!,"")),"")</f>
        <v/>
      </c>
      <c r="AA1" s="37" t="str" cm="1">
        <f t="array" ref="AA1">IFERROR(_xlfn.TEXTJOIN(", ",TRUE,IF(#REF!&gt;#REF!,#REF!,"")),"")</f>
        <v/>
      </c>
      <c r="AB1" s="37" t="str">
        <f>IFERROR(_xlfn.TEXTJOIN(", ",TRUE,IF(#REF!&gt;#REF!,#REF!,"")),"")</f>
        <v/>
      </c>
      <c r="AC1" s="37" t="str" cm="1">
        <f t="array" ref="AC1">IFERROR(_xlfn.TEXTJOIN(", ",TRUE,IF(#REF!&gt;#REF!,#REF!,"")),"")</f>
        <v/>
      </c>
      <c r="AD1" s="37" t="str" cm="1">
        <f t="array" ref="AD1">IFERROR(_xlfn.TEXTJOIN(", ",TRUE,IF(#REF!&gt;#REF!,#REF!,"")),"")</f>
        <v/>
      </c>
      <c r="AE1" s="37" t="str" cm="1">
        <f t="array" ref="AE1">IFERROR(_xlfn.TEXTJOIN(", ",TRUE,IF(#REF!&gt;#REF!,#REF!,"")),"")</f>
        <v/>
      </c>
      <c r="AF1" s="37" t="str" cm="1">
        <f t="array" ref="AF1">IFERROR(_xlfn.TEXTJOIN(", ",TRUE,IF(#REF!&gt;#REF!,#REF!,"")),"")</f>
        <v/>
      </c>
      <c r="AG1" s="37" t="str" cm="1">
        <f t="array" ref="AG1">IFERROR(_xlfn.TEXTJOIN(", ",TRUE,IF(#REF!&gt;#REF!,#REF!,"")),"")</f>
        <v/>
      </c>
      <c r="AH1" s="37" t="str" cm="1">
        <f t="array" ref="AH1">IFERROR(_xlfn.TEXTJOIN(", ",TRUE,IF(#REF!&gt;#REF!,#REF!,"")),"")</f>
        <v/>
      </c>
      <c r="AI1" s="97" t="str" cm="1">
        <f t="array" ref="AI1">IFERROR(_xlfn.TEXTJOIN(", ",TRUE,IF(#REF!&gt;#REF!,#REF!,"")),"")</f>
        <v/>
      </c>
      <c r="AJ1" s="97" t="str" cm="1">
        <f t="array" ref="AJ1">IFERROR(_xlfn.TEXTJOIN(", ",TRUE,IF(#REF!&gt;#REF!,#REF!,"")),"")</f>
        <v/>
      </c>
      <c r="AK1" s="97" t="str" cm="1">
        <f t="array" ref="AK1">IFERROR(_xlfn.TEXTJOIN(", ",TRUE,IF(#REF!&gt;#REF!,#REF!,"")),"")</f>
        <v/>
      </c>
      <c r="AL1" s="97" t="str" cm="1">
        <f t="array" ref="AL1">IFERROR(_xlfn.TEXTJOIN(", ",TRUE,IF(#REF!&gt;#REF!,#REF!,"")),"")</f>
        <v/>
      </c>
      <c r="AM1" s="97" t="str" cm="1">
        <f t="array" ref="AM1">IFERROR(_xlfn.TEXTJOIN(", ",TRUE,IF(#REF!&gt;#REF!,#REF!,"")),"")</f>
        <v/>
      </c>
      <c r="AN1" s="97" t="str" cm="1">
        <f t="array" ref="AN1">IFERROR(_xlfn.TEXTJOIN(", ",TRUE,IF(#REF!&gt;#REF!,#REF!,"")),"")</f>
        <v/>
      </c>
      <c r="AO1" s="97" t="str" cm="1">
        <f t="array" ref="AO1">IFERROR(_xlfn.TEXTJOIN(", ",TRUE,IF(#REF!&gt;#REF!,#REF!,"")),"")</f>
        <v/>
      </c>
      <c r="AP1" s="97" t="str" cm="1">
        <f t="array" ref="AP1">IFERROR(_xlfn.TEXTJOIN(", ",TRUE,IF(#REF!&gt;#REF!,#REF!,"")),"")</f>
        <v/>
      </c>
      <c r="AQ1" s="97" t="str" cm="1">
        <f t="array" ref="AQ1">IFERROR(_xlfn.TEXTJOIN(", ",TRUE,IF(#REF!&gt;#REF!,#REF!,"")),"")</f>
        <v/>
      </c>
      <c r="AR1" s="97" t="str" cm="1">
        <f t="array" ref="AR1">IFERROR(_xlfn.TEXTJOIN(", ",TRUE,IF(#REF!&gt;#REF!,#REF!,"")),"")</f>
        <v/>
      </c>
      <c r="AS1" s="97" t="str" cm="1">
        <f t="array" ref="AS1">IFERROR(_xlfn.TEXTJOIN(", ",TRUE,IF(#REF!&gt;#REF!,#REF!,"")),"")</f>
        <v/>
      </c>
      <c r="AT1" s="97" t="str" cm="1">
        <f t="array" ref="AT1">IFERROR(_xlfn.TEXTJOIN(", ",TRUE,IF(#REF!&gt;#REF!,#REF!,"")),"")</f>
        <v/>
      </c>
      <c r="AU1" s="97" t="str" cm="1">
        <f t="array" ref="AU1">IFERROR(_xlfn.TEXTJOIN(", ",TRUE,IF(#REF!&gt;#REF!,#REF!,"")),"")</f>
        <v/>
      </c>
      <c r="AV1" s="97" t="str" cm="1">
        <f t="array" ref="AV1">IFERROR(_xlfn.TEXTJOIN(", ",TRUE,IF(#REF!&gt;#REF!,#REF!,"")),"")</f>
        <v/>
      </c>
      <c r="AW1" s="97" t="str" cm="1">
        <f t="array" ref="AW1">IFERROR(_xlfn.TEXTJOIN(", ",TRUE,IF(#REF!&gt;#REF!,#REF!,"")),"")</f>
        <v/>
      </c>
      <c r="AX1" s="97" t="str" cm="1">
        <f t="array" ref="AX1">IFERROR(_xlfn.TEXTJOIN(", ",TRUE,IF(#REF!&gt;#REF!,#REF!,"")),"")</f>
        <v/>
      </c>
      <c r="AY1" s="97" t="str" cm="1">
        <f t="array" ref="AY1">IFERROR(_xlfn.TEXTJOIN(", ",TRUE,IF(#REF!&gt;#REF!,#REF!,"")),"")</f>
        <v/>
      </c>
      <c r="AZ1" s="97" t="str" cm="1">
        <f t="array" ref="AZ1">IFERROR(_xlfn.TEXTJOIN(", ",TRUE,IF(#REF!&gt;#REF!,#REF!,"")),"")</f>
        <v/>
      </c>
      <c r="BA1" s="97" t="str" cm="1">
        <f t="array" ref="BA1">IFERROR(_xlfn.TEXTJOIN(", ",TRUE,IF(#REF!&gt;#REF!,#REF!,"")),"")</f>
        <v/>
      </c>
      <c r="BB1" s="97" t="str" cm="1">
        <f t="array" ref="BB1">IFERROR(_xlfn.TEXTJOIN(", ",TRUE,IF(#REF!&gt;#REF!,#REF!,"")),"")</f>
        <v/>
      </c>
      <c r="BC1" s="97" t="str" cm="1">
        <f t="array" ref="BC1">IFERROR(_xlfn.TEXTJOIN(", ",TRUE,IF(#REF!&gt;#REF!,#REF!,"")),"")</f>
        <v/>
      </c>
      <c r="BD1" s="97" t="str" cm="1">
        <f t="array" ref="BD1">IFERROR(_xlfn.TEXTJOIN(", ",TRUE,IF(#REF!&gt;#REF!,#REF!,"")),"")</f>
        <v/>
      </c>
      <c r="BE1" s="97" t="str" cm="1">
        <f t="array" ref="BE1">IFERROR(_xlfn.TEXTJOIN(", ",TRUE,IF(#REF!&gt;#REF!,#REF!,"")),"")</f>
        <v/>
      </c>
      <c r="BF1" s="97" t="str" cm="1">
        <f t="array" ref="BF1">IFERROR(_xlfn.TEXTJOIN(", ",TRUE,IF(#REF!&gt;#REF!,#REF!,"")),"")</f>
        <v/>
      </c>
      <c r="BG1" s="97" t="str" cm="1">
        <f t="array" ref="BG1">IFERROR(_xlfn.TEXTJOIN(", ",TRUE,IF(#REF!&gt;#REF!,#REF!,"")),"")</f>
        <v/>
      </c>
      <c r="BH1" s="97" t="str" cm="1">
        <f t="array" ref="BH1">IFERROR(_xlfn.TEXTJOIN(", ",TRUE,IF(#REF!&gt;#REF!,#REF!,"")),"")</f>
        <v/>
      </c>
      <c r="BI1" s="97" t="str" cm="1">
        <f t="array" ref="BI1">IFERROR(_xlfn.TEXTJOIN(", ",TRUE,IF(#REF!&gt;#REF!,#REF!,"")),"")</f>
        <v/>
      </c>
      <c r="BJ1" s="97" t="str" cm="1">
        <f t="array" ref="BJ1">IFERROR(_xlfn.TEXTJOIN(", ",TRUE,IF(#REF!&gt;#REF!,#REF!,"")),"")</f>
        <v/>
      </c>
      <c r="BK1" s="97" t="str" cm="1">
        <f t="array" ref="BK1">IFERROR(_xlfn.TEXTJOIN(", ",TRUE,IF(#REF!&gt;#REF!,#REF!,"")),"")</f>
        <v/>
      </c>
      <c r="BL1" s="97" t="str" cm="1">
        <f t="array" ref="BL1">IFERROR(_xlfn.TEXTJOIN(", ",TRUE,IF(#REF!&gt;#REF!,#REF!,"")),"")</f>
        <v/>
      </c>
    </row>
    <row r="2" spans="1:157" ht="21.95" customHeight="1">
      <c r="A2" s="1" t="s">
        <v>44</v>
      </c>
      <c r="B2" s="248" t="s">
        <v>45</v>
      </c>
      <c r="C2" s="2" t="s">
        <v>1</v>
      </c>
      <c r="D2" s="2" t="s">
        <v>73</v>
      </c>
      <c r="E2" s="27">
        <v>46174</v>
      </c>
      <c r="F2" s="27">
        <f t="shared" ref="F2:AG2" si="0">E2+1</f>
        <v>46175</v>
      </c>
      <c r="G2" s="27">
        <f t="shared" si="0"/>
        <v>46176</v>
      </c>
      <c r="H2" s="27">
        <f t="shared" si="0"/>
        <v>46177</v>
      </c>
      <c r="I2" s="27">
        <f t="shared" si="0"/>
        <v>46178</v>
      </c>
      <c r="J2" s="27">
        <f t="shared" si="0"/>
        <v>46179</v>
      </c>
      <c r="K2" s="27">
        <f t="shared" si="0"/>
        <v>46180</v>
      </c>
      <c r="L2" s="27">
        <f t="shared" si="0"/>
        <v>46181</v>
      </c>
      <c r="M2" s="27">
        <f t="shared" si="0"/>
        <v>46182</v>
      </c>
      <c r="N2" s="27">
        <f t="shared" si="0"/>
        <v>46183</v>
      </c>
      <c r="O2" s="27">
        <f t="shared" si="0"/>
        <v>46184</v>
      </c>
      <c r="P2" s="27">
        <f t="shared" si="0"/>
        <v>46185</v>
      </c>
      <c r="Q2" s="27">
        <f t="shared" si="0"/>
        <v>46186</v>
      </c>
      <c r="R2" s="27">
        <f t="shared" si="0"/>
        <v>46187</v>
      </c>
      <c r="S2" s="27">
        <f t="shared" si="0"/>
        <v>46188</v>
      </c>
      <c r="T2" s="27">
        <f t="shared" si="0"/>
        <v>46189</v>
      </c>
      <c r="U2" s="27">
        <f t="shared" si="0"/>
        <v>46190</v>
      </c>
      <c r="V2" s="27">
        <f t="shared" si="0"/>
        <v>46191</v>
      </c>
      <c r="W2" s="27">
        <f t="shared" si="0"/>
        <v>46192</v>
      </c>
      <c r="X2" s="27">
        <f t="shared" si="0"/>
        <v>46193</v>
      </c>
      <c r="Y2" s="27">
        <f t="shared" si="0"/>
        <v>46194</v>
      </c>
      <c r="Z2" s="27">
        <f t="shared" si="0"/>
        <v>46195</v>
      </c>
      <c r="AA2" s="27">
        <f t="shared" si="0"/>
        <v>46196</v>
      </c>
      <c r="AB2" s="27">
        <f t="shared" si="0"/>
        <v>46197</v>
      </c>
      <c r="AC2" s="27">
        <f t="shared" si="0"/>
        <v>46198</v>
      </c>
      <c r="AD2" s="27">
        <f t="shared" si="0"/>
        <v>46199</v>
      </c>
      <c r="AE2" s="27">
        <f t="shared" si="0"/>
        <v>46200</v>
      </c>
      <c r="AF2" s="27">
        <f t="shared" si="0"/>
        <v>46201</v>
      </c>
      <c r="AG2" s="27">
        <f t="shared" si="0"/>
        <v>46202</v>
      </c>
      <c r="AH2" s="27">
        <f t="shared" ref="AH2" si="1">AG2+1</f>
        <v>46203</v>
      </c>
      <c r="AI2" s="27">
        <f t="shared" ref="AI2" si="2">AH2+1</f>
        <v>46204</v>
      </c>
      <c r="AJ2" s="27">
        <f t="shared" ref="AJ2" si="3">AI2+1</f>
        <v>46205</v>
      </c>
      <c r="AK2" s="27">
        <f t="shared" ref="AK2" si="4">AJ2+1</f>
        <v>46206</v>
      </c>
      <c r="AL2" s="27">
        <f t="shared" ref="AL2" si="5">AK2+1</f>
        <v>46207</v>
      </c>
      <c r="AM2" s="27">
        <v>46208</v>
      </c>
      <c r="AN2" s="27">
        <f t="shared" ref="AN2" si="6">AM2+1</f>
        <v>46209</v>
      </c>
      <c r="AO2" s="27">
        <v>46210</v>
      </c>
      <c r="AP2" s="27">
        <f t="shared" ref="AP2" si="7">AO2+1</f>
        <v>46211</v>
      </c>
      <c r="AQ2" s="27">
        <f t="shared" ref="AQ2" si="8">AP2+1</f>
        <v>46212</v>
      </c>
      <c r="AR2" s="27">
        <f t="shared" ref="AR2" si="9">AQ2+1</f>
        <v>46213</v>
      </c>
      <c r="AS2" s="27">
        <f t="shared" ref="AS2" si="10">AR2+1</f>
        <v>46214</v>
      </c>
      <c r="AT2" s="27">
        <f t="shared" ref="AT2" si="11">AS2+1</f>
        <v>46215</v>
      </c>
      <c r="AU2" s="80">
        <f t="shared" ref="AU2" si="12">AT2+1</f>
        <v>46216</v>
      </c>
      <c r="AV2" s="80">
        <f t="shared" ref="AV2" si="13">AU2+1</f>
        <v>46217</v>
      </c>
      <c r="AW2" s="80">
        <f t="shared" ref="AW2" si="14">AV2+1</f>
        <v>46218</v>
      </c>
      <c r="AX2" s="80">
        <f t="shared" ref="AX2" si="15">AW2+1</f>
        <v>46219</v>
      </c>
      <c r="AY2" s="80">
        <f t="shared" ref="AY2" si="16">AX2+1</f>
        <v>46220</v>
      </c>
      <c r="AZ2" s="80">
        <f t="shared" ref="AZ2" si="17">AY2+1</f>
        <v>46221</v>
      </c>
      <c r="BA2" s="80">
        <f t="shared" ref="BA2" si="18">AZ2+1</f>
        <v>46222</v>
      </c>
      <c r="BB2" s="80">
        <f t="shared" ref="BB2" si="19">BA2+1</f>
        <v>46223</v>
      </c>
      <c r="BC2" s="80">
        <f t="shared" ref="BC2" si="20">BB2+1</f>
        <v>46224</v>
      </c>
      <c r="BD2" s="80">
        <f t="shared" ref="BD2" si="21">BC2+1</f>
        <v>46225</v>
      </c>
      <c r="BE2" s="80">
        <f t="shared" ref="BE2" si="22">BD2+1</f>
        <v>46226</v>
      </c>
      <c r="BF2" s="80">
        <f t="shared" ref="BF2" si="23">BE2+1</f>
        <v>46227</v>
      </c>
      <c r="BG2" s="80">
        <f t="shared" ref="BG2" si="24">BF2+1</f>
        <v>46228</v>
      </c>
      <c r="BH2" s="80">
        <f t="shared" ref="BH2" si="25">BG2+1</f>
        <v>46229</v>
      </c>
      <c r="BI2" s="80">
        <f t="shared" ref="BI2" si="26">BH2+1</f>
        <v>46230</v>
      </c>
      <c r="BJ2" s="80">
        <f t="shared" ref="BJ2" si="27">BI2+1</f>
        <v>46231</v>
      </c>
      <c r="BK2" s="80">
        <f t="shared" ref="BK2" si="28">BJ2+1</f>
        <v>46232</v>
      </c>
      <c r="BL2" s="80">
        <f t="shared" ref="BL2:BM2" si="29">BK2+1</f>
        <v>46233</v>
      </c>
      <c r="BM2" s="80">
        <f t="shared" si="29"/>
        <v>46234</v>
      </c>
      <c r="BN2" s="80">
        <f t="shared" ref="BN2" si="30">BM2+1</f>
        <v>46235</v>
      </c>
      <c r="BO2" s="80">
        <f t="shared" ref="BO2" si="31">BN2+1</f>
        <v>46236</v>
      </c>
      <c r="BP2" s="80">
        <f t="shared" ref="BP2" si="32">BO2+1</f>
        <v>46237</v>
      </c>
      <c r="BQ2" s="80">
        <f t="shared" ref="BQ2" si="33">BP2+1</f>
        <v>46238</v>
      </c>
      <c r="BR2" s="80">
        <f t="shared" ref="BR2" si="34">BQ2+1</f>
        <v>46239</v>
      </c>
      <c r="BS2" s="80">
        <f t="shared" ref="BS2" si="35">BR2+1</f>
        <v>46240</v>
      </c>
      <c r="BT2" s="80">
        <f t="shared" ref="BT2" si="36">BS2+1</f>
        <v>46241</v>
      </c>
      <c r="BU2" s="80">
        <f t="shared" ref="BU2" si="37">BT2+1</f>
        <v>46242</v>
      </c>
      <c r="BV2" s="80">
        <f t="shared" ref="BV2" si="38">BU2+1</f>
        <v>46243</v>
      </c>
      <c r="BW2" s="80">
        <f t="shared" ref="BW2" si="39">BV2+1</f>
        <v>46244</v>
      </c>
      <c r="BX2" s="80">
        <f t="shared" ref="BX2" si="40">BW2+1</f>
        <v>46245</v>
      </c>
      <c r="BY2" s="80">
        <f t="shared" ref="BY2" si="41">BX2+1</f>
        <v>46246</v>
      </c>
      <c r="BZ2" s="80">
        <f t="shared" ref="BZ2" si="42">BY2+1</f>
        <v>46247</v>
      </c>
      <c r="CA2" s="80">
        <f t="shared" ref="CA2" si="43">BZ2+1</f>
        <v>46248</v>
      </c>
      <c r="CB2" s="80">
        <f t="shared" ref="CB2" si="44">CA2+1</f>
        <v>46249</v>
      </c>
      <c r="CC2" s="80">
        <f t="shared" ref="CC2" si="45">CB2+1</f>
        <v>46250</v>
      </c>
      <c r="CD2" s="80">
        <f t="shared" ref="CD2" si="46">CC2+1</f>
        <v>46251</v>
      </c>
      <c r="CE2" s="80">
        <f t="shared" ref="CE2" si="47">CD2+1</f>
        <v>46252</v>
      </c>
      <c r="CF2" s="80">
        <f t="shared" ref="CF2" si="48">CE2+1</f>
        <v>46253</v>
      </c>
      <c r="CG2" s="80">
        <f t="shared" ref="CG2" si="49">CF2+1</f>
        <v>46254</v>
      </c>
      <c r="CH2" s="80">
        <f t="shared" ref="CH2" si="50">CG2+1</f>
        <v>46255</v>
      </c>
      <c r="CI2" s="80">
        <f t="shared" ref="CI2" si="51">CH2+1</f>
        <v>46256</v>
      </c>
      <c r="CJ2" s="80">
        <f t="shared" ref="CJ2" si="52">CI2+1</f>
        <v>46257</v>
      </c>
      <c r="CK2" s="80">
        <f t="shared" ref="CK2" si="53">CJ2+1</f>
        <v>46258</v>
      </c>
      <c r="CL2" s="80">
        <f t="shared" ref="CL2" si="54">CK2+1</f>
        <v>46259</v>
      </c>
      <c r="CM2" s="80">
        <f t="shared" ref="CM2" si="55">CL2+1</f>
        <v>46260</v>
      </c>
      <c r="CN2" s="80">
        <f t="shared" ref="CN2" si="56">CM2+1</f>
        <v>46261</v>
      </c>
      <c r="CO2" s="80">
        <f t="shared" ref="CO2" si="57">CN2+1</f>
        <v>46262</v>
      </c>
      <c r="CP2" s="80">
        <f t="shared" ref="CP2" si="58">CO2+1</f>
        <v>46263</v>
      </c>
      <c r="CQ2" s="80">
        <f t="shared" ref="CQ2:CR2" si="59">CP2+1</f>
        <v>46264</v>
      </c>
      <c r="CR2" s="80">
        <f t="shared" si="59"/>
        <v>46265</v>
      </c>
      <c r="CS2" s="80">
        <f t="shared" ref="CS2" si="60">CR2+1</f>
        <v>46266</v>
      </c>
      <c r="CT2" s="80">
        <f t="shared" ref="CT2" si="61">CS2+1</f>
        <v>46267</v>
      </c>
      <c r="CU2" s="80">
        <f t="shared" ref="CU2" si="62">CT2+1</f>
        <v>46268</v>
      </c>
      <c r="CV2" s="80">
        <f t="shared" ref="CV2" si="63">CU2+1</f>
        <v>46269</v>
      </c>
      <c r="CW2" s="80">
        <f t="shared" ref="CW2" si="64">CV2+1</f>
        <v>46270</v>
      </c>
      <c r="CX2" s="80">
        <f t="shared" ref="CX2" si="65">CW2+1</f>
        <v>46271</v>
      </c>
      <c r="CY2" s="80">
        <f t="shared" ref="CY2" si="66">CX2+1</f>
        <v>46272</v>
      </c>
      <c r="CZ2" s="80">
        <f t="shared" ref="CZ2" si="67">CY2+1</f>
        <v>46273</v>
      </c>
      <c r="DA2" s="80">
        <f t="shared" ref="DA2" si="68">CZ2+1</f>
        <v>46274</v>
      </c>
      <c r="DB2" s="80">
        <f t="shared" ref="DB2" si="69">DA2+1</f>
        <v>46275</v>
      </c>
      <c r="DC2" s="80">
        <f t="shared" ref="DC2" si="70">DB2+1</f>
        <v>46276</v>
      </c>
      <c r="DD2" s="80">
        <f t="shared" ref="DD2" si="71">DC2+1</f>
        <v>46277</v>
      </c>
      <c r="DE2" s="80">
        <f t="shared" ref="DE2" si="72">DD2+1</f>
        <v>46278</v>
      </c>
      <c r="DF2" s="80">
        <f t="shared" ref="DF2" si="73">DE2+1</f>
        <v>46279</v>
      </c>
      <c r="DG2" s="80">
        <f t="shared" ref="DG2" si="74">DF2+1</f>
        <v>46280</v>
      </c>
      <c r="DH2" s="80">
        <f t="shared" ref="DH2" si="75">DG2+1</f>
        <v>46281</v>
      </c>
      <c r="DI2" s="80">
        <f t="shared" ref="DI2" si="76">DH2+1</f>
        <v>46282</v>
      </c>
      <c r="DJ2" s="80">
        <f t="shared" ref="DJ2" si="77">DI2+1</f>
        <v>46283</v>
      </c>
      <c r="DK2" s="80">
        <f t="shared" ref="DK2" si="78">DJ2+1</f>
        <v>46284</v>
      </c>
      <c r="DL2" s="80">
        <f t="shared" ref="DL2" si="79">DK2+1</f>
        <v>46285</v>
      </c>
      <c r="DM2" s="80">
        <f t="shared" ref="DM2" si="80">DL2+1</f>
        <v>46286</v>
      </c>
      <c r="DN2" s="80">
        <f t="shared" ref="DN2" si="81">DM2+1</f>
        <v>46287</v>
      </c>
      <c r="DO2" s="80">
        <f t="shared" ref="DO2" si="82">DN2+1</f>
        <v>46288</v>
      </c>
      <c r="DP2" s="80">
        <f t="shared" ref="DP2" si="83">DO2+1</f>
        <v>46289</v>
      </c>
      <c r="DQ2" s="80">
        <f t="shared" ref="DQ2" si="84">DP2+1</f>
        <v>46290</v>
      </c>
      <c r="DR2" s="80">
        <f t="shared" ref="DR2" si="85">DQ2+1</f>
        <v>46291</v>
      </c>
      <c r="DS2" s="80">
        <f t="shared" ref="DS2" si="86">DR2+1</f>
        <v>46292</v>
      </c>
      <c r="DT2" s="80">
        <f t="shared" ref="DT2" si="87">DS2+1</f>
        <v>46293</v>
      </c>
      <c r="DU2" s="80">
        <f t="shared" ref="DU2" si="88">DT2+1</f>
        <v>46294</v>
      </c>
      <c r="DV2" s="80">
        <f t="shared" ref="DV2" si="89">DU2+1</f>
        <v>46295</v>
      </c>
      <c r="DW2" s="80">
        <f t="shared" ref="DW2" si="90">DV2+1</f>
        <v>46296</v>
      </c>
      <c r="DX2" s="80">
        <f t="shared" ref="DX2" si="91">DW2+1</f>
        <v>46297</v>
      </c>
      <c r="DY2" s="80">
        <f t="shared" ref="DY2" si="92">DX2+1</f>
        <v>46298</v>
      </c>
      <c r="DZ2" s="80">
        <f t="shared" ref="DZ2" si="93">DY2+1</f>
        <v>46299</v>
      </c>
      <c r="EA2" s="80">
        <f t="shared" ref="EA2" si="94">DZ2+1</f>
        <v>46300</v>
      </c>
      <c r="EB2" s="80">
        <f t="shared" ref="EB2" si="95">EA2+1</f>
        <v>46301</v>
      </c>
      <c r="EC2" s="80">
        <f t="shared" ref="EC2" si="96">EB2+1</f>
        <v>46302</v>
      </c>
      <c r="ED2" s="80">
        <f t="shared" ref="ED2" si="97">EC2+1</f>
        <v>46303</v>
      </c>
      <c r="EE2" s="80">
        <f t="shared" ref="EE2" si="98">ED2+1</f>
        <v>46304</v>
      </c>
      <c r="EF2" s="80">
        <f t="shared" ref="EF2" si="99">EE2+1</f>
        <v>46305</v>
      </c>
      <c r="EG2" s="80">
        <f t="shared" ref="EG2" si="100">EF2+1</f>
        <v>46306</v>
      </c>
      <c r="EH2" s="80">
        <f t="shared" ref="EH2" si="101">EG2+1</f>
        <v>46307</v>
      </c>
      <c r="EI2" s="80">
        <f t="shared" ref="EI2" si="102">EH2+1</f>
        <v>46308</v>
      </c>
      <c r="EJ2" s="80">
        <f t="shared" ref="EJ2" si="103">EI2+1</f>
        <v>46309</v>
      </c>
      <c r="EK2" s="80">
        <f t="shared" ref="EK2" si="104">EJ2+1</f>
        <v>46310</v>
      </c>
      <c r="EL2" s="80">
        <f t="shared" ref="EL2" si="105">EK2+1</f>
        <v>46311</v>
      </c>
      <c r="EM2" s="80">
        <f t="shared" ref="EM2" si="106">EL2+1</f>
        <v>46312</v>
      </c>
      <c r="EN2" s="80">
        <f t="shared" ref="EN2" si="107">EM2+1</f>
        <v>46313</v>
      </c>
      <c r="EO2" s="80">
        <f t="shared" ref="EO2" si="108">EN2+1</f>
        <v>46314</v>
      </c>
      <c r="EP2" s="80">
        <f t="shared" ref="EP2" si="109">EO2+1</f>
        <v>46315</v>
      </c>
      <c r="EQ2" s="80">
        <f t="shared" ref="EQ2" si="110">EP2+1</f>
        <v>46316</v>
      </c>
      <c r="ER2" s="80">
        <f t="shared" ref="ER2" si="111">EQ2+1</f>
        <v>46317</v>
      </c>
      <c r="ES2" s="80">
        <f t="shared" ref="ES2" si="112">ER2+1</f>
        <v>46318</v>
      </c>
      <c r="ET2" s="80">
        <f t="shared" ref="ET2" si="113">ES2+1</f>
        <v>46319</v>
      </c>
      <c r="EU2" s="80">
        <f t="shared" ref="EU2:FA2" si="114">ET2+1</f>
        <v>46320</v>
      </c>
      <c r="EV2" s="80">
        <f t="shared" si="114"/>
        <v>46321</v>
      </c>
      <c r="EW2" s="80">
        <f t="shared" si="114"/>
        <v>46322</v>
      </c>
      <c r="EX2" s="80">
        <f t="shared" si="114"/>
        <v>46323</v>
      </c>
      <c r="EY2" s="80">
        <f t="shared" si="114"/>
        <v>46324</v>
      </c>
      <c r="EZ2" s="80">
        <f t="shared" si="114"/>
        <v>46325</v>
      </c>
      <c r="FA2" s="80">
        <f t="shared" si="114"/>
        <v>46326</v>
      </c>
    </row>
    <row r="3" spans="1:157" ht="20.100000000000001" customHeight="1">
      <c r="A3" s="288" t="s">
        <v>13</v>
      </c>
      <c r="B3" s="249" t="s">
        <v>14</v>
      </c>
      <c r="C3" s="243" t="str">
        <f>Master!B3</f>
        <v>C6 - Oil</v>
      </c>
      <c r="D3" s="28">
        <f>Master!C3</f>
        <v>14</v>
      </c>
      <c r="E3" s="29">
        <v>3</v>
      </c>
      <c r="F3" s="29">
        <v>2</v>
      </c>
      <c r="G3" s="29">
        <v>3</v>
      </c>
      <c r="H3" s="29">
        <v>8</v>
      </c>
      <c r="I3" s="29">
        <v>1</v>
      </c>
      <c r="J3" s="29">
        <v>13</v>
      </c>
      <c r="K3" s="29"/>
      <c r="L3" s="29">
        <v>4</v>
      </c>
      <c r="M3" s="29">
        <v>12</v>
      </c>
      <c r="N3" s="29">
        <v>6</v>
      </c>
      <c r="O3" s="29">
        <v>10</v>
      </c>
      <c r="P3" s="29">
        <v>14</v>
      </c>
      <c r="Q3" s="29">
        <v>10</v>
      </c>
      <c r="R3" s="29"/>
      <c r="S3" s="29">
        <v>11</v>
      </c>
      <c r="T3" s="29">
        <v>12</v>
      </c>
      <c r="U3" s="29">
        <v>12</v>
      </c>
      <c r="V3" s="29">
        <v>17</v>
      </c>
      <c r="W3" s="29">
        <v>20</v>
      </c>
      <c r="X3" s="29">
        <v>14</v>
      </c>
      <c r="Y3" s="29"/>
      <c r="Z3" s="29">
        <v>20</v>
      </c>
      <c r="AA3" s="29">
        <v>18</v>
      </c>
      <c r="AB3" s="29">
        <v>11</v>
      </c>
      <c r="AC3" s="29">
        <v>12</v>
      </c>
      <c r="AD3" s="29">
        <v>13</v>
      </c>
      <c r="AE3" s="29">
        <v>10</v>
      </c>
      <c r="AF3" s="29">
        <v>12</v>
      </c>
      <c r="AG3" s="29"/>
      <c r="AH3" s="87">
        <v>12</v>
      </c>
      <c r="AI3" s="81">
        <v>12</v>
      </c>
      <c r="AJ3" s="81">
        <v>14</v>
      </c>
      <c r="AK3" s="81">
        <v>11</v>
      </c>
      <c r="AL3" s="81">
        <v>12</v>
      </c>
      <c r="AM3" s="81"/>
      <c r="AN3" s="81">
        <v>17</v>
      </c>
      <c r="AO3" s="81">
        <v>18</v>
      </c>
      <c r="AP3" s="81">
        <v>9</v>
      </c>
      <c r="AQ3" s="81">
        <v>13</v>
      </c>
      <c r="AR3" s="81">
        <v>19</v>
      </c>
      <c r="AS3" s="81">
        <v>19</v>
      </c>
      <c r="AT3" s="81"/>
      <c r="AU3" s="81">
        <v>18</v>
      </c>
      <c r="AV3" s="81">
        <v>18</v>
      </c>
      <c r="AW3" s="81">
        <v>17</v>
      </c>
      <c r="AX3" s="81">
        <v>15</v>
      </c>
      <c r="AY3" s="81">
        <v>20</v>
      </c>
      <c r="AZ3" s="81">
        <v>6</v>
      </c>
      <c r="BA3" s="81">
        <v>4</v>
      </c>
      <c r="BB3" s="81">
        <v>17</v>
      </c>
      <c r="BC3" s="81">
        <v>17</v>
      </c>
      <c r="BD3" s="81">
        <v>13</v>
      </c>
      <c r="BE3" s="81">
        <f>14</f>
        <v>14</v>
      </c>
      <c r="BF3" s="81">
        <f>13</f>
        <v>13</v>
      </c>
      <c r="BG3" s="81">
        <f>12</f>
        <v>12</v>
      </c>
      <c r="BH3" s="81">
        <v>12</v>
      </c>
      <c r="BI3" s="81">
        <v>10</v>
      </c>
      <c r="BJ3" s="81">
        <v>12</v>
      </c>
      <c r="BK3" s="81">
        <f>12+12</f>
        <v>24</v>
      </c>
      <c r="BL3" s="81">
        <f>12+11</f>
        <v>23</v>
      </c>
      <c r="BM3" s="81">
        <f>12+12</f>
        <v>24</v>
      </c>
      <c r="BN3" s="81">
        <f>24+12</f>
        <v>36</v>
      </c>
      <c r="BO3" s="81">
        <v>13</v>
      </c>
      <c r="BP3" s="81">
        <v>18</v>
      </c>
      <c r="BQ3" s="81">
        <f>18+11</f>
        <v>29</v>
      </c>
      <c r="BR3" s="81">
        <f>19+10</f>
        <v>29</v>
      </c>
      <c r="BS3" s="81">
        <v>10</v>
      </c>
      <c r="BT3" s="81">
        <f>10+9</f>
        <v>19</v>
      </c>
      <c r="BU3" s="81">
        <f>19+10</f>
        <v>29</v>
      </c>
      <c r="BV3" s="81">
        <f>9+10</f>
        <v>19</v>
      </c>
      <c r="BW3" s="81">
        <v>15</v>
      </c>
      <c r="BX3" s="81">
        <f>17+9</f>
        <v>26</v>
      </c>
      <c r="BY3" s="81">
        <f>3+12</f>
        <v>15</v>
      </c>
      <c r="BZ3" s="81">
        <f>5+10+10</f>
        <v>25</v>
      </c>
      <c r="CA3" s="81">
        <f>17+9</f>
        <v>26</v>
      </c>
      <c r="CB3" s="81"/>
      <c r="CC3" s="81">
        <v>11</v>
      </c>
      <c r="CD3" s="81">
        <v>10</v>
      </c>
      <c r="CE3" s="81">
        <f>18+13</f>
        <v>31</v>
      </c>
      <c r="CF3" s="81">
        <f>20+15</f>
        <v>35</v>
      </c>
      <c r="CG3" s="81">
        <f>15+14</f>
        <v>29</v>
      </c>
      <c r="CH3" s="81">
        <f>18+15</f>
        <v>33</v>
      </c>
      <c r="CI3" s="81">
        <f>17+13</f>
        <v>30</v>
      </c>
      <c r="CJ3" s="81">
        <v>16</v>
      </c>
      <c r="CK3" s="81">
        <v>16</v>
      </c>
      <c r="CL3" s="81">
        <f>15+10</f>
        <v>25</v>
      </c>
      <c r="CM3" s="81">
        <f>14+8</f>
        <v>22</v>
      </c>
      <c r="CN3" s="81">
        <v>11</v>
      </c>
      <c r="CO3" s="81">
        <f>7+7</f>
        <v>14</v>
      </c>
      <c r="CP3" s="81">
        <f>9+9</f>
        <v>18</v>
      </c>
      <c r="CQ3" s="81"/>
      <c r="CR3" s="81">
        <v>8</v>
      </c>
      <c r="CS3" s="81">
        <f>11+8</f>
        <v>19</v>
      </c>
      <c r="CT3" s="81">
        <f>6+7</f>
        <v>13</v>
      </c>
      <c r="CU3" s="81">
        <v>11</v>
      </c>
      <c r="CV3" s="81">
        <f>11+8</f>
        <v>19</v>
      </c>
      <c r="CW3" s="81">
        <f>12+8</f>
        <v>20</v>
      </c>
      <c r="CX3" s="81">
        <f>12+8</f>
        <v>20</v>
      </c>
      <c r="CY3" s="81">
        <v>9</v>
      </c>
      <c r="CZ3" s="81">
        <f>10+6</f>
        <v>16</v>
      </c>
      <c r="DA3" s="81">
        <f>10+6</f>
        <v>16</v>
      </c>
      <c r="DB3" s="81">
        <f>12+8</f>
        <v>20</v>
      </c>
      <c r="DC3" s="81">
        <f>12+10</f>
        <v>22</v>
      </c>
      <c r="DD3" s="81">
        <f>10+9</f>
        <v>19</v>
      </c>
      <c r="DE3" s="81">
        <v>9</v>
      </c>
      <c r="DF3" s="81"/>
      <c r="DG3" s="81">
        <v>10</v>
      </c>
      <c r="DH3" s="81">
        <f>9+9</f>
        <v>18</v>
      </c>
      <c r="DI3" s="81">
        <v>9</v>
      </c>
      <c r="DJ3" s="81">
        <f>9+8</f>
        <v>17</v>
      </c>
      <c r="DK3" s="81">
        <f>11+10</f>
        <v>21</v>
      </c>
      <c r="DL3" s="81">
        <v>9</v>
      </c>
      <c r="DM3" s="81">
        <v>11</v>
      </c>
      <c r="DN3" s="81">
        <v>12</v>
      </c>
      <c r="DO3" s="81">
        <v>14</v>
      </c>
      <c r="DP3" s="81"/>
      <c r="DQ3" s="81">
        <v>13</v>
      </c>
      <c r="DR3" s="81">
        <v>13</v>
      </c>
      <c r="DS3" s="81">
        <v>10</v>
      </c>
      <c r="DT3" s="81">
        <v>12</v>
      </c>
      <c r="DU3" s="81">
        <v>10</v>
      </c>
      <c r="DV3" s="81">
        <v>11</v>
      </c>
      <c r="DW3" s="81">
        <v>11</v>
      </c>
      <c r="DX3" s="81"/>
      <c r="DY3" s="81">
        <v>12</v>
      </c>
      <c r="DZ3" s="81"/>
      <c r="EA3" s="81">
        <v>12</v>
      </c>
      <c r="EB3" s="81">
        <v>13</v>
      </c>
      <c r="EC3" s="81">
        <v>14</v>
      </c>
      <c r="ED3" s="81">
        <v>1</v>
      </c>
      <c r="EE3" s="81">
        <v>12</v>
      </c>
      <c r="EF3" s="81">
        <v>9</v>
      </c>
      <c r="EG3" s="81"/>
      <c r="EH3" s="81">
        <v>10</v>
      </c>
      <c r="EI3" s="81">
        <v>11</v>
      </c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</row>
    <row r="4" spans="1:157" ht="20.100000000000001" customHeight="1">
      <c r="A4" s="289"/>
      <c r="B4" s="250" t="s">
        <v>29</v>
      </c>
      <c r="C4" s="244" t="str">
        <f>Master!B4</f>
        <v>C6 - Ghee</v>
      </c>
      <c r="D4" s="3">
        <f>Master!C4</f>
        <v>24</v>
      </c>
      <c r="E4" s="29">
        <f>22+8</f>
        <v>30</v>
      </c>
      <c r="F4" s="4">
        <f>24+9</f>
        <v>33</v>
      </c>
      <c r="G4" s="4">
        <f>25+9</f>
        <v>34</v>
      </c>
      <c r="H4" s="4">
        <f>30+9</f>
        <v>39</v>
      </c>
      <c r="I4" s="4">
        <f>27+9</f>
        <v>36</v>
      </c>
      <c r="J4" s="4">
        <v>32</v>
      </c>
      <c r="K4" s="4"/>
      <c r="L4" s="4">
        <f>20+7</f>
        <v>27</v>
      </c>
      <c r="M4" s="4">
        <f>21+12</f>
        <v>33</v>
      </c>
      <c r="N4" s="4">
        <f>27+12</f>
        <v>39</v>
      </c>
      <c r="O4" s="4">
        <f>22+13</f>
        <v>35</v>
      </c>
      <c r="P4" s="4">
        <f>23+12</f>
        <v>35</v>
      </c>
      <c r="Q4" s="4">
        <f>22+13</f>
        <v>35</v>
      </c>
      <c r="R4" s="4">
        <f>11+8</f>
        <v>19</v>
      </c>
      <c r="S4" s="4">
        <f>22+11</f>
        <v>33</v>
      </c>
      <c r="T4" s="4">
        <f>17+10</f>
        <v>27</v>
      </c>
      <c r="U4" s="4">
        <f>21+13</f>
        <v>34</v>
      </c>
      <c r="V4" s="4">
        <f>21+12</f>
        <v>33</v>
      </c>
      <c r="W4" s="4">
        <f>24+13</f>
        <v>37</v>
      </c>
      <c r="X4" s="4">
        <f>26+13</f>
        <v>39</v>
      </c>
      <c r="Y4" s="4">
        <f>12+10</f>
        <v>22</v>
      </c>
      <c r="Z4" s="4">
        <v>28</v>
      </c>
      <c r="AA4" s="4">
        <f>19+11</f>
        <v>30</v>
      </c>
      <c r="AB4" s="4">
        <f>22+9</f>
        <v>31</v>
      </c>
      <c r="AC4" s="4">
        <f>25+12</f>
        <v>37</v>
      </c>
      <c r="AD4" s="4">
        <f>21+12</f>
        <v>33</v>
      </c>
      <c r="AE4" s="4">
        <f>25+12</f>
        <v>37</v>
      </c>
      <c r="AF4" s="4">
        <f>13+11</f>
        <v>24</v>
      </c>
      <c r="AG4" s="4">
        <f>8+11</f>
        <v>19</v>
      </c>
      <c r="AH4" s="88">
        <f>24+13</f>
        <v>37</v>
      </c>
      <c r="AI4" s="81">
        <f>22+13</f>
        <v>35</v>
      </c>
      <c r="AJ4" s="81">
        <f>24+12</f>
        <v>36</v>
      </c>
      <c r="AK4" s="81">
        <f>25+13</f>
        <v>38</v>
      </c>
      <c r="AL4" s="81">
        <f>24+13</f>
        <v>37</v>
      </c>
      <c r="AM4" s="81">
        <f>12+9</f>
        <v>21</v>
      </c>
      <c r="AN4" s="81">
        <f>24+14</f>
        <v>38</v>
      </c>
      <c r="AO4" s="81">
        <f>21+15</f>
        <v>36</v>
      </c>
      <c r="AP4" s="81">
        <f>20+9</f>
        <v>29</v>
      </c>
      <c r="AQ4" s="81">
        <f>21+16</f>
        <v>37</v>
      </c>
      <c r="AR4" s="81">
        <f>26+11</f>
        <v>37</v>
      </c>
      <c r="AS4" s="81">
        <f>23+15</f>
        <v>38</v>
      </c>
      <c r="AT4" s="81">
        <f>9+14</f>
        <v>23</v>
      </c>
      <c r="AU4" s="81">
        <f>23+14</f>
        <v>37</v>
      </c>
      <c r="AV4" s="81">
        <f>20+15</f>
        <v>35</v>
      </c>
      <c r="AW4" s="81">
        <f>24+15</f>
        <v>39</v>
      </c>
      <c r="AX4" s="81">
        <f>21+17</f>
        <v>38</v>
      </c>
      <c r="AY4" s="81">
        <f>23+12</f>
        <v>35</v>
      </c>
      <c r="AZ4" s="81">
        <f>21+16</f>
        <v>37</v>
      </c>
      <c r="BA4" s="81">
        <f>12+16</f>
        <v>28</v>
      </c>
      <c r="BB4" s="81">
        <v>26</v>
      </c>
      <c r="BC4" s="81">
        <f>21+17</f>
        <v>38</v>
      </c>
      <c r="BD4" s="81">
        <f>24+17</f>
        <v>41</v>
      </c>
      <c r="BE4" s="81">
        <f>22+18</f>
        <v>40</v>
      </c>
      <c r="BF4" s="81">
        <f>24+18</f>
        <v>42</v>
      </c>
      <c r="BG4" s="81">
        <f>20+18</f>
        <v>38</v>
      </c>
      <c r="BH4" s="81">
        <v>23</v>
      </c>
      <c r="BI4" s="81">
        <f>20+10</f>
        <v>30</v>
      </c>
      <c r="BJ4" s="81">
        <f>19+17</f>
        <v>36</v>
      </c>
      <c r="BK4" s="81">
        <f>19+18</f>
        <v>37</v>
      </c>
      <c r="BL4" s="81">
        <f>21+14</f>
        <v>35</v>
      </c>
      <c r="BM4" s="81">
        <f>16+15</f>
        <v>31</v>
      </c>
      <c r="BN4" s="81">
        <v>21</v>
      </c>
      <c r="BO4" s="81">
        <f>6+11</f>
        <v>17</v>
      </c>
      <c r="BP4" s="81">
        <f>19+14</f>
        <v>33</v>
      </c>
      <c r="BQ4" s="81">
        <f>21+14</f>
        <v>35</v>
      </c>
      <c r="BR4" s="81">
        <f>20+17</f>
        <v>37</v>
      </c>
      <c r="BS4" s="81">
        <f>19+18</f>
        <v>37</v>
      </c>
      <c r="BT4" s="81">
        <f>19+18</f>
        <v>37</v>
      </c>
      <c r="BU4" s="81">
        <f>21+13</f>
        <v>34</v>
      </c>
      <c r="BV4" s="81">
        <f>7+17</f>
        <v>24</v>
      </c>
      <c r="BW4" s="81">
        <f>20+13</f>
        <v>33</v>
      </c>
      <c r="BX4" s="81">
        <f>20+12</f>
        <v>32</v>
      </c>
      <c r="BY4" s="81">
        <f>21+12</f>
        <v>33</v>
      </c>
      <c r="BZ4" s="81">
        <f>23+11</f>
        <v>34</v>
      </c>
      <c r="CA4" s="81">
        <f>22+11</f>
        <v>33</v>
      </c>
      <c r="CB4" s="81">
        <v>13</v>
      </c>
      <c r="CC4" s="81">
        <f>20+11</f>
        <v>31</v>
      </c>
      <c r="CD4" s="81">
        <f>11+16</f>
        <v>27</v>
      </c>
      <c r="CE4" s="81">
        <f>20+18</f>
        <v>38</v>
      </c>
      <c r="CF4" s="81">
        <f>20+15</f>
        <v>35</v>
      </c>
      <c r="CG4" s="81">
        <f>22+16</f>
        <v>38</v>
      </c>
      <c r="CH4" s="81">
        <f>21+10</f>
        <v>31</v>
      </c>
      <c r="CI4" s="81">
        <f>23+15</f>
        <v>38</v>
      </c>
      <c r="CJ4" s="81">
        <f>11+16</f>
        <v>27</v>
      </c>
      <c r="CK4" s="81">
        <f>19+10</f>
        <v>29</v>
      </c>
      <c r="CL4" s="81">
        <f>17+16</f>
        <v>33</v>
      </c>
      <c r="CM4" s="81">
        <f>19+15</f>
        <v>34</v>
      </c>
      <c r="CN4" s="81">
        <f>21+19</f>
        <v>40</v>
      </c>
      <c r="CO4" s="81">
        <f>17+17</f>
        <v>34</v>
      </c>
      <c r="CP4" s="81">
        <f>20+11</f>
        <v>31</v>
      </c>
      <c r="CQ4" s="81">
        <f>11+14</f>
        <v>25</v>
      </c>
      <c r="CR4" s="81">
        <f>20+10</f>
        <v>30</v>
      </c>
      <c r="CS4" s="81">
        <f>22+15</f>
        <v>37</v>
      </c>
      <c r="CT4" s="81">
        <f>20+16</f>
        <v>36</v>
      </c>
      <c r="CU4" s="81">
        <f>21+15</f>
        <v>36</v>
      </c>
      <c r="CV4" s="81">
        <f>17+18</f>
        <v>35</v>
      </c>
      <c r="CW4" s="81">
        <f>19+15</f>
        <v>34</v>
      </c>
      <c r="CX4" s="81">
        <f>5+18</f>
        <v>23</v>
      </c>
      <c r="CY4" s="81">
        <f>15+11</f>
        <v>26</v>
      </c>
      <c r="CZ4" s="81">
        <f>15+17</f>
        <v>32</v>
      </c>
      <c r="DA4" s="81">
        <f>20+15</f>
        <v>35</v>
      </c>
      <c r="DB4" s="81">
        <f>17+14</f>
        <v>31</v>
      </c>
      <c r="DC4" s="81">
        <f>19+17</f>
        <v>36</v>
      </c>
      <c r="DD4" s="81">
        <f>22+19</f>
        <v>41</v>
      </c>
      <c r="DE4" s="81">
        <f>18+18</f>
        <v>36</v>
      </c>
      <c r="DF4" s="81">
        <f>11+6</f>
        <v>17</v>
      </c>
      <c r="DG4" s="81">
        <f>21+10</f>
        <v>31</v>
      </c>
      <c r="DH4" s="81">
        <f>23+15</f>
        <v>38</v>
      </c>
      <c r="DI4" s="81">
        <f>23+19</f>
        <v>42</v>
      </c>
      <c r="DJ4" s="81">
        <f>19+14</f>
        <v>33</v>
      </c>
      <c r="DK4" s="81">
        <f>19+15</f>
        <v>34</v>
      </c>
      <c r="DL4" s="81">
        <f>11+11</f>
        <v>22</v>
      </c>
      <c r="DM4" s="81">
        <f>19+7</f>
        <v>26</v>
      </c>
      <c r="DN4" s="81">
        <v>21</v>
      </c>
      <c r="DO4" s="81">
        <v>23</v>
      </c>
      <c r="DP4" s="81">
        <v>16</v>
      </c>
      <c r="DQ4" s="81">
        <v>19</v>
      </c>
      <c r="DR4" s="81">
        <v>19</v>
      </c>
      <c r="DS4" s="81">
        <v>18</v>
      </c>
      <c r="DT4" s="81">
        <v>20</v>
      </c>
      <c r="DU4" s="81">
        <v>17</v>
      </c>
      <c r="DV4" s="81">
        <v>18</v>
      </c>
      <c r="DW4" s="81">
        <v>20</v>
      </c>
      <c r="DX4" s="81"/>
      <c r="DY4" s="81">
        <v>19</v>
      </c>
      <c r="DZ4" s="81">
        <v>9</v>
      </c>
      <c r="EA4" s="81">
        <v>19</v>
      </c>
      <c r="EB4" s="81">
        <v>17</v>
      </c>
      <c r="EC4" s="81">
        <v>16</v>
      </c>
      <c r="ED4" s="81">
        <v>20</v>
      </c>
      <c r="EE4" s="81">
        <v>18</v>
      </c>
      <c r="EF4" s="81">
        <v>13</v>
      </c>
      <c r="EG4" s="81">
        <v>6</v>
      </c>
      <c r="EH4" s="81">
        <v>19</v>
      </c>
      <c r="EI4" s="81">
        <v>21</v>
      </c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</row>
    <row r="5" spans="1:157" ht="20.100000000000001" customHeight="1">
      <c r="A5" s="289"/>
      <c r="B5" s="250" t="s">
        <v>17</v>
      </c>
      <c r="C5" s="244" t="str">
        <f>Master!B5</f>
        <v>C39 - MG batch Making</v>
      </c>
      <c r="D5" s="3">
        <f>Master!C5</f>
        <v>7</v>
      </c>
      <c r="E5" s="29">
        <v>10</v>
      </c>
      <c r="F5" s="4">
        <v>21</v>
      </c>
      <c r="G5" s="4">
        <v>11</v>
      </c>
      <c r="H5" s="4">
        <v>16</v>
      </c>
      <c r="I5" s="4">
        <v>18</v>
      </c>
      <c r="J5" s="4">
        <v>14</v>
      </c>
      <c r="K5" s="4"/>
      <c r="L5" s="4">
        <v>16</v>
      </c>
      <c r="M5" s="4">
        <v>12</v>
      </c>
      <c r="N5" s="4">
        <v>12</v>
      </c>
      <c r="O5" s="4">
        <v>12</v>
      </c>
      <c r="P5" s="4">
        <v>6</v>
      </c>
      <c r="Q5" s="4">
        <v>3</v>
      </c>
      <c r="R5" s="4"/>
      <c r="S5" s="4">
        <v>7</v>
      </c>
      <c r="T5" s="4">
        <v>0</v>
      </c>
      <c r="U5" s="4">
        <v>7</v>
      </c>
      <c r="V5" s="4">
        <v>5</v>
      </c>
      <c r="W5" s="4">
        <v>9</v>
      </c>
      <c r="X5" s="4">
        <v>0</v>
      </c>
      <c r="Y5" s="4"/>
      <c r="Z5" s="4">
        <v>0</v>
      </c>
      <c r="AA5" s="4">
        <v>9</v>
      </c>
      <c r="AB5" s="4">
        <v>7</v>
      </c>
      <c r="AC5" s="4">
        <v>6</v>
      </c>
      <c r="AD5" s="4">
        <v>9</v>
      </c>
      <c r="AE5" s="4">
        <v>9</v>
      </c>
      <c r="AF5" s="4">
        <v>9</v>
      </c>
      <c r="AG5" s="4"/>
      <c r="AH5" s="88">
        <v>12</v>
      </c>
      <c r="AI5" s="81">
        <v>14</v>
      </c>
      <c r="AJ5" s="81">
        <v>12</v>
      </c>
      <c r="AK5" s="81">
        <v>13</v>
      </c>
      <c r="AL5" s="81">
        <v>8</v>
      </c>
      <c r="AM5" s="81"/>
      <c r="AN5" s="81">
        <v>8</v>
      </c>
      <c r="AO5" s="81">
        <v>12</v>
      </c>
      <c r="AP5" s="81">
        <v>11</v>
      </c>
      <c r="AQ5" s="81">
        <v>13</v>
      </c>
      <c r="AR5" s="81">
        <v>9</v>
      </c>
      <c r="AS5" s="81">
        <v>9</v>
      </c>
      <c r="AT5" s="81"/>
      <c r="AU5" s="81">
        <v>8</v>
      </c>
      <c r="AV5" s="81">
        <v>8</v>
      </c>
      <c r="AW5" s="81">
        <v>11</v>
      </c>
      <c r="AX5" s="81">
        <v>6</v>
      </c>
      <c r="AY5" s="81">
        <v>0</v>
      </c>
      <c r="AZ5" s="81">
        <v>0</v>
      </c>
      <c r="BA5" s="81">
        <v>0</v>
      </c>
      <c r="BB5" s="81">
        <v>8</v>
      </c>
      <c r="BC5" s="81">
        <v>14</v>
      </c>
      <c r="BD5" s="81">
        <v>13</v>
      </c>
      <c r="BE5" s="81">
        <v>9</v>
      </c>
      <c r="BF5" s="81">
        <v>9</v>
      </c>
      <c r="BG5" s="81">
        <v>9</v>
      </c>
      <c r="BH5" s="81"/>
      <c r="BI5" s="81">
        <v>11</v>
      </c>
      <c r="BJ5" s="81">
        <v>8</v>
      </c>
      <c r="BK5" s="81">
        <v>8</v>
      </c>
      <c r="BL5" s="81">
        <v>9</v>
      </c>
      <c r="BM5" s="81">
        <v>13</v>
      </c>
      <c r="BN5" s="81">
        <v>12</v>
      </c>
      <c r="BO5" s="81"/>
      <c r="BP5" s="81">
        <v>17</v>
      </c>
      <c r="BQ5" s="81">
        <v>12</v>
      </c>
      <c r="BR5" s="81">
        <v>11</v>
      </c>
      <c r="BS5" s="81"/>
      <c r="BT5" s="81">
        <v>8</v>
      </c>
      <c r="BU5" s="81">
        <v>9</v>
      </c>
      <c r="BV5" s="81">
        <v>12</v>
      </c>
      <c r="BW5" s="81">
        <v>12</v>
      </c>
      <c r="BX5" s="81">
        <v>14</v>
      </c>
      <c r="BY5" s="81">
        <v>12</v>
      </c>
      <c r="BZ5" s="81">
        <v>13</v>
      </c>
      <c r="CA5" s="81">
        <v>11</v>
      </c>
      <c r="CB5" s="81"/>
      <c r="CC5" s="81">
        <v>0</v>
      </c>
      <c r="CD5" s="81">
        <v>11</v>
      </c>
      <c r="CE5" s="81">
        <v>12</v>
      </c>
      <c r="CF5" s="81">
        <v>14</v>
      </c>
      <c r="CG5" s="81">
        <v>12</v>
      </c>
      <c r="CH5" s="81">
        <v>11</v>
      </c>
      <c r="CI5" s="81">
        <v>13</v>
      </c>
      <c r="CJ5" s="81"/>
      <c r="CK5" s="81">
        <v>10</v>
      </c>
      <c r="CL5" s="81">
        <v>14</v>
      </c>
      <c r="CM5" s="81">
        <v>9</v>
      </c>
      <c r="CN5" s="81">
        <v>11</v>
      </c>
      <c r="CO5" s="81">
        <v>8</v>
      </c>
      <c r="CP5" s="81">
        <v>7</v>
      </c>
      <c r="CQ5" s="81"/>
      <c r="CR5" s="81">
        <v>8</v>
      </c>
      <c r="CS5" s="81">
        <v>6</v>
      </c>
      <c r="CT5" s="81">
        <v>11</v>
      </c>
      <c r="CU5" s="81">
        <v>12</v>
      </c>
      <c r="CV5" s="81">
        <v>9</v>
      </c>
      <c r="CW5" s="81">
        <v>11</v>
      </c>
      <c r="CX5" s="81">
        <v>0</v>
      </c>
      <c r="CY5" s="81">
        <v>6</v>
      </c>
      <c r="CZ5" s="81">
        <v>10</v>
      </c>
      <c r="DA5" s="81">
        <v>11</v>
      </c>
      <c r="DB5" s="81">
        <v>12</v>
      </c>
      <c r="DC5" s="81">
        <v>9</v>
      </c>
      <c r="DD5" s="81">
        <v>10</v>
      </c>
      <c r="DE5" s="81"/>
      <c r="DF5" s="81"/>
      <c r="DG5" s="81">
        <v>8</v>
      </c>
      <c r="DH5" s="81">
        <v>9</v>
      </c>
      <c r="DI5" s="81"/>
      <c r="DJ5" s="81">
        <v>9</v>
      </c>
      <c r="DK5" s="81">
        <v>10</v>
      </c>
      <c r="DL5" s="81">
        <v>5</v>
      </c>
      <c r="DM5" s="81">
        <v>7</v>
      </c>
      <c r="DN5" s="81">
        <v>10</v>
      </c>
      <c r="DO5" s="81">
        <v>9</v>
      </c>
      <c r="DP5" s="81"/>
      <c r="DQ5" s="81">
        <v>10</v>
      </c>
      <c r="DR5" s="81">
        <v>9</v>
      </c>
      <c r="DS5" s="81">
        <v>0</v>
      </c>
      <c r="DT5" s="81">
        <v>9</v>
      </c>
      <c r="DU5" s="81">
        <v>9</v>
      </c>
      <c r="DV5" s="81">
        <v>9</v>
      </c>
      <c r="DW5" s="81">
        <v>9</v>
      </c>
      <c r="DX5" s="81"/>
      <c r="DY5" s="81">
        <v>9</v>
      </c>
      <c r="DZ5" s="81">
        <v>2</v>
      </c>
      <c r="EA5" s="81">
        <v>10</v>
      </c>
      <c r="EB5" s="81">
        <v>6</v>
      </c>
      <c r="EC5" s="81">
        <v>9</v>
      </c>
      <c r="ED5" s="81"/>
      <c r="EE5" s="81">
        <v>10</v>
      </c>
      <c r="EF5" s="81">
        <v>8</v>
      </c>
      <c r="EG5" s="81"/>
      <c r="EH5" s="81">
        <v>7</v>
      </c>
      <c r="EI5" s="81">
        <v>8</v>
      </c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</row>
    <row r="6" spans="1:157" ht="20.100000000000001" customHeight="1">
      <c r="A6" s="289"/>
      <c r="B6" s="250" t="s">
        <v>31</v>
      </c>
      <c r="C6" s="244" t="str">
        <f>Master!B6</f>
        <v>Supply/ Dispatch (Common)</v>
      </c>
      <c r="D6" s="3">
        <f>Master!C6</f>
        <v>11</v>
      </c>
      <c r="E6" s="29">
        <v>13</v>
      </c>
      <c r="F6" s="4">
        <v>17</v>
      </c>
      <c r="G6" s="4">
        <v>16</v>
      </c>
      <c r="H6" s="4">
        <v>11</v>
      </c>
      <c r="I6" s="4">
        <v>13</v>
      </c>
      <c r="J6" s="4">
        <v>11</v>
      </c>
      <c r="K6" s="4"/>
      <c r="L6" s="4">
        <v>11</v>
      </c>
      <c r="M6" s="4">
        <v>11</v>
      </c>
      <c r="N6" s="4">
        <v>11</v>
      </c>
      <c r="O6" s="4">
        <v>10</v>
      </c>
      <c r="P6" s="4">
        <v>11</v>
      </c>
      <c r="Q6" s="4">
        <v>16</v>
      </c>
      <c r="R6" s="4"/>
      <c r="S6" s="4">
        <v>13</v>
      </c>
      <c r="T6" s="4">
        <v>11</v>
      </c>
      <c r="U6" s="4">
        <v>11</v>
      </c>
      <c r="V6" s="4">
        <v>12</v>
      </c>
      <c r="W6" s="4">
        <v>12</v>
      </c>
      <c r="X6" s="4">
        <v>11</v>
      </c>
      <c r="Y6" s="4"/>
      <c r="Z6" s="4">
        <v>11</v>
      </c>
      <c r="AA6" s="4">
        <v>11</v>
      </c>
      <c r="AB6" s="4">
        <v>11</v>
      </c>
      <c r="AC6" s="4">
        <v>11</v>
      </c>
      <c r="AD6" s="4">
        <v>11</v>
      </c>
      <c r="AE6" s="4">
        <v>11</v>
      </c>
      <c r="AF6" s="4">
        <v>10</v>
      </c>
      <c r="AG6" s="4"/>
      <c r="AH6" s="88">
        <v>11</v>
      </c>
      <c r="AI6" s="81">
        <v>12</v>
      </c>
      <c r="AJ6" s="81">
        <v>11</v>
      </c>
      <c r="AK6" s="81">
        <v>11</v>
      </c>
      <c r="AL6" s="81">
        <v>11</v>
      </c>
      <c r="AM6" s="81"/>
      <c r="AN6" s="81">
        <v>11</v>
      </c>
      <c r="AO6" s="81">
        <v>11</v>
      </c>
      <c r="AP6" s="81">
        <v>11</v>
      </c>
      <c r="AQ6" s="81">
        <v>10</v>
      </c>
      <c r="AR6" s="81">
        <v>10</v>
      </c>
      <c r="AS6" s="81">
        <v>11</v>
      </c>
      <c r="AT6" s="81"/>
      <c r="AU6" s="81">
        <v>11</v>
      </c>
      <c r="AV6" s="81">
        <v>11</v>
      </c>
      <c r="AW6" s="81">
        <v>11</v>
      </c>
      <c r="AX6" s="81">
        <v>11</v>
      </c>
      <c r="AY6" s="81">
        <v>10</v>
      </c>
      <c r="AZ6" s="81">
        <v>5</v>
      </c>
      <c r="BA6" s="81">
        <v>4</v>
      </c>
      <c r="BB6" s="81">
        <v>11</v>
      </c>
      <c r="BC6" s="81">
        <v>11</v>
      </c>
      <c r="BD6" s="81">
        <v>11</v>
      </c>
      <c r="BE6" s="81">
        <v>11</v>
      </c>
      <c r="BF6" s="81">
        <f>11+8</f>
        <v>19</v>
      </c>
      <c r="BG6" s="81">
        <v>5</v>
      </c>
      <c r="BH6" s="81">
        <v>6</v>
      </c>
      <c r="BI6" s="81">
        <v>11</v>
      </c>
      <c r="BJ6" s="81">
        <v>10</v>
      </c>
      <c r="BK6" s="81">
        <v>11</v>
      </c>
      <c r="BL6" s="81">
        <v>11</v>
      </c>
      <c r="BM6" s="81">
        <v>9</v>
      </c>
      <c r="BN6" s="81">
        <v>11</v>
      </c>
      <c r="BO6" s="81">
        <v>6</v>
      </c>
      <c r="BP6" s="81">
        <v>11</v>
      </c>
      <c r="BQ6" s="81">
        <v>10</v>
      </c>
      <c r="BR6" s="81">
        <v>11</v>
      </c>
      <c r="BS6" s="81">
        <v>11</v>
      </c>
      <c r="BT6" s="81">
        <v>11</v>
      </c>
      <c r="BU6" s="81">
        <v>11</v>
      </c>
      <c r="BV6" s="81">
        <v>4</v>
      </c>
      <c r="BW6" s="81">
        <v>10</v>
      </c>
      <c r="BX6" s="81">
        <v>11</v>
      </c>
      <c r="BY6" s="81">
        <v>11</v>
      </c>
      <c r="BZ6" s="81">
        <v>11</v>
      </c>
      <c r="CA6" s="81">
        <v>11</v>
      </c>
      <c r="CB6" s="81"/>
      <c r="CC6" s="81">
        <v>0</v>
      </c>
      <c r="CD6" s="81">
        <v>11</v>
      </c>
      <c r="CE6" s="81">
        <v>10</v>
      </c>
      <c r="CF6" s="81">
        <v>11</v>
      </c>
      <c r="CG6" s="81">
        <v>11</v>
      </c>
      <c r="CH6" s="81">
        <v>10</v>
      </c>
      <c r="CI6" s="81">
        <v>11</v>
      </c>
      <c r="CJ6" s="81"/>
      <c r="CK6" s="81">
        <v>11</v>
      </c>
      <c r="CL6" s="81">
        <v>11</v>
      </c>
      <c r="CM6" s="81">
        <v>11</v>
      </c>
      <c r="CN6" s="81">
        <v>11</v>
      </c>
      <c r="CO6" s="81">
        <v>11</v>
      </c>
      <c r="CP6" s="81">
        <v>9</v>
      </c>
      <c r="CQ6" s="81"/>
      <c r="CR6" s="81">
        <v>11</v>
      </c>
      <c r="CS6" s="81">
        <v>11</v>
      </c>
      <c r="CT6" s="81">
        <v>11</v>
      </c>
      <c r="CU6" s="81">
        <v>11</v>
      </c>
      <c r="CV6" s="81">
        <v>12</v>
      </c>
      <c r="CW6" s="81">
        <v>11</v>
      </c>
      <c r="CX6" s="81">
        <v>7</v>
      </c>
      <c r="CY6" s="81">
        <v>12</v>
      </c>
      <c r="CZ6" s="81">
        <v>11</v>
      </c>
      <c r="DA6" s="81">
        <v>10</v>
      </c>
      <c r="DB6" s="81">
        <v>11</v>
      </c>
      <c r="DC6" s="81">
        <v>11</v>
      </c>
      <c r="DD6" s="81">
        <v>11</v>
      </c>
      <c r="DE6" s="81"/>
      <c r="DF6" s="81"/>
      <c r="DG6" s="81">
        <v>11</v>
      </c>
      <c r="DH6" s="81">
        <v>11</v>
      </c>
      <c r="DI6" s="81">
        <v>10</v>
      </c>
      <c r="DJ6" s="81">
        <v>11</v>
      </c>
      <c r="DK6" s="81">
        <v>11</v>
      </c>
      <c r="DL6" s="81">
        <v>4</v>
      </c>
      <c r="DM6" s="81">
        <v>11</v>
      </c>
      <c r="DN6" s="81">
        <v>11</v>
      </c>
      <c r="DO6" s="81">
        <v>12</v>
      </c>
      <c r="DP6" s="81">
        <v>11</v>
      </c>
      <c r="DQ6" s="81">
        <v>11</v>
      </c>
      <c r="DR6" s="81">
        <v>13</v>
      </c>
      <c r="DS6" s="81">
        <v>11</v>
      </c>
      <c r="DT6" s="81">
        <v>12</v>
      </c>
      <c r="DU6" s="81">
        <v>6</v>
      </c>
      <c r="DV6" s="81">
        <f>7+5</f>
        <v>12</v>
      </c>
      <c r="DW6" s="81">
        <v>11</v>
      </c>
      <c r="DX6" s="81"/>
      <c r="DY6" s="81">
        <v>6</v>
      </c>
      <c r="DZ6" s="81">
        <v>6</v>
      </c>
      <c r="EA6" s="81">
        <v>15</v>
      </c>
      <c r="EB6" s="81">
        <v>15</v>
      </c>
      <c r="EC6" s="81">
        <v>15</v>
      </c>
      <c r="ED6" s="81">
        <v>15</v>
      </c>
      <c r="EE6" s="81">
        <v>15</v>
      </c>
      <c r="EF6" s="81">
        <v>15</v>
      </c>
      <c r="EG6" s="81">
        <v>4</v>
      </c>
      <c r="EH6" s="81">
        <v>15</v>
      </c>
      <c r="EI6" s="81">
        <v>6</v>
      </c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</row>
    <row r="7" spans="1:157" ht="20.100000000000001" customHeight="1">
      <c r="A7" s="289"/>
      <c r="B7" s="250" t="s">
        <v>24</v>
      </c>
      <c r="C7" s="244" t="str">
        <f>Master!B7</f>
        <v>Printer (Common)</v>
      </c>
      <c r="D7" s="3">
        <f>Master!C7</f>
        <v>6</v>
      </c>
      <c r="E7" s="29">
        <v>6</v>
      </c>
      <c r="F7" s="4">
        <v>7</v>
      </c>
      <c r="G7" s="4">
        <v>7</v>
      </c>
      <c r="H7" s="4">
        <v>7</v>
      </c>
      <c r="I7" s="4">
        <v>6</v>
      </c>
      <c r="J7" s="4">
        <v>6</v>
      </c>
      <c r="K7" s="4"/>
      <c r="L7" s="4">
        <v>5</v>
      </c>
      <c r="M7" s="4">
        <v>7</v>
      </c>
      <c r="N7" s="4">
        <v>7</v>
      </c>
      <c r="O7" s="4">
        <v>6</v>
      </c>
      <c r="P7" s="4">
        <v>7</v>
      </c>
      <c r="Q7" s="4">
        <v>6</v>
      </c>
      <c r="R7" s="4"/>
      <c r="S7" s="4">
        <v>5</v>
      </c>
      <c r="T7" s="4">
        <v>7</v>
      </c>
      <c r="U7" s="4">
        <v>6</v>
      </c>
      <c r="V7" s="4">
        <v>7</v>
      </c>
      <c r="W7" s="4">
        <v>7</v>
      </c>
      <c r="X7" s="4">
        <v>7</v>
      </c>
      <c r="Y7" s="4"/>
      <c r="Z7" s="4">
        <v>6</v>
      </c>
      <c r="AA7" s="4">
        <v>6</v>
      </c>
      <c r="AB7" s="4">
        <v>5</v>
      </c>
      <c r="AC7" s="4">
        <v>5</v>
      </c>
      <c r="AD7" s="4">
        <v>4</v>
      </c>
      <c r="AE7" s="4">
        <v>7</v>
      </c>
      <c r="AF7" s="4">
        <v>5</v>
      </c>
      <c r="AG7" s="4"/>
      <c r="AH7" s="88">
        <v>7</v>
      </c>
      <c r="AI7" s="81">
        <v>7</v>
      </c>
      <c r="AJ7" s="81">
        <v>6</v>
      </c>
      <c r="AK7" s="81">
        <v>5</v>
      </c>
      <c r="AL7" s="81">
        <v>7</v>
      </c>
      <c r="AM7" s="81"/>
      <c r="AN7" s="81">
        <v>7</v>
      </c>
      <c r="AO7" s="81">
        <v>6</v>
      </c>
      <c r="AP7" s="81">
        <v>8</v>
      </c>
      <c r="AQ7" s="81">
        <v>8</v>
      </c>
      <c r="AR7" s="81">
        <v>7</v>
      </c>
      <c r="AS7" s="81">
        <v>8</v>
      </c>
      <c r="AT7" s="81"/>
      <c r="AU7" s="81">
        <v>6</v>
      </c>
      <c r="AV7" s="81">
        <v>7</v>
      </c>
      <c r="AW7" s="81">
        <v>6</v>
      </c>
      <c r="AX7" s="81">
        <v>7</v>
      </c>
      <c r="AY7" s="81">
        <v>7</v>
      </c>
      <c r="AZ7" s="81">
        <v>1</v>
      </c>
      <c r="BA7" s="81">
        <v>2</v>
      </c>
      <c r="BB7" s="81">
        <v>6</v>
      </c>
      <c r="BC7" s="81">
        <v>6</v>
      </c>
      <c r="BD7" s="81">
        <v>6</v>
      </c>
      <c r="BE7" s="81">
        <v>7</v>
      </c>
      <c r="BF7" s="81">
        <v>6</v>
      </c>
      <c r="BG7" s="81">
        <v>6</v>
      </c>
      <c r="BH7" s="81"/>
      <c r="BI7" s="81">
        <v>7</v>
      </c>
      <c r="BJ7" s="81">
        <f>1+6</f>
        <v>7</v>
      </c>
      <c r="BK7" s="81">
        <v>6</v>
      </c>
      <c r="BL7" s="81">
        <v>5</v>
      </c>
      <c r="BM7" s="81">
        <v>6</v>
      </c>
      <c r="BN7" s="81">
        <v>7</v>
      </c>
      <c r="BO7" s="81"/>
      <c r="BP7" s="81">
        <v>7</v>
      </c>
      <c r="BQ7" s="81">
        <v>7</v>
      </c>
      <c r="BR7" s="81">
        <v>7</v>
      </c>
      <c r="BS7" s="81">
        <v>1</v>
      </c>
      <c r="BT7" s="81">
        <v>6</v>
      </c>
      <c r="BU7" s="81">
        <v>7</v>
      </c>
      <c r="BV7" s="81">
        <v>5</v>
      </c>
      <c r="BW7" s="81">
        <v>7</v>
      </c>
      <c r="BX7" s="81">
        <v>5</v>
      </c>
      <c r="BY7" s="81">
        <v>7</v>
      </c>
      <c r="BZ7" s="81">
        <v>6</v>
      </c>
      <c r="CA7" s="81">
        <v>8</v>
      </c>
      <c r="CB7" s="81"/>
      <c r="CC7" s="81">
        <v>1</v>
      </c>
      <c r="CD7" s="81">
        <v>6</v>
      </c>
      <c r="CE7" s="81">
        <v>8</v>
      </c>
      <c r="CF7" s="81">
        <v>7</v>
      </c>
      <c r="CG7" s="81">
        <v>8</v>
      </c>
      <c r="CH7" s="81">
        <v>9</v>
      </c>
      <c r="CI7" s="81">
        <v>8</v>
      </c>
      <c r="CJ7" s="81"/>
      <c r="CK7" s="81">
        <v>7</v>
      </c>
      <c r="CL7" s="81">
        <v>7</v>
      </c>
      <c r="CM7" s="81">
        <v>7</v>
      </c>
      <c r="CN7" s="81">
        <v>7</v>
      </c>
      <c r="CO7" s="81">
        <v>7</v>
      </c>
      <c r="CP7" s="81">
        <v>5</v>
      </c>
      <c r="CQ7" s="81"/>
      <c r="CR7" s="81">
        <v>7</v>
      </c>
      <c r="CS7" s="81">
        <v>7</v>
      </c>
      <c r="CT7" s="81">
        <v>7</v>
      </c>
      <c r="CU7" s="81">
        <v>8</v>
      </c>
      <c r="CV7" s="81">
        <v>7</v>
      </c>
      <c r="CW7" s="81">
        <v>5</v>
      </c>
      <c r="CX7" s="81"/>
      <c r="CY7" s="81">
        <v>6</v>
      </c>
      <c r="CZ7" s="81">
        <v>5</v>
      </c>
      <c r="DA7" s="81">
        <v>7</v>
      </c>
      <c r="DB7" s="81">
        <v>7</v>
      </c>
      <c r="DC7" s="81">
        <v>6</v>
      </c>
      <c r="DD7" s="81">
        <v>7</v>
      </c>
      <c r="DE7" s="81">
        <v>3</v>
      </c>
      <c r="DF7" s="81"/>
      <c r="DG7" s="81">
        <v>6</v>
      </c>
      <c r="DH7" s="81">
        <v>8</v>
      </c>
      <c r="DI7" s="81"/>
      <c r="DJ7" s="81">
        <v>7</v>
      </c>
      <c r="DK7" s="81">
        <v>8</v>
      </c>
      <c r="DL7" s="81">
        <v>2</v>
      </c>
      <c r="DM7" s="81">
        <v>7</v>
      </c>
      <c r="DN7" s="81">
        <v>6</v>
      </c>
      <c r="DO7" s="81">
        <v>6</v>
      </c>
      <c r="DP7" s="81"/>
      <c r="DQ7" s="81">
        <v>6</v>
      </c>
      <c r="DR7" s="81">
        <v>5</v>
      </c>
      <c r="DS7" s="81">
        <v>5</v>
      </c>
      <c r="DT7" s="81">
        <v>6</v>
      </c>
      <c r="DU7" s="81">
        <v>6</v>
      </c>
      <c r="DV7" s="81">
        <v>7</v>
      </c>
      <c r="DW7" s="81">
        <v>8</v>
      </c>
      <c r="DX7" s="81"/>
      <c r="DY7" s="81">
        <v>7</v>
      </c>
      <c r="DZ7" s="81">
        <v>3</v>
      </c>
      <c r="EA7" s="81">
        <v>6</v>
      </c>
      <c r="EB7" s="81">
        <v>6</v>
      </c>
      <c r="EC7" s="81">
        <v>5</v>
      </c>
      <c r="ED7" s="81">
        <v>2</v>
      </c>
      <c r="EE7" s="81">
        <v>5</v>
      </c>
      <c r="EF7" s="81">
        <v>4</v>
      </c>
      <c r="EG7" s="81">
        <v>1</v>
      </c>
      <c r="EH7" s="81">
        <v>6</v>
      </c>
      <c r="EI7" s="81">
        <v>8</v>
      </c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</row>
    <row r="8" spans="1:157" ht="20.100000000000001" customHeight="1">
      <c r="A8" s="289"/>
      <c r="B8" s="250" t="s">
        <v>14</v>
      </c>
      <c r="C8" s="244" t="str">
        <f>Master!B8</f>
        <v>C6 - Raw Agri (Millets)</v>
      </c>
      <c r="D8" s="3">
        <f>Master!C8</f>
        <v>16</v>
      </c>
      <c r="E8" s="29">
        <v>13</v>
      </c>
      <c r="F8" s="4">
        <v>14</v>
      </c>
      <c r="G8" s="4">
        <v>20</v>
      </c>
      <c r="H8" s="4">
        <v>16</v>
      </c>
      <c r="I8" s="4">
        <v>14</v>
      </c>
      <c r="J8" s="4">
        <v>15</v>
      </c>
      <c r="K8" s="4"/>
      <c r="L8" s="4">
        <v>12</v>
      </c>
      <c r="M8" s="4">
        <v>13</v>
      </c>
      <c r="N8" s="4">
        <v>20</v>
      </c>
      <c r="O8" s="4">
        <v>17</v>
      </c>
      <c r="P8" s="4">
        <v>13</v>
      </c>
      <c r="Q8" s="4">
        <v>14</v>
      </c>
      <c r="R8" s="4"/>
      <c r="S8" s="4">
        <v>15</v>
      </c>
      <c r="T8" s="4">
        <v>9</v>
      </c>
      <c r="U8" s="4">
        <v>14</v>
      </c>
      <c r="V8" s="4">
        <v>6</v>
      </c>
      <c r="W8" s="4">
        <v>10</v>
      </c>
      <c r="X8" s="4">
        <v>11</v>
      </c>
      <c r="Y8" s="4"/>
      <c r="Z8" s="4">
        <v>11</v>
      </c>
      <c r="AA8" s="4">
        <v>16</v>
      </c>
      <c r="AB8" s="4">
        <v>20</v>
      </c>
      <c r="AC8" s="4">
        <v>22</v>
      </c>
      <c r="AD8" s="4">
        <v>17</v>
      </c>
      <c r="AE8" s="4">
        <v>16</v>
      </c>
      <c r="AF8" s="4">
        <v>14</v>
      </c>
      <c r="AG8" s="4"/>
      <c r="AH8" s="88">
        <v>18</v>
      </c>
      <c r="AI8" s="81">
        <v>17</v>
      </c>
      <c r="AJ8" s="81">
        <v>16</v>
      </c>
      <c r="AK8" s="81">
        <v>20</v>
      </c>
      <c r="AL8" s="81">
        <v>18</v>
      </c>
      <c r="AM8" s="81"/>
      <c r="AN8" s="81">
        <v>9</v>
      </c>
      <c r="AO8" s="81">
        <v>5</v>
      </c>
      <c r="AP8" s="81">
        <v>19</v>
      </c>
      <c r="AQ8" s="81">
        <v>14</v>
      </c>
      <c r="AR8" s="81">
        <v>12</v>
      </c>
      <c r="AS8" s="81">
        <v>12</v>
      </c>
      <c r="AT8" s="81"/>
      <c r="AU8" s="81">
        <v>8</v>
      </c>
      <c r="AV8" s="81">
        <v>10</v>
      </c>
      <c r="AW8" s="81">
        <v>10</v>
      </c>
      <c r="AX8" s="81">
        <v>10</v>
      </c>
      <c r="AY8" s="81">
        <v>5</v>
      </c>
      <c r="AZ8" s="81">
        <v>3</v>
      </c>
      <c r="BA8" s="81">
        <v>4</v>
      </c>
      <c r="BB8" s="81">
        <v>10</v>
      </c>
      <c r="BC8" s="81">
        <v>13</v>
      </c>
      <c r="BD8" s="81">
        <v>20</v>
      </c>
      <c r="BE8" s="81">
        <v>14</v>
      </c>
      <c r="BF8" s="81">
        <v>13</v>
      </c>
      <c r="BG8" s="81">
        <v>10</v>
      </c>
      <c r="BH8" s="81"/>
      <c r="BI8" s="81">
        <v>15</v>
      </c>
      <c r="BJ8" s="81">
        <v>13</v>
      </c>
      <c r="BK8" s="81">
        <v>12</v>
      </c>
      <c r="BL8" s="81">
        <v>12</v>
      </c>
      <c r="BM8" s="81">
        <v>19</v>
      </c>
      <c r="BN8" s="81">
        <v>21</v>
      </c>
      <c r="BO8" s="81"/>
      <c r="BP8" s="81">
        <v>25</v>
      </c>
      <c r="BQ8" s="81">
        <v>18</v>
      </c>
      <c r="BR8" s="81">
        <v>21</v>
      </c>
      <c r="BS8" s="81"/>
      <c r="BT8" s="81">
        <v>20</v>
      </c>
      <c r="BU8" s="81">
        <v>19</v>
      </c>
      <c r="BV8" s="81">
        <v>15</v>
      </c>
      <c r="BW8" s="81">
        <v>21</v>
      </c>
      <c r="BX8" s="81">
        <v>15</v>
      </c>
      <c r="BY8" s="81">
        <v>23</v>
      </c>
      <c r="BZ8" s="81">
        <v>21</v>
      </c>
      <c r="CA8" s="81">
        <v>23</v>
      </c>
      <c r="CB8" s="81"/>
      <c r="CC8" s="81">
        <v>23</v>
      </c>
      <c r="CD8" s="81">
        <v>14</v>
      </c>
      <c r="CE8" s="81">
        <v>26</v>
      </c>
      <c r="CF8" s="81">
        <v>23</v>
      </c>
      <c r="CG8" s="81">
        <v>8</v>
      </c>
      <c r="CH8" s="81">
        <v>18</v>
      </c>
      <c r="CI8" s="81">
        <v>8</v>
      </c>
      <c r="CJ8" s="81"/>
      <c r="CK8" s="81">
        <v>20</v>
      </c>
      <c r="CL8" s="81">
        <v>16</v>
      </c>
      <c r="CM8" s="81">
        <v>17</v>
      </c>
      <c r="CN8" s="81">
        <v>24</v>
      </c>
      <c r="CO8" s="81">
        <v>9</v>
      </c>
      <c r="CP8" s="81">
        <v>17</v>
      </c>
      <c r="CQ8" s="81"/>
      <c r="CR8" s="81">
        <v>21</v>
      </c>
      <c r="CS8" s="81">
        <v>15</v>
      </c>
      <c r="CT8" s="81">
        <v>20</v>
      </c>
      <c r="CU8" s="81">
        <v>19</v>
      </c>
      <c r="CV8" s="81">
        <v>22</v>
      </c>
      <c r="CW8" s="81">
        <v>16</v>
      </c>
      <c r="CX8" s="81"/>
      <c r="CY8" s="81">
        <v>19</v>
      </c>
      <c r="CZ8" s="81">
        <v>17</v>
      </c>
      <c r="DA8" s="81">
        <v>19</v>
      </c>
      <c r="DB8" s="81">
        <v>18</v>
      </c>
      <c r="DC8" s="81">
        <v>15</v>
      </c>
      <c r="DD8" s="81">
        <v>17</v>
      </c>
      <c r="DE8" s="81"/>
      <c r="DF8" s="81"/>
      <c r="DG8" s="81">
        <v>19</v>
      </c>
      <c r="DH8" s="81">
        <v>18</v>
      </c>
      <c r="DI8" s="81"/>
      <c r="DJ8" s="81">
        <v>14</v>
      </c>
      <c r="DK8" s="81">
        <v>15</v>
      </c>
      <c r="DL8" s="81">
        <v>0</v>
      </c>
      <c r="DM8" s="81">
        <v>16</v>
      </c>
      <c r="DN8" s="81">
        <v>18</v>
      </c>
      <c r="DO8" s="81">
        <v>17</v>
      </c>
      <c r="DP8" s="81"/>
      <c r="DQ8" s="81">
        <v>19</v>
      </c>
      <c r="DR8" s="81">
        <v>17</v>
      </c>
      <c r="DS8" s="81">
        <v>12</v>
      </c>
      <c r="DT8" s="81">
        <v>18</v>
      </c>
      <c r="DU8" s="81">
        <v>17</v>
      </c>
      <c r="DV8" s="81">
        <v>18</v>
      </c>
      <c r="DW8" s="81">
        <v>19</v>
      </c>
      <c r="DX8" s="81"/>
      <c r="DY8" s="81">
        <v>23</v>
      </c>
      <c r="DZ8" s="81"/>
      <c r="EA8" s="81">
        <v>18</v>
      </c>
      <c r="EB8" s="81">
        <v>18</v>
      </c>
      <c r="EC8" s="81">
        <v>15</v>
      </c>
      <c r="ED8" s="81"/>
      <c r="EE8" s="81">
        <v>14</v>
      </c>
      <c r="EF8" s="81">
        <v>11</v>
      </c>
      <c r="EG8" s="81">
        <v>7</v>
      </c>
      <c r="EH8" s="81">
        <v>21</v>
      </c>
      <c r="EI8" s="81">
        <v>22</v>
      </c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</row>
    <row r="9" spans="1:157" ht="20.100000000000001" customHeight="1">
      <c r="A9" s="289"/>
      <c r="B9" s="250" t="s">
        <v>17</v>
      </c>
      <c r="C9" s="244" t="str">
        <f>Master!B9</f>
        <v>C39 - Honey / all Spices</v>
      </c>
      <c r="D9" s="3">
        <f>Master!C9</f>
        <v>22</v>
      </c>
      <c r="E9" s="29">
        <v>10</v>
      </c>
      <c r="F9" s="4">
        <v>7</v>
      </c>
      <c r="G9" s="4">
        <v>13</v>
      </c>
      <c r="H9" s="4">
        <v>11</v>
      </c>
      <c r="I9" s="4">
        <v>8</v>
      </c>
      <c r="J9" s="4">
        <v>10</v>
      </c>
      <c r="K9" s="4"/>
      <c r="L9" s="4">
        <v>16</v>
      </c>
      <c r="M9" s="4">
        <v>7</v>
      </c>
      <c r="N9" s="4">
        <v>16</v>
      </c>
      <c r="O9" s="4">
        <v>16</v>
      </c>
      <c r="P9" s="4">
        <v>21</v>
      </c>
      <c r="Q9" s="4">
        <v>10</v>
      </c>
      <c r="R9" s="4"/>
      <c r="S9" s="4">
        <v>10</v>
      </c>
      <c r="T9" s="4">
        <v>13</v>
      </c>
      <c r="U9" s="4">
        <v>13</v>
      </c>
      <c r="V9" s="4">
        <v>12</v>
      </c>
      <c r="W9" s="4">
        <v>10</v>
      </c>
      <c r="X9" s="4">
        <v>13</v>
      </c>
      <c r="Y9" s="4"/>
      <c r="Z9" s="4">
        <v>10</v>
      </c>
      <c r="AA9" s="4">
        <v>9</v>
      </c>
      <c r="AB9" s="4">
        <v>14</v>
      </c>
      <c r="AC9" s="4">
        <v>11</v>
      </c>
      <c r="AD9" s="4">
        <v>16</v>
      </c>
      <c r="AE9" s="4">
        <v>10</v>
      </c>
      <c r="AF9" s="4">
        <v>8</v>
      </c>
      <c r="AG9" s="4"/>
      <c r="AH9" s="88">
        <v>6</v>
      </c>
      <c r="AI9" s="81">
        <v>8</v>
      </c>
      <c r="AJ9" s="81">
        <v>19</v>
      </c>
      <c r="AK9" s="81">
        <v>14</v>
      </c>
      <c r="AL9" s="81">
        <v>10</v>
      </c>
      <c r="AM9" s="81"/>
      <c r="AN9" s="81">
        <v>13</v>
      </c>
      <c r="AO9" s="81">
        <v>17</v>
      </c>
      <c r="AP9" s="81">
        <v>14</v>
      </c>
      <c r="AQ9" s="81">
        <v>13</v>
      </c>
      <c r="AR9" s="81">
        <v>15</v>
      </c>
      <c r="AS9" s="81">
        <v>11</v>
      </c>
      <c r="AT9" s="81"/>
      <c r="AU9" s="81">
        <v>10</v>
      </c>
      <c r="AV9" s="81">
        <v>12</v>
      </c>
      <c r="AW9" s="81">
        <v>16</v>
      </c>
      <c r="AX9" s="81">
        <v>14</v>
      </c>
      <c r="AY9" s="81">
        <v>15</v>
      </c>
      <c r="AZ9" s="81">
        <v>0</v>
      </c>
      <c r="BA9" s="81">
        <v>2</v>
      </c>
      <c r="BB9" s="81">
        <v>19</v>
      </c>
      <c r="BC9" s="81">
        <v>13</v>
      </c>
      <c r="BD9" s="81">
        <f>12+22</f>
        <v>34</v>
      </c>
      <c r="BE9" s="81">
        <v>14</v>
      </c>
      <c r="BF9" s="81">
        <v>11</v>
      </c>
      <c r="BG9" s="81">
        <v>11</v>
      </c>
      <c r="BH9" s="81"/>
      <c r="BI9" s="81">
        <v>9</v>
      </c>
      <c r="BJ9" s="81">
        <v>16</v>
      </c>
      <c r="BK9" s="81">
        <v>17</v>
      </c>
      <c r="BL9" s="81">
        <v>12</v>
      </c>
      <c r="BM9" s="81">
        <v>11</v>
      </c>
      <c r="BN9" s="81">
        <v>16</v>
      </c>
      <c r="BO9" s="81"/>
      <c r="BP9" s="81">
        <v>14</v>
      </c>
      <c r="BQ9" s="81">
        <v>10</v>
      </c>
      <c r="BR9" s="81">
        <v>15</v>
      </c>
      <c r="BS9" s="81"/>
      <c r="BT9" s="81">
        <v>10</v>
      </c>
      <c r="BU9" s="81">
        <v>13</v>
      </c>
      <c r="BV9" s="81">
        <v>10</v>
      </c>
      <c r="BW9" s="81">
        <v>9</v>
      </c>
      <c r="BX9" s="81">
        <v>9</v>
      </c>
      <c r="BY9" s="81">
        <v>18</v>
      </c>
      <c r="BZ9" s="81">
        <v>13</v>
      </c>
      <c r="CA9" s="81">
        <v>13</v>
      </c>
      <c r="CB9" s="81"/>
      <c r="CC9" s="81">
        <v>0</v>
      </c>
      <c r="CD9" s="81">
        <v>7</v>
      </c>
      <c r="CE9" s="81">
        <v>11</v>
      </c>
      <c r="CF9" s="81">
        <v>9</v>
      </c>
      <c r="CG9" s="81">
        <v>12</v>
      </c>
      <c r="CH9" s="81">
        <v>15</v>
      </c>
      <c r="CI9" s="81">
        <v>13</v>
      </c>
      <c r="CJ9" s="81"/>
      <c r="CK9" s="81">
        <v>16</v>
      </c>
      <c r="CL9" s="81">
        <v>15</v>
      </c>
      <c r="CM9" s="81">
        <v>15</v>
      </c>
      <c r="CN9" s="81">
        <v>12</v>
      </c>
      <c r="CO9" s="81">
        <v>12</v>
      </c>
      <c r="CP9" s="81">
        <v>9</v>
      </c>
      <c r="CQ9" s="81"/>
      <c r="CR9" s="81">
        <v>17</v>
      </c>
      <c r="CS9" s="81">
        <v>16</v>
      </c>
      <c r="CT9" s="81">
        <v>11</v>
      </c>
      <c r="CU9" s="81">
        <v>14</v>
      </c>
      <c r="CV9" s="81">
        <v>9</v>
      </c>
      <c r="CW9" s="81">
        <v>10</v>
      </c>
      <c r="CX9" s="81"/>
      <c r="CY9" s="81">
        <v>10</v>
      </c>
      <c r="CZ9" s="81">
        <v>14</v>
      </c>
      <c r="DA9" s="81">
        <v>17</v>
      </c>
      <c r="DB9" s="81">
        <v>14</v>
      </c>
      <c r="DC9" s="81">
        <v>17</v>
      </c>
      <c r="DD9" s="81">
        <v>15</v>
      </c>
      <c r="DE9" s="81">
        <v>8</v>
      </c>
      <c r="DF9" s="81"/>
      <c r="DG9" s="81">
        <v>18</v>
      </c>
      <c r="DH9" s="81">
        <v>15</v>
      </c>
      <c r="DI9" s="81"/>
      <c r="DJ9" s="81">
        <v>11</v>
      </c>
      <c r="DK9" s="81">
        <v>15</v>
      </c>
      <c r="DL9" s="81">
        <v>7</v>
      </c>
      <c r="DM9" s="81">
        <v>14</v>
      </c>
      <c r="DN9" s="81">
        <v>18</v>
      </c>
      <c r="DO9" s="81">
        <v>16</v>
      </c>
      <c r="DP9" s="81"/>
      <c r="DQ9" s="81">
        <v>14</v>
      </c>
      <c r="DR9" s="81">
        <v>14</v>
      </c>
      <c r="DS9" s="81">
        <v>10</v>
      </c>
      <c r="DT9" s="81">
        <v>16</v>
      </c>
      <c r="DU9" s="81">
        <v>18</v>
      </c>
      <c r="DV9" s="81">
        <v>15</v>
      </c>
      <c r="DW9" s="81">
        <v>19</v>
      </c>
      <c r="DX9" s="81"/>
      <c r="DY9" s="81">
        <v>18</v>
      </c>
      <c r="DZ9" s="81"/>
      <c r="EA9" s="81">
        <v>15</v>
      </c>
      <c r="EB9" s="81">
        <v>11</v>
      </c>
      <c r="EC9" s="81">
        <v>16</v>
      </c>
      <c r="ED9" s="81"/>
      <c r="EE9" s="81">
        <v>12</v>
      </c>
      <c r="EF9" s="81">
        <v>13</v>
      </c>
      <c r="EG9" s="81"/>
      <c r="EH9" s="81">
        <v>16</v>
      </c>
      <c r="EI9" s="81">
        <v>18</v>
      </c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</row>
    <row r="10" spans="1:157" ht="20.100000000000001" customHeight="1">
      <c r="A10" s="289"/>
      <c r="B10" s="250" t="s">
        <v>17</v>
      </c>
      <c r="C10" s="244" t="str">
        <f>Master!B10</f>
        <v>C39 - Jaggery</v>
      </c>
      <c r="D10" s="3">
        <f>Master!C10</f>
        <v>9</v>
      </c>
      <c r="E10" s="29">
        <v>16</v>
      </c>
      <c r="F10" s="4">
        <v>18</v>
      </c>
      <c r="G10" s="4">
        <v>10</v>
      </c>
      <c r="H10" s="4">
        <v>14</v>
      </c>
      <c r="I10" s="4">
        <v>12</v>
      </c>
      <c r="J10" s="4">
        <v>14</v>
      </c>
      <c r="K10" s="4"/>
      <c r="L10" s="4">
        <v>10</v>
      </c>
      <c r="M10" s="4">
        <v>16</v>
      </c>
      <c r="N10" s="4">
        <v>9</v>
      </c>
      <c r="O10" s="4">
        <v>8</v>
      </c>
      <c r="P10" s="4">
        <v>0</v>
      </c>
      <c r="Q10" s="4">
        <v>13</v>
      </c>
      <c r="R10" s="4"/>
      <c r="S10" s="4">
        <v>14</v>
      </c>
      <c r="T10" s="4">
        <v>15</v>
      </c>
      <c r="U10" s="4">
        <v>15</v>
      </c>
      <c r="V10" s="4">
        <v>15</v>
      </c>
      <c r="W10" s="4">
        <v>15</v>
      </c>
      <c r="X10" s="4">
        <v>12</v>
      </c>
      <c r="Y10" s="4"/>
      <c r="Z10" s="4">
        <v>15</v>
      </c>
      <c r="AA10" s="4">
        <v>13</v>
      </c>
      <c r="AB10" s="4">
        <v>12</v>
      </c>
      <c r="AC10" s="4">
        <v>13</v>
      </c>
      <c r="AD10" s="4">
        <v>8</v>
      </c>
      <c r="AE10" s="4">
        <v>15</v>
      </c>
      <c r="AF10" s="4">
        <v>13</v>
      </c>
      <c r="AG10" s="4"/>
      <c r="AH10" s="88">
        <v>17</v>
      </c>
      <c r="AI10" s="81">
        <v>20</v>
      </c>
      <c r="AJ10" s="81">
        <v>12</v>
      </c>
      <c r="AK10" s="81">
        <v>17</v>
      </c>
      <c r="AL10" s="81">
        <v>19</v>
      </c>
      <c r="AM10" s="81"/>
      <c r="AN10" s="81">
        <v>14</v>
      </c>
      <c r="AO10" s="81">
        <v>10</v>
      </c>
      <c r="AP10" s="81">
        <v>15</v>
      </c>
      <c r="AQ10" s="81">
        <v>16</v>
      </c>
      <c r="AR10" s="81">
        <v>12</v>
      </c>
      <c r="AS10" s="81">
        <v>17</v>
      </c>
      <c r="AT10" s="81"/>
      <c r="AU10" s="81">
        <v>16</v>
      </c>
      <c r="AV10" s="81">
        <v>17</v>
      </c>
      <c r="AW10" s="81">
        <v>13</v>
      </c>
      <c r="AX10" s="81">
        <v>15</v>
      </c>
      <c r="AY10" s="81">
        <v>13</v>
      </c>
      <c r="AZ10" s="81">
        <v>2</v>
      </c>
      <c r="BA10" s="81">
        <v>3</v>
      </c>
      <c r="BB10" s="81">
        <v>15</v>
      </c>
      <c r="BC10" s="81">
        <v>15</v>
      </c>
      <c r="BD10" s="81">
        <v>16</v>
      </c>
      <c r="BE10" s="81">
        <v>14</v>
      </c>
      <c r="BF10" s="81">
        <v>17</v>
      </c>
      <c r="BG10" s="81">
        <v>15</v>
      </c>
      <c r="BH10" s="81"/>
      <c r="BI10" s="81">
        <v>13</v>
      </c>
      <c r="BJ10" s="81">
        <v>11</v>
      </c>
      <c r="BK10" s="81">
        <v>11</v>
      </c>
      <c r="BL10" s="81">
        <v>20</v>
      </c>
      <c r="BM10" s="81">
        <f>16+2</f>
        <v>18</v>
      </c>
      <c r="BN10" s="81">
        <v>14</v>
      </c>
      <c r="BO10" s="81">
        <v>5</v>
      </c>
      <c r="BP10" s="81">
        <v>15</v>
      </c>
      <c r="BQ10" s="81">
        <v>12</v>
      </c>
      <c r="BR10" s="81">
        <v>14</v>
      </c>
      <c r="BS10" s="81"/>
      <c r="BT10" s="81">
        <v>16</v>
      </c>
      <c r="BU10" s="81">
        <v>15</v>
      </c>
      <c r="BV10" s="81">
        <v>14</v>
      </c>
      <c r="BW10" s="81">
        <v>19</v>
      </c>
      <c r="BX10" s="81">
        <v>14</v>
      </c>
      <c r="BY10" s="81">
        <v>10</v>
      </c>
      <c r="BZ10" s="81">
        <v>17</v>
      </c>
      <c r="CA10" s="81">
        <v>15</v>
      </c>
      <c r="CB10" s="81"/>
      <c r="CC10" s="81">
        <v>0</v>
      </c>
      <c r="CD10" s="81">
        <v>14</v>
      </c>
      <c r="CE10" s="81">
        <v>15</v>
      </c>
      <c r="CF10" s="81">
        <v>19</v>
      </c>
      <c r="CG10" s="81">
        <v>15</v>
      </c>
      <c r="CH10" s="81">
        <v>15</v>
      </c>
      <c r="CI10" s="81">
        <v>18</v>
      </c>
      <c r="CJ10" s="81"/>
      <c r="CK10" s="81">
        <v>15</v>
      </c>
      <c r="CL10" s="81">
        <v>16</v>
      </c>
      <c r="CM10" s="81">
        <v>14</v>
      </c>
      <c r="CN10" s="81">
        <v>16</v>
      </c>
      <c r="CO10" s="81">
        <v>15</v>
      </c>
      <c r="CP10" s="81">
        <v>14</v>
      </c>
      <c r="CQ10" s="81"/>
      <c r="CR10" s="81">
        <v>11</v>
      </c>
      <c r="CS10" s="81">
        <v>11</v>
      </c>
      <c r="CT10" s="81">
        <v>18</v>
      </c>
      <c r="CU10" s="81">
        <v>15</v>
      </c>
      <c r="CV10" s="81">
        <v>20</v>
      </c>
      <c r="CW10" s="81"/>
      <c r="CX10" s="81"/>
      <c r="CY10" s="81">
        <v>18</v>
      </c>
      <c r="CZ10" s="81">
        <v>16</v>
      </c>
      <c r="DA10" s="81">
        <v>17</v>
      </c>
      <c r="DB10" s="81">
        <v>17</v>
      </c>
      <c r="DC10" s="81">
        <v>16</v>
      </c>
      <c r="DD10" s="81">
        <v>19</v>
      </c>
      <c r="DE10" s="81">
        <v>8</v>
      </c>
      <c r="DF10" s="81"/>
      <c r="DG10" s="81">
        <v>16</v>
      </c>
      <c r="DH10" s="81">
        <v>14</v>
      </c>
      <c r="DI10" s="81"/>
      <c r="DJ10" s="81">
        <v>9</v>
      </c>
      <c r="DK10" s="81">
        <v>14</v>
      </c>
      <c r="DL10" s="81">
        <v>12</v>
      </c>
      <c r="DM10" s="81">
        <v>13</v>
      </c>
      <c r="DN10" s="81">
        <v>16</v>
      </c>
      <c r="DO10" s="81">
        <v>17</v>
      </c>
      <c r="DP10" s="81"/>
      <c r="DQ10" s="81">
        <v>17</v>
      </c>
      <c r="DR10" s="81">
        <v>19</v>
      </c>
      <c r="DS10" s="81">
        <v>13</v>
      </c>
      <c r="DT10" s="81">
        <v>15</v>
      </c>
      <c r="DU10" s="81">
        <v>15</v>
      </c>
      <c r="DV10" s="81">
        <v>20</v>
      </c>
      <c r="DW10" s="81">
        <v>14</v>
      </c>
      <c r="DX10" s="81"/>
      <c r="DY10" s="81">
        <v>15</v>
      </c>
      <c r="DZ10" s="81">
        <v>15</v>
      </c>
      <c r="EA10" s="81">
        <v>17</v>
      </c>
      <c r="EB10" s="81">
        <v>16</v>
      </c>
      <c r="EC10" s="81">
        <v>15</v>
      </c>
      <c r="ED10" s="81"/>
      <c r="EE10" s="81">
        <v>17</v>
      </c>
      <c r="EF10" s="81">
        <v>20</v>
      </c>
      <c r="EG10" s="81"/>
      <c r="EH10" s="81">
        <v>19</v>
      </c>
      <c r="EI10" s="81">
        <v>19</v>
      </c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</row>
    <row r="11" spans="1:157" ht="20.100000000000001" customHeight="1">
      <c r="A11" s="289"/>
      <c r="B11" s="250" t="s">
        <v>17</v>
      </c>
      <c r="C11" s="244" t="str">
        <f>Master!B11</f>
        <v>C39 - Atta</v>
      </c>
      <c r="D11" s="3">
        <f>Master!C11</f>
        <v>22</v>
      </c>
      <c r="E11" s="29">
        <v>29</v>
      </c>
      <c r="F11" s="4">
        <v>26</v>
      </c>
      <c r="G11" s="4">
        <v>30</v>
      </c>
      <c r="H11" s="4">
        <v>29</v>
      </c>
      <c r="I11" s="4">
        <v>25</v>
      </c>
      <c r="J11" s="4">
        <v>25</v>
      </c>
      <c r="K11" s="4"/>
      <c r="L11" s="4">
        <v>25</v>
      </c>
      <c r="M11" s="4">
        <v>27</v>
      </c>
      <c r="N11" s="4">
        <v>23</v>
      </c>
      <c r="O11" s="4">
        <v>22</v>
      </c>
      <c r="P11" s="4">
        <v>24</v>
      </c>
      <c r="Q11" s="4">
        <v>18</v>
      </c>
      <c r="R11" s="4"/>
      <c r="S11" s="4">
        <v>23</v>
      </c>
      <c r="T11" s="4">
        <v>29</v>
      </c>
      <c r="U11" s="4">
        <v>30</v>
      </c>
      <c r="V11" s="4">
        <v>26</v>
      </c>
      <c r="W11" s="4">
        <v>25</v>
      </c>
      <c r="X11" s="4">
        <v>9</v>
      </c>
      <c r="Y11" s="4"/>
      <c r="Z11" s="4">
        <v>30</v>
      </c>
      <c r="AA11" s="4">
        <v>22</v>
      </c>
      <c r="AB11" s="4">
        <v>26</v>
      </c>
      <c r="AC11" s="4">
        <v>24</v>
      </c>
      <c r="AD11" s="4">
        <v>20</v>
      </c>
      <c r="AE11" s="4">
        <v>18</v>
      </c>
      <c r="AF11" s="4">
        <v>23</v>
      </c>
      <c r="AG11" s="4">
        <v>3</v>
      </c>
      <c r="AH11" s="88">
        <v>26</v>
      </c>
      <c r="AI11" s="81">
        <v>26</v>
      </c>
      <c r="AJ11" s="81">
        <v>25</v>
      </c>
      <c r="AK11" s="81">
        <v>23</v>
      </c>
      <c r="AL11" s="81">
        <v>27</v>
      </c>
      <c r="AM11" s="81"/>
      <c r="AN11" s="81">
        <v>24</v>
      </c>
      <c r="AO11" s="81">
        <v>27</v>
      </c>
      <c r="AP11" s="81">
        <f>27</f>
        <v>27</v>
      </c>
      <c r="AQ11" s="81">
        <v>17</v>
      </c>
      <c r="AR11" s="81">
        <v>21</v>
      </c>
      <c r="AS11" s="81">
        <f>29+15</f>
        <v>44</v>
      </c>
      <c r="AT11" s="81">
        <v>9</v>
      </c>
      <c r="AU11" s="81">
        <v>24</v>
      </c>
      <c r="AV11" s="81">
        <f>30</f>
        <v>30</v>
      </c>
      <c r="AW11" s="81">
        <f>27</f>
        <v>27</v>
      </c>
      <c r="AX11" s="81">
        <f>33</f>
        <v>33</v>
      </c>
      <c r="AY11" s="81">
        <f>29</f>
        <v>29</v>
      </c>
      <c r="AZ11" s="81">
        <f>4+16</f>
        <v>20</v>
      </c>
      <c r="BA11" s="81">
        <v>16</v>
      </c>
      <c r="BB11" s="81">
        <v>24</v>
      </c>
      <c r="BC11" s="81">
        <f>26</f>
        <v>26</v>
      </c>
      <c r="BD11" s="81">
        <v>24</v>
      </c>
      <c r="BE11" s="81">
        <f>31</f>
        <v>31</v>
      </c>
      <c r="BF11" s="81">
        <v>34</v>
      </c>
      <c r="BG11" s="81">
        <v>31</v>
      </c>
      <c r="BH11" s="81">
        <v>9</v>
      </c>
      <c r="BI11" s="81">
        <v>25</v>
      </c>
      <c r="BJ11" s="81">
        <f>31</f>
        <v>31</v>
      </c>
      <c r="BK11" s="81">
        <v>26</v>
      </c>
      <c r="BL11" s="81">
        <v>23</v>
      </c>
      <c r="BM11" s="81">
        <v>19</v>
      </c>
      <c r="BN11" s="81">
        <v>28</v>
      </c>
      <c r="BO11" s="81"/>
      <c r="BP11" s="81">
        <v>24</v>
      </c>
      <c r="BQ11" s="81">
        <v>27</v>
      </c>
      <c r="BR11" s="81">
        <v>27</v>
      </c>
      <c r="BS11" s="81">
        <v>17</v>
      </c>
      <c r="BT11" s="81">
        <v>32</v>
      </c>
      <c r="BU11" s="81">
        <v>28</v>
      </c>
      <c r="BV11" s="81">
        <v>19</v>
      </c>
      <c r="BW11" s="81">
        <v>26</v>
      </c>
      <c r="BX11" s="81">
        <v>22</v>
      </c>
      <c r="BY11" s="81">
        <v>25</v>
      </c>
      <c r="BZ11" s="81">
        <v>21</v>
      </c>
      <c r="CA11" s="81">
        <v>24</v>
      </c>
      <c r="CB11" s="81"/>
      <c r="CC11" s="81">
        <v>10</v>
      </c>
      <c r="CD11" s="81">
        <v>22</v>
      </c>
      <c r="CE11" s="81">
        <v>27</v>
      </c>
      <c r="CF11" s="81">
        <v>21</v>
      </c>
      <c r="CG11" s="81">
        <v>21</v>
      </c>
      <c r="CH11" s="81">
        <v>19</v>
      </c>
      <c r="CI11" s="81">
        <v>19</v>
      </c>
      <c r="CJ11" s="81">
        <v>13</v>
      </c>
      <c r="CK11" s="81">
        <v>19</v>
      </c>
      <c r="CL11" s="81">
        <v>18</v>
      </c>
      <c r="CM11" s="81">
        <v>19</v>
      </c>
      <c r="CN11" s="81">
        <f>18+7</f>
        <v>25</v>
      </c>
      <c r="CO11" s="81">
        <v>18</v>
      </c>
      <c r="CP11" s="81">
        <v>22</v>
      </c>
      <c r="CQ11" s="81">
        <v>9</v>
      </c>
      <c r="CR11" s="81">
        <v>21</v>
      </c>
      <c r="CS11" s="81">
        <v>25</v>
      </c>
      <c r="CT11" s="81">
        <v>23</v>
      </c>
      <c r="CU11" s="81">
        <v>17</v>
      </c>
      <c r="CV11" s="81">
        <v>18</v>
      </c>
      <c r="CW11" s="81">
        <v>17</v>
      </c>
      <c r="CX11" s="81">
        <v>11</v>
      </c>
      <c r="CY11" s="81">
        <v>22</v>
      </c>
      <c r="CZ11" s="81">
        <v>12</v>
      </c>
      <c r="DA11" s="81">
        <v>12</v>
      </c>
      <c r="DB11" s="81">
        <v>13</v>
      </c>
      <c r="DC11" s="81">
        <v>16</v>
      </c>
      <c r="DD11" s="81">
        <v>15</v>
      </c>
      <c r="DE11" s="81">
        <v>9</v>
      </c>
      <c r="DF11" s="81"/>
      <c r="DG11" s="81">
        <v>8</v>
      </c>
      <c r="DH11" s="81">
        <v>12</v>
      </c>
      <c r="DI11" s="81">
        <v>18</v>
      </c>
      <c r="DJ11" s="81">
        <v>13</v>
      </c>
      <c r="DK11" s="81">
        <v>14</v>
      </c>
      <c r="DL11" s="81">
        <v>15</v>
      </c>
      <c r="DM11" s="81">
        <v>15</v>
      </c>
      <c r="DN11" s="81">
        <v>11</v>
      </c>
      <c r="DO11" s="81">
        <v>9</v>
      </c>
      <c r="DP11" s="81">
        <v>12</v>
      </c>
      <c r="DQ11" s="81">
        <v>11</v>
      </c>
      <c r="DR11" s="81">
        <v>13</v>
      </c>
      <c r="DS11" s="81">
        <v>4</v>
      </c>
      <c r="DT11" s="81">
        <v>12</v>
      </c>
      <c r="DU11" s="81">
        <v>12</v>
      </c>
      <c r="DV11" s="81">
        <v>11</v>
      </c>
      <c r="DW11" s="81">
        <v>13</v>
      </c>
      <c r="DX11" s="81"/>
      <c r="DY11" s="81">
        <v>14</v>
      </c>
      <c r="DZ11" s="81">
        <v>13</v>
      </c>
      <c r="EA11" s="81">
        <v>10</v>
      </c>
      <c r="EB11" s="81">
        <v>17</v>
      </c>
      <c r="EC11" s="81">
        <v>10</v>
      </c>
      <c r="ED11" s="81">
        <v>12</v>
      </c>
      <c r="EE11" s="81">
        <v>12</v>
      </c>
      <c r="EF11" s="81">
        <v>10</v>
      </c>
      <c r="EG11" s="81">
        <v>11</v>
      </c>
      <c r="EH11" s="81">
        <v>10</v>
      </c>
      <c r="EI11" s="81">
        <v>9</v>
      </c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</row>
    <row r="12" spans="1:157" ht="20.100000000000001" customHeight="1">
      <c r="A12" s="289"/>
      <c r="B12" s="250" t="s">
        <v>14</v>
      </c>
      <c r="C12" s="244" t="str">
        <f>Master!B12</f>
        <v>C6 - Atta - 1</v>
      </c>
      <c r="D12" s="3">
        <f>Master!C12</f>
        <v>14</v>
      </c>
      <c r="E12" s="29">
        <v>13</v>
      </c>
      <c r="F12" s="4">
        <v>8</v>
      </c>
      <c r="G12" s="4">
        <v>11</v>
      </c>
      <c r="H12" s="4">
        <v>10</v>
      </c>
      <c r="I12" s="4">
        <v>4</v>
      </c>
      <c r="J12" s="4">
        <v>8</v>
      </c>
      <c r="K12" s="4"/>
      <c r="L12" s="4">
        <v>10</v>
      </c>
      <c r="M12" s="4">
        <v>10</v>
      </c>
      <c r="N12" s="4">
        <v>12</v>
      </c>
      <c r="O12" s="4">
        <v>11</v>
      </c>
      <c r="P12" s="4">
        <v>13</v>
      </c>
      <c r="Q12" s="4">
        <v>15</v>
      </c>
      <c r="R12" s="4"/>
      <c r="S12" s="4">
        <v>14</v>
      </c>
      <c r="T12" s="4">
        <v>16</v>
      </c>
      <c r="U12" s="4">
        <v>15</v>
      </c>
      <c r="V12" s="4">
        <v>11</v>
      </c>
      <c r="W12" s="4">
        <v>12</v>
      </c>
      <c r="X12" s="4">
        <v>11</v>
      </c>
      <c r="Y12" s="4"/>
      <c r="Z12" s="4">
        <v>9</v>
      </c>
      <c r="AA12" s="4">
        <v>9</v>
      </c>
      <c r="AB12" s="4">
        <v>13</v>
      </c>
      <c r="AC12" s="4">
        <v>5</v>
      </c>
      <c r="AD12" s="4">
        <v>10</v>
      </c>
      <c r="AE12" s="4">
        <v>7</v>
      </c>
      <c r="AF12" s="4">
        <v>9</v>
      </c>
      <c r="AG12" s="4"/>
      <c r="AH12" s="88">
        <v>8</v>
      </c>
      <c r="AI12" s="81">
        <v>11</v>
      </c>
      <c r="AJ12" s="81">
        <v>12</v>
      </c>
      <c r="AK12" s="81">
        <v>9</v>
      </c>
      <c r="AL12" s="81">
        <v>11</v>
      </c>
      <c r="AM12" s="81">
        <v>2</v>
      </c>
      <c r="AN12" s="81">
        <v>9</v>
      </c>
      <c r="AO12" s="81">
        <v>8</v>
      </c>
      <c r="AP12" s="81">
        <v>6</v>
      </c>
      <c r="AQ12" s="81">
        <v>21</v>
      </c>
      <c r="AR12" s="81">
        <v>5</v>
      </c>
      <c r="AS12" s="81">
        <v>2</v>
      </c>
      <c r="AT12" s="81"/>
      <c r="AU12" s="81">
        <v>14</v>
      </c>
      <c r="AV12" s="81">
        <v>12</v>
      </c>
      <c r="AW12" s="81">
        <v>8</v>
      </c>
      <c r="AX12" s="81">
        <v>13</v>
      </c>
      <c r="AY12" s="81">
        <v>17</v>
      </c>
      <c r="AZ12" s="81">
        <v>1</v>
      </c>
      <c r="BA12" s="81">
        <v>7</v>
      </c>
      <c r="BB12" s="81">
        <v>5</v>
      </c>
      <c r="BC12" s="81">
        <v>5</v>
      </c>
      <c r="BD12" s="81">
        <v>0</v>
      </c>
      <c r="BE12" s="81">
        <v>11</v>
      </c>
      <c r="BF12" s="81">
        <v>11</v>
      </c>
      <c r="BG12" s="81">
        <v>9</v>
      </c>
      <c r="BH12" s="81"/>
      <c r="BI12" s="81">
        <v>11</v>
      </c>
      <c r="BJ12" s="81">
        <f>7+12</f>
        <v>19</v>
      </c>
      <c r="BK12" s="81">
        <f>10+12</f>
        <v>22</v>
      </c>
      <c r="BL12" s="81">
        <v>9</v>
      </c>
      <c r="BM12" s="81">
        <f>12+12</f>
        <v>24</v>
      </c>
      <c r="BN12" s="81">
        <v>13</v>
      </c>
      <c r="BO12" s="81"/>
      <c r="BP12" s="81">
        <v>12</v>
      </c>
      <c r="BQ12" s="81">
        <v>14</v>
      </c>
      <c r="BR12" s="81">
        <v>18</v>
      </c>
      <c r="BS12" s="81"/>
      <c r="BT12" s="81">
        <v>18</v>
      </c>
      <c r="BU12" s="81">
        <v>20</v>
      </c>
      <c r="BV12" s="81">
        <v>9</v>
      </c>
      <c r="BW12" s="81">
        <v>19</v>
      </c>
      <c r="BX12" s="81">
        <v>11</v>
      </c>
      <c r="BY12" s="81">
        <v>19</v>
      </c>
      <c r="BZ12" s="81">
        <v>13</v>
      </c>
      <c r="CA12" s="81">
        <v>20</v>
      </c>
      <c r="CB12" s="81"/>
      <c r="CC12" s="81">
        <v>0</v>
      </c>
      <c r="CD12" s="81">
        <v>9</v>
      </c>
      <c r="CE12" s="81">
        <v>12</v>
      </c>
      <c r="CF12" s="81">
        <v>11</v>
      </c>
      <c r="CG12" s="81">
        <v>21</v>
      </c>
      <c r="CH12" s="81">
        <v>14</v>
      </c>
      <c r="CI12" s="81">
        <v>15</v>
      </c>
      <c r="CJ12" s="81"/>
      <c r="CK12" s="81">
        <v>14</v>
      </c>
      <c r="CL12" s="81">
        <v>16</v>
      </c>
      <c r="CM12" s="81">
        <v>14</v>
      </c>
      <c r="CN12" s="81">
        <v>17</v>
      </c>
      <c r="CO12" s="81">
        <v>11</v>
      </c>
      <c r="CP12" s="81">
        <v>11</v>
      </c>
      <c r="CQ12" s="81"/>
      <c r="CR12" s="81">
        <v>13</v>
      </c>
      <c r="CS12" s="81">
        <v>21</v>
      </c>
      <c r="CT12" s="81">
        <v>19</v>
      </c>
      <c r="CU12" s="81">
        <v>18</v>
      </c>
      <c r="CV12" s="81">
        <v>17</v>
      </c>
      <c r="CW12" s="81">
        <v>15</v>
      </c>
      <c r="CX12" s="81"/>
      <c r="CY12" s="81">
        <v>15</v>
      </c>
      <c r="CZ12" s="81">
        <v>16</v>
      </c>
      <c r="DA12" s="81">
        <v>15</v>
      </c>
      <c r="DB12" s="81">
        <v>20</v>
      </c>
      <c r="DC12" s="81">
        <v>15</v>
      </c>
      <c r="DD12" s="81">
        <v>18</v>
      </c>
      <c r="DE12" s="81"/>
      <c r="DF12" s="81"/>
      <c r="DG12" s="81">
        <v>15</v>
      </c>
      <c r="DH12" s="81">
        <v>17</v>
      </c>
      <c r="DI12" s="81">
        <v>6</v>
      </c>
      <c r="DJ12" s="81">
        <v>17</v>
      </c>
      <c r="DK12" s="81">
        <v>18</v>
      </c>
      <c r="DL12" s="81">
        <v>0</v>
      </c>
      <c r="DM12" s="81">
        <v>16</v>
      </c>
      <c r="DN12" s="81">
        <v>18</v>
      </c>
      <c r="DO12" s="81">
        <v>18</v>
      </c>
      <c r="DP12" s="81"/>
      <c r="DQ12" s="81">
        <v>15</v>
      </c>
      <c r="DR12" s="81">
        <v>14</v>
      </c>
      <c r="DS12" s="81">
        <v>12</v>
      </c>
      <c r="DT12" s="81">
        <v>17</v>
      </c>
      <c r="DU12" s="81">
        <v>18</v>
      </c>
      <c r="DV12" s="81">
        <v>16</v>
      </c>
      <c r="DW12" s="81">
        <v>17</v>
      </c>
      <c r="DX12" s="81"/>
      <c r="DY12" s="81">
        <v>16</v>
      </c>
      <c r="DZ12" s="81"/>
      <c r="EA12" s="81">
        <v>17</v>
      </c>
      <c r="EB12" s="81">
        <v>16</v>
      </c>
      <c r="EC12" s="81">
        <v>16</v>
      </c>
      <c r="ED12" s="81">
        <v>12</v>
      </c>
      <c r="EE12" s="81">
        <v>15</v>
      </c>
      <c r="EF12" s="81">
        <v>17</v>
      </c>
      <c r="EG12" s="81">
        <v>14</v>
      </c>
      <c r="EH12" s="81">
        <v>15</v>
      </c>
      <c r="EI12" s="81">
        <v>16</v>
      </c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</row>
    <row r="13" spans="1:157" ht="20.100000000000001" customHeight="1">
      <c r="A13" s="289"/>
      <c r="B13" s="250" t="s">
        <v>14</v>
      </c>
      <c r="C13" s="245" t="str">
        <f>Master!B13</f>
        <v>C6 Atta - 2</v>
      </c>
      <c r="D13" s="8">
        <f>Master!C13</f>
        <v>11</v>
      </c>
      <c r="E13" s="29">
        <v>0</v>
      </c>
      <c r="F13" s="9">
        <v>0</v>
      </c>
      <c r="G13" s="9">
        <v>4</v>
      </c>
      <c r="H13" s="9">
        <v>6</v>
      </c>
      <c r="I13" s="9">
        <v>13</v>
      </c>
      <c r="J13" s="9">
        <v>4</v>
      </c>
      <c r="K13" s="9"/>
      <c r="L13" s="9">
        <v>6</v>
      </c>
      <c r="M13" s="9">
        <v>5</v>
      </c>
      <c r="N13" s="9">
        <v>3</v>
      </c>
      <c r="O13" s="9">
        <v>5</v>
      </c>
      <c r="P13" s="9">
        <v>2</v>
      </c>
      <c r="Q13" s="9">
        <v>3</v>
      </c>
      <c r="R13" s="9"/>
      <c r="S13" s="9">
        <v>6</v>
      </c>
      <c r="T13" s="9">
        <v>0</v>
      </c>
      <c r="U13" s="9">
        <v>0</v>
      </c>
      <c r="V13" s="9">
        <v>4</v>
      </c>
      <c r="W13" s="9">
        <v>5</v>
      </c>
      <c r="X13" s="9">
        <v>5</v>
      </c>
      <c r="Y13" s="9"/>
      <c r="Z13" s="9">
        <v>4</v>
      </c>
      <c r="AA13" s="9">
        <v>3</v>
      </c>
      <c r="AB13" s="9">
        <v>0</v>
      </c>
      <c r="AC13" s="9">
        <v>0</v>
      </c>
      <c r="AD13" s="9">
        <v>0</v>
      </c>
      <c r="AE13" s="9">
        <v>2</v>
      </c>
      <c r="AF13" s="9">
        <v>0</v>
      </c>
      <c r="AG13" s="9"/>
      <c r="AH13" s="89">
        <v>2</v>
      </c>
      <c r="AI13" s="81">
        <v>4</v>
      </c>
      <c r="AJ13" s="81">
        <v>0</v>
      </c>
      <c r="AK13" s="81">
        <v>5</v>
      </c>
      <c r="AL13" s="81">
        <v>6</v>
      </c>
      <c r="AM13" s="81"/>
      <c r="AN13" s="81">
        <v>4</v>
      </c>
      <c r="AO13" s="81">
        <v>5</v>
      </c>
      <c r="AP13" s="81">
        <v>4</v>
      </c>
      <c r="AQ13" s="81">
        <v>0</v>
      </c>
      <c r="AR13" s="81">
        <v>11</v>
      </c>
      <c r="AS13" s="81">
        <v>9</v>
      </c>
      <c r="AT13" s="81"/>
      <c r="AU13" s="81">
        <v>8</v>
      </c>
      <c r="AV13" s="81">
        <v>2</v>
      </c>
      <c r="AW13" s="81">
        <v>5</v>
      </c>
      <c r="AX13" s="81">
        <v>2</v>
      </c>
      <c r="AY13" s="81">
        <v>3</v>
      </c>
      <c r="AZ13" s="81">
        <v>0</v>
      </c>
      <c r="BA13" s="81">
        <v>0</v>
      </c>
      <c r="BB13" s="81">
        <v>5</v>
      </c>
      <c r="BC13" s="81">
        <v>4</v>
      </c>
      <c r="BD13" s="81">
        <v>4</v>
      </c>
      <c r="BE13" s="81">
        <v>0</v>
      </c>
      <c r="BF13" s="81">
        <v>0</v>
      </c>
      <c r="BG13" s="81">
        <v>5</v>
      </c>
      <c r="BH13" s="81"/>
      <c r="BI13" s="81">
        <v>2</v>
      </c>
      <c r="BJ13" s="81">
        <v>3</v>
      </c>
      <c r="BK13" s="81">
        <v>0</v>
      </c>
      <c r="BL13" s="81">
        <v>0</v>
      </c>
      <c r="BM13" s="81">
        <v>6</v>
      </c>
      <c r="BN13" s="81">
        <v>4</v>
      </c>
      <c r="BO13" s="81"/>
      <c r="BP13" s="81">
        <v>3</v>
      </c>
      <c r="BQ13" s="81">
        <v>6</v>
      </c>
      <c r="BR13" s="81">
        <v>4</v>
      </c>
      <c r="BS13" s="81"/>
      <c r="BT13" s="81">
        <v>4</v>
      </c>
      <c r="BU13" s="81">
        <v>4</v>
      </c>
      <c r="BV13" s="81">
        <v>4</v>
      </c>
      <c r="BW13" s="81">
        <v>0</v>
      </c>
      <c r="BX13" s="81">
        <v>5</v>
      </c>
      <c r="BY13" s="81">
        <v>5</v>
      </c>
      <c r="BZ13" s="81">
        <v>3</v>
      </c>
      <c r="CA13" s="81">
        <v>4</v>
      </c>
      <c r="CB13" s="81"/>
      <c r="CC13" s="81">
        <v>2</v>
      </c>
      <c r="CD13" s="81">
        <v>4</v>
      </c>
      <c r="CE13" s="81">
        <v>4</v>
      </c>
      <c r="CF13" s="81">
        <v>4</v>
      </c>
      <c r="CG13" s="81">
        <v>4</v>
      </c>
      <c r="CH13" s="81">
        <v>9</v>
      </c>
      <c r="CI13" s="81">
        <v>9</v>
      </c>
      <c r="CJ13" s="81"/>
      <c r="CK13" s="81">
        <v>9</v>
      </c>
      <c r="CL13" s="81">
        <v>9</v>
      </c>
      <c r="CM13" s="81">
        <v>5</v>
      </c>
      <c r="CN13" s="81">
        <v>3</v>
      </c>
      <c r="CO13" s="81">
        <v>4</v>
      </c>
      <c r="CP13" s="81">
        <v>3</v>
      </c>
      <c r="CQ13" s="81"/>
      <c r="CR13" s="81">
        <v>4</v>
      </c>
      <c r="CS13" s="81">
        <v>4</v>
      </c>
      <c r="CT13" s="81">
        <v>6</v>
      </c>
      <c r="CU13" s="81">
        <v>5</v>
      </c>
      <c r="CV13" s="81">
        <v>5</v>
      </c>
      <c r="CW13" s="81">
        <v>15</v>
      </c>
      <c r="CX13" s="81"/>
      <c r="CY13" s="81">
        <v>4</v>
      </c>
      <c r="CZ13" s="81">
        <v>4</v>
      </c>
      <c r="DA13" s="81">
        <v>5</v>
      </c>
      <c r="DB13" s="81">
        <v>3</v>
      </c>
      <c r="DC13" s="81">
        <v>5</v>
      </c>
      <c r="DD13" s="81">
        <v>4</v>
      </c>
      <c r="DE13" s="81"/>
      <c r="DF13" s="81"/>
      <c r="DG13" s="81">
        <v>5</v>
      </c>
      <c r="DH13" s="81">
        <v>3</v>
      </c>
      <c r="DI13" s="81"/>
      <c r="DJ13" s="81">
        <v>3</v>
      </c>
      <c r="DK13" s="81">
        <v>3</v>
      </c>
      <c r="DL13" s="81">
        <v>5</v>
      </c>
      <c r="DM13" s="81">
        <v>4</v>
      </c>
      <c r="DN13" s="81">
        <v>4</v>
      </c>
      <c r="DO13" s="81">
        <v>5</v>
      </c>
      <c r="DP13" s="81"/>
      <c r="DQ13" s="81">
        <v>4</v>
      </c>
      <c r="DR13" s="81">
        <v>4</v>
      </c>
      <c r="DS13" s="81">
        <v>3</v>
      </c>
      <c r="DT13" s="81">
        <v>3</v>
      </c>
      <c r="DU13" s="81">
        <v>5</v>
      </c>
      <c r="DV13" s="81">
        <v>5</v>
      </c>
      <c r="DW13" s="81">
        <v>4</v>
      </c>
      <c r="DX13" s="81"/>
      <c r="DY13" s="81">
        <v>5</v>
      </c>
      <c r="DZ13" s="81"/>
      <c r="EA13" s="81">
        <v>4</v>
      </c>
      <c r="EB13" s="81">
        <v>4</v>
      </c>
      <c r="EC13" s="81">
        <v>4</v>
      </c>
      <c r="ED13" s="81"/>
      <c r="EE13" s="81">
        <v>5</v>
      </c>
      <c r="EF13" s="81">
        <v>6</v>
      </c>
      <c r="EG13" s="81"/>
      <c r="EH13" s="81">
        <v>4</v>
      </c>
      <c r="EI13" s="81">
        <v>5</v>
      </c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</row>
    <row r="14" spans="1:157" ht="20.100000000000001" customHeight="1">
      <c r="A14" s="289"/>
      <c r="B14" s="250" t="s">
        <v>26</v>
      </c>
      <c r="C14" s="246" t="s">
        <v>43</v>
      </c>
      <c r="D14" s="100">
        <v>0</v>
      </c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2"/>
      <c r="AI14" s="81"/>
      <c r="AJ14" s="81"/>
      <c r="AK14" s="81"/>
      <c r="AL14" s="81"/>
      <c r="AM14" s="81"/>
      <c r="AN14" s="81"/>
      <c r="AO14" s="81"/>
      <c r="AP14" s="81">
        <v>6</v>
      </c>
      <c r="AQ14" s="81">
        <v>3</v>
      </c>
      <c r="AR14" s="81">
        <v>3</v>
      </c>
      <c r="AS14" s="81">
        <v>0</v>
      </c>
      <c r="AT14" s="81"/>
      <c r="AU14" s="81">
        <v>6</v>
      </c>
      <c r="AV14" s="81">
        <v>3</v>
      </c>
      <c r="AW14" s="81">
        <v>6</v>
      </c>
      <c r="AX14" s="81">
        <v>6</v>
      </c>
      <c r="AY14" s="81">
        <v>6</v>
      </c>
      <c r="AZ14" s="81">
        <v>0</v>
      </c>
      <c r="BA14" s="81">
        <v>0</v>
      </c>
      <c r="BB14" s="81">
        <v>6</v>
      </c>
      <c r="BC14" s="81">
        <v>5</v>
      </c>
      <c r="BD14" s="81">
        <v>4</v>
      </c>
      <c r="BE14" s="81">
        <v>5</v>
      </c>
      <c r="BF14" s="81">
        <v>6</v>
      </c>
      <c r="BG14" s="81">
        <v>4</v>
      </c>
      <c r="BH14" s="81"/>
      <c r="BI14" s="81">
        <v>4</v>
      </c>
      <c r="BJ14" s="81">
        <v>6</v>
      </c>
      <c r="BK14" s="81">
        <v>5</v>
      </c>
      <c r="BL14" s="81">
        <v>5</v>
      </c>
      <c r="BM14" s="81">
        <v>5</v>
      </c>
      <c r="BN14" s="81">
        <v>0</v>
      </c>
      <c r="BO14" s="81"/>
      <c r="BP14" s="81">
        <v>0</v>
      </c>
      <c r="BQ14" s="81">
        <v>0</v>
      </c>
      <c r="BR14" s="81">
        <v>0</v>
      </c>
      <c r="BS14" s="81"/>
      <c r="BT14" s="81">
        <v>0</v>
      </c>
      <c r="BU14" s="81">
        <v>0</v>
      </c>
      <c r="BV14" s="81">
        <v>0</v>
      </c>
      <c r="BW14" s="81">
        <v>0</v>
      </c>
      <c r="BX14" s="81">
        <v>0</v>
      </c>
      <c r="BY14" s="81">
        <v>0</v>
      </c>
      <c r="BZ14" s="81">
        <v>0</v>
      </c>
      <c r="CA14" s="81">
        <v>0</v>
      </c>
      <c r="CB14" s="81"/>
      <c r="CC14" s="81">
        <v>0</v>
      </c>
      <c r="CD14" s="81">
        <v>0</v>
      </c>
      <c r="CE14" s="81">
        <v>0</v>
      </c>
      <c r="CF14" s="81">
        <v>0</v>
      </c>
      <c r="CG14" s="81">
        <v>0</v>
      </c>
      <c r="CH14" s="81">
        <v>0</v>
      </c>
      <c r="CI14" s="81">
        <v>0</v>
      </c>
      <c r="CJ14" s="81"/>
      <c r="CK14" s="81">
        <v>0</v>
      </c>
      <c r="CL14" s="81">
        <v>0</v>
      </c>
      <c r="CM14" s="81">
        <v>0</v>
      </c>
      <c r="CN14" s="81">
        <v>0</v>
      </c>
      <c r="CO14" s="81">
        <v>0</v>
      </c>
      <c r="CP14" s="81">
        <v>0</v>
      </c>
      <c r="CQ14" s="81"/>
      <c r="CR14" s="81">
        <v>0</v>
      </c>
      <c r="CS14" s="81">
        <v>0</v>
      </c>
      <c r="CT14" s="81">
        <v>0</v>
      </c>
      <c r="CU14" s="81">
        <v>0</v>
      </c>
      <c r="CV14" s="81">
        <v>0</v>
      </c>
      <c r="CW14" s="81">
        <v>5</v>
      </c>
      <c r="CX14" s="81"/>
      <c r="CY14" s="81">
        <v>0</v>
      </c>
      <c r="CZ14" s="81">
        <v>0</v>
      </c>
      <c r="DA14" s="81">
        <v>0</v>
      </c>
      <c r="DB14" s="81">
        <v>0</v>
      </c>
      <c r="DC14" s="81">
        <v>0</v>
      </c>
      <c r="DD14" s="81">
        <v>0</v>
      </c>
      <c r="DE14" s="81"/>
      <c r="DF14" s="81"/>
      <c r="DG14" s="81">
        <v>0</v>
      </c>
      <c r="DH14" s="81">
        <v>0</v>
      </c>
      <c r="DI14" s="81">
        <v>0</v>
      </c>
      <c r="DJ14" s="81">
        <v>0</v>
      </c>
      <c r="DK14" s="81">
        <v>0</v>
      </c>
      <c r="DL14" s="81">
        <v>0</v>
      </c>
      <c r="DM14" s="81">
        <v>0</v>
      </c>
      <c r="DN14" s="81">
        <v>0</v>
      </c>
      <c r="DO14" s="81">
        <v>0</v>
      </c>
      <c r="DP14" s="81"/>
      <c r="DQ14" s="81">
        <v>0</v>
      </c>
      <c r="DR14" s="81">
        <v>0</v>
      </c>
      <c r="DS14" s="81">
        <v>0</v>
      </c>
      <c r="DT14" s="81">
        <v>0</v>
      </c>
      <c r="DU14" s="81">
        <v>0</v>
      </c>
      <c r="DV14" s="81">
        <v>0</v>
      </c>
      <c r="DW14" s="81">
        <v>0</v>
      </c>
      <c r="DX14" s="81"/>
      <c r="DY14" s="81">
        <v>0</v>
      </c>
      <c r="DZ14" s="81">
        <v>0</v>
      </c>
      <c r="EA14" s="81">
        <v>0</v>
      </c>
      <c r="EB14" s="81">
        <v>0</v>
      </c>
      <c r="EC14" s="81">
        <v>0</v>
      </c>
      <c r="ED14" s="81">
        <v>0</v>
      </c>
      <c r="EE14" s="81">
        <v>0</v>
      </c>
      <c r="EF14" s="81">
        <v>0</v>
      </c>
      <c r="EG14" s="81"/>
      <c r="EH14" s="81">
        <v>0</v>
      </c>
      <c r="EI14" s="81">
        <v>0</v>
      </c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</row>
    <row r="15" spans="1:157" ht="20.100000000000001" customHeight="1">
      <c r="A15" s="289"/>
      <c r="B15" s="250" t="s">
        <v>29</v>
      </c>
      <c r="C15" s="247" t="s">
        <v>74</v>
      </c>
      <c r="D15" s="202">
        <v>14</v>
      </c>
      <c r="E15" s="203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00"/>
      <c r="BI15" s="200"/>
      <c r="BJ15" s="200"/>
      <c r="BK15" s="200"/>
      <c r="BL15" s="200"/>
      <c r="BM15" s="200"/>
      <c r="BN15" s="200"/>
      <c r="BO15" s="200"/>
      <c r="BP15" s="200"/>
      <c r="BQ15" s="200"/>
      <c r="BR15" s="200"/>
      <c r="BS15" s="200"/>
      <c r="BT15" s="200"/>
      <c r="BU15" s="200"/>
      <c r="BV15" s="200"/>
      <c r="BW15" s="200"/>
      <c r="BX15" s="200"/>
      <c r="BY15" s="200"/>
      <c r="BZ15" s="200"/>
      <c r="CA15" s="200"/>
      <c r="CB15" s="200"/>
      <c r="CC15" s="200"/>
      <c r="CD15" s="200"/>
      <c r="CE15" s="200"/>
      <c r="CF15" s="200"/>
      <c r="CG15" s="200"/>
      <c r="CH15" s="200"/>
      <c r="CI15" s="200"/>
      <c r="CJ15" s="200"/>
      <c r="CK15" s="200"/>
      <c r="CL15" s="200"/>
      <c r="CM15" s="200"/>
      <c r="CN15" s="200"/>
      <c r="CO15" s="200"/>
      <c r="CP15" s="200"/>
      <c r="CQ15" s="200"/>
      <c r="CR15" s="200"/>
      <c r="CS15" s="200"/>
      <c r="CT15" s="200"/>
      <c r="CU15" s="200"/>
      <c r="CV15" s="200"/>
      <c r="CW15" s="200"/>
      <c r="CX15" s="200"/>
      <c r="CY15" s="200"/>
      <c r="CZ15" s="200"/>
      <c r="DA15" s="200"/>
      <c r="DB15" s="200"/>
      <c r="DC15" s="200"/>
      <c r="DD15" s="200"/>
      <c r="DE15" s="200"/>
      <c r="DF15" s="200"/>
      <c r="DG15" s="200"/>
      <c r="DH15" s="200"/>
      <c r="DI15" s="200"/>
      <c r="DJ15" s="200"/>
      <c r="DK15" s="200"/>
      <c r="DL15" s="200"/>
      <c r="DM15" s="200"/>
      <c r="DN15" s="200"/>
      <c r="DO15" s="200"/>
      <c r="DP15" s="200"/>
      <c r="DQ15" s="200"/>
      <c r="DR15" s="200"/>
      <c r="DS15" s="200"/>
      <c r="DT15" s="200"/>
      <c r="DU15" s="200"/>
      <c r="DV15" s="200"/>
      <c r="DW15" s="200"/>
      <c r="DX15" s="200"/>
      <c r="DY15" s="200"/>
      <c r="DZ15" s="200"/>
      <c r="EA15" s="200"/>
      <c r="EB15" s="200"/>
      <c r="EC15" s="200"/>
      <c r="ED15" s="200">
        <v>17</v>
      </c>
      <c r="EE15" s="200">
        <v>18</v>
      </c>
      <c r="EF15" s="200">
        <v>14</v>
      </c>
      <c r="EG15" s="200">
        <v>5</v>
      </c>
      <c r="EH15" s="200">
        <v>8</v>
      </c>
      <c r="EI15" s="200">
        <v>17</v>
      </c>
      <c r="EJ15" s="200"/>
      <c r="EK15" s="200"/>
      <c r="EL15" s="200"/>
      <c r="EM15" s="200"/>
      <c r="EN15" s="200"/>
      <c r="EO15" s="200"/>
      <c r="EP15" s="200"/>
      <c r="EQ15" s="200"/>
      <c r="ER15" s="200"/>
      <c r="ES15" s="200"/>
      <c r="ET15" s="200"/>
      <c r="EU15" s="200"/>
      <c r="EV15" s="200"/>
      <c r="EW15" s="200"/>
      <c r="EX15" s="200"/>
      <c r="EY15" s="200"/>
      <c r="EZ15" s="200"/>
      <c r="FA15" s="200"/>
    </row>
    <row r="16" spans="1:157" ht="20.100000000000001" customHeight="1">
      <c r="A16" s="289"/>
      <c r="B16" s="250" t="s">
        <v>29</v>
      </c>
      <c r="C16" s="247" t="s">
        <v>75</v>
      </c>
      <c r="D16" s="202">
        <v>5</v>
      </c>
      <c r="E16" s="203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0"/>
      <c r="BK16" s="200"/>
      <c r="BL16" s="200"/>
      <c r="BM16" s="200"/>
      <c r="BN16" s="200"/>
      <c r="BO16" s="200"/>
      <c r="BP16" s="200"/>
      <c r="BQ16" s="200"/>
      <c r="BR16" s="200"/>
      <c r="BS16" s="200"/>
      <c r="BT16" s="200"/>
      <c r="BU16" s="200"/>
      <c r="BV16" s="200"/>
      <c r="BW16" s="200"/>
      <c r="BX16" s="200"/>
      <c r="BY16" s="200"/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200"/>
      <c r="CK16" s="200"/>
      <c r="CL16" s="200"/>
      <c r="CM16" s="200"/>
      <c r="CN16" s="200"/>
      <c r="CO16" s="200"/>
      <c r="CP16" s="200"/>
      <c r="CQ16" s="200"/>
      <c r="CR16" s="200"/>
      <c r="CS16" s="200"/>
      <c r="CT16" s="200"/>
      <c r="CU16" s="200"/>
      <c r="CV16" s="200"/>
      <c r="CW16" s="200"/>
      <c r="CX16" s="200"/>
      <c r="CY16" s="200"/>
      <c r="CZ16" s="200"/>
      <c r="DA16" s="200"/>
      <c r="DB16" s="200"/>
      <c r="DC16" s="200"/>
      <c r="DD16" s="200"/>
      <c r="DE16" s="200"/>
      <c r="DF16" s="200"/>
      <c r="DG16" s="200"/>
      <c r="DH16" s="200"/>
      <c r="DI16" s="200"/>
      <c r="DJ16" s="200"/>
      <c r="DK16" s="200"/>
      <c r="DL16" s="200"/>
      <c r="DM16" s="200"/>
      <c r="DN16" s="200">
        <v>13</v>
      </c>
      <c r="DO16" s="200">
        <v>19</v>
      </c>
      <c r="DP16" s="200"/>
      <c r="DQ16" s="200">
        <v>14</v>
      </c>
      <c r="DR16" s="200">
        <v>14</v>
      </c>
      <c r="DS16" s="200">
        <v>9</v>
      </c>
      <c r="DT16" s="200">
        <v>10</v>
      </c>
      <c r="DU16" s="200">
        <v>19</v>
      </c>
      <c r="DV16" s="200">
        <v>17</v>
      </c>
      <c r="DW16" s="200">
        <v>15</v>
      </c>
      <c r="DX16" s="200"/>
      <c r="DY16" s="200">
        <v>11</v>
      </c>
      <c r="DZ16" s="200">
        <v>11</v>
      </c>
      <c r="EA16" s="200">
        <v>11</v>
      </c>
      <c r="EB16" s="200">
        <v>16</v>
      </c>
      <c r="EC16" s="200">
        <v>16</v>
      </c>
      <c r="ED16" s="200"/>
      <c r="EE16" s="200"/>
      <c r="EF16" s="200"/>
      <c r="EG16" s="200"/>
      <c r="EH16" s="200"/>
      <c r="EI16" s="200"/>
      <c r="EJ16" s="200"/>
      <c r="EK16" s="200"/>
      <c r="EL16" s="200"/>
      <c r="EM16" s="200"/>
      <c r="EN16" s="200"/>
      <c r="EO16" s="200"/>
      <c r="EP16" s="200"/>
      <c r="EQ16" s="200"/>
      <c r="ER16" s="200"/>
      <c r="ES16" s="200"/>
      <c r="ET16" s="200"/>
      <c r="EU16" s="200"/>
      <c r="EV16" s="200"/>
      <c r="EW16" s="200"/>
      <c r="EX16" s="200"/>
      <c r="EY16" s="200"/>
      <c r="EZ16" s="200"/>
      <c r="FA16" s="200"/>
    </row>
    <row r="17" spans="1:157" ht="20.100000000000001" customHeight="1">
      <c r="A17" s="289"/>
      <c r="B17" s="250" t="s">
        <v>14</v>
      </c>
      <c r="C17" s="247" t="s">
        <v>52</v>
      </c>
      <c r="D17" s="202">
        <v>7</v>
      </c>
      <c r="E17" s="203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00"/>
      <c r="BI17" s="200"/>
      <c r="BJ17" s="200"/>
      <c r="BK17" s="200"/>
      <c r="BL17" s="200"/>
      <c r="BM17" s="200"/>
      <c r="BN17" s="200"/>
      <c r="BO17" s="200"/>
      <c r="BP17" s="200"/>
      <c r="BQ17" s="200"/>
      <c r="BR17" s="200"/>
      <c r="BS17" s="200"/>
      <c r="BT17" s="200"/>
      <c r="BU17" s="200"/>
      <c r="BV17" s="200"/>
      <c r="BW17" s="200"/>
      <c r="BX17" s="200"/>
      <c r="BY17" s="200"/>
      <c r="BZ17" s="200"/>
      <c r="CA17" s="200"/>
      <c r="CB17" s="200"/>
      <c r="CC17" s="200"/>
      <c r="CD17" s="200"/>
      <c r="CE17" s="200"/>
      <c r="CF17" s="200"/>
      <c r="CG17" s="200"/>
      <c r="CH17" s="200"/>
      <c r="CI17" s="200"/>
      <c r="CJ17" s="200"/>
      <c r="CK17" s="200"/>
      <c r="CL17" s="200"/>
      <c r="CM17" s="200"/>
      <c r="CN17" s="200"/>
      <c r="CO17" s="200"/>
      <c r="CP17" s="200"/>
      <c r="CQ17" s="200"/>
      <c r="CR17" s="200"/>
      <c r="CS17" s="200"/>
      <c r="CT17" s="200"/>
      <c r="CU17" s="200"/>
      <c r="CV17" s="200"/>
      <c r="CW17" s="200"/>
      <c r="CX17" s="200"/>
      <c r="CY17" s="200"/>
      <c r="CZ17" s="200"/>
      <c r="DA17" s="200"/>
      <c r="DB17" s="200"/>
      <c r="DC17" s="200"/>
      <c r="DD17" s="200"/>
      <c r="DE17" s="200"/>
      <c r="DF17" s="200"/>
      <c r="DG17" s="200"/>
      <c r="DH17" s="200"/>
      <c r="DI17" s="200"/>
      <c r="DJ17" s="200"/>
      <c r="DK17" s="200"/>
      <c r="DL17" s="200"/>
      <c r="DM17" s="200"/>
      <c r="DN17" s="200">
        <v>28</v>
      </c>
      <c r="DO17" s="200">
        <f>23+2</f>
        <v>25</v>
      </c>
      <c r="DP17" s="200"/>
      <c r="DQ17" s="200">
        <v>12</v>
      </c>
      <c r="DR17" s="200">
        <v>12</v>
      </c>
      <c r="DS17" s="200">
        <v>12</v>
      </c>
      <c r="DT17" s="200">
        <v>0</v>
      </c>
      <c r="DU17" s="200"/>
      <c r="DV17" s="200">
        <v>3</v>
      </c>
      <c r="DW17" s="200">
        <v>5</v>
      </c>
      <c r="DX17" s="200"/>
      <c r="DY17" s="200">
        <v>0</v>
      </c>
      <c r="DZ17" s="200">
        <v>7</v>
      </c>
      <c r="EA17" s="200">
        <v>0</v>
      </c>
      <c r="EB17" s="200">
        <v>6</v>
      </c>
      <c r="EC17" s="200">
        <v>9</v>
      </c>
      <c r="ED17" s="200">
        <v>9</v>
      </c>
      <c r="EE17" s="200">
        <v>9</v>
      </c>
      <c r="EF17" s="200">
        <v>9</v>
      </c>
      <c r="EG17" s="200">
        <v>9</v>
      </c>
      <c r="EH17" s="200"/>
      <c r="EI17" s="200">
        <v>5</v>
      </c>
      <c r="EJ17" s="200"/>
      <c r="EK17" s="200"/>
      <c r="EL17" s="200"/>
      <c r="EM17" s="200"/>
      <c r="EN17" s="200"/>
      <c r="EO17" s="200"/>
      <c r="EP17" s="200"/>
      <c r="EQ17" s="200"/>
      <c r="ER17" s="200"/>
      <c r="ES17" s="200"/>
      <c r="ET17" s="200"/>
      <c r="EU17" s="200"/>
      <c r="EV17" s="200"/>
      <c r="EW17" s="200"/>
      <c r="EX17" s="200"/>
      <c r="EY17" s="200"/>
      <c r="EZ17" s="200"/>
      <c r="FA17" s="200"/>
    </row>
    <row r="18" spans="1:157" ht="20.100000000000001" customHeight="1">
      <c r="A18" s="290"/>
      <c r="B18" s="251" t="s">
        <v>17</v>
      </c>
      <c r="C18" s="247" t="s">
        <v>53</v>
      </c>
      <c r="D18" s="202">
        <v>21</v>
      </c>
      <c r="E18" s="203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0"/>
      <c r="BA18" s="200"/>
      <c r="BB18" s="200"/>
      <c r="BC18" s="200"/>
      <c r="BD18" s="200"/>
      <c r="BE18" s="200"/>
      <c r="BF18" s="200"/>
      <c r="BG18" s="200"/>
      <c r="BH18" s="200"/>
      <c r="BI18" s="200"/>
      <c r="BJ18" s="200"/>
      <c r="BK18" s="200"/>
      <c r="BL18" s="200"/>
      <c r="BM18" s="200"/>
      <c r="BN18" s="200"/>
      <c r="BO18" s="200"/>
      <c r="BP18" s="200"/>
      <c r="BQ18" s="200"/>
      <c r="BR18" s="200"/>
      <c r="BS18" s="200"/>
      <c r="BT18" s="200"/>
      <c r="BU18" s="200"/>
      <c r="BV18" s="200"/>
      <c r="BW18" s="200"/>
      <c r="BX18" s="200"/>
      <c r="BY18" s="200"/>
      <c r="BZ18" s="200"/>
      <c r="CA18" s="200"/>
      <c r="CB18" s="200"/>
      <c r="CC18" s="200"/>
      <c r="CD18" s="200"/>
      <c r="CE18" s="200"/>
      <c r="CF18" s="200"/>
      <c r="CG18" s="200"/>
      <c r="CH18" s="200"/>
      <c r="CI18" s="200"/>
      <c r="CJ18" s="200"/>
      <c r="CK18" s="200"/>
      <c r="CL18" s="200"/>
      <c r="CM18" s="200"/>
      <c r="CN18" s="200"/>
      <c r="CO18" s="200"/>
      <c r="CP18" s="200"/>
      <c r="CQ18" s="200"/>
      <c r="CR18" s="200"/>
      <c r="CS18" s="200"/>
      <c r="CT18" s="200"/>
      <c r="CU18" s="200"/>
      <c r="CV18" s="200"/>
      <c r="CW18" s="200"/>
      <c r="CX18" s="200"/>
      <c r="CY18" s="200"/>
      <c r="CZ18" s="200"/>
      <c r="DA18" s="200"/>
      <c r="DB18" s="200"/>
      <c r="DC18" s="200"/>
      <c r="DD18" s="200"/>
      <c r="DE18" s="200"/>
      <c r="DF18" s="200"/>
      <c r="DG18" s="200"/>
      <c r="DH18" s="200"/>
      <c r="DI18" s="200"/>
      <c r="DJ18" s="200"/>
      <c r="DK18" s="200"/>
      <c r="DL18" s="200"/>
      <c r="DM18" s="200"/>
      <c r="DN18" s="200"/>
      <c r="DO18" s="200"/>
      <c r="DP18" s="200"/>
      <c r="DQ18" s="200"/>
      <c r="DR18" s="200"/>
      <c r="DS18" s="200"/>
      <c r="DT18" s="200">
        <v>0</v>
      </c>
      <c r="DU18" s="200">
        <v>21</v>
      </c>
      <c r="DV18" s="200">
        <v>15</v>
      </c>
      <c r="DW18" s="200">
        <v>16</v>
      </c>
      <c r="DX18" s="200"/>
      <c r="DY18" s="200">
        <v>0</v>
      </c>
      <c r="DZ18" s="200">
        <v>22</v>
      </c>
      <c r="EA18" s="200">
        <v>0</v>
      </c>
      <c r="EB18" s="200">
        <v>24</v>
      </c>
      <c r="EC18" s="200">
        <v>21</v>
      </c>
      <c r="ED18" s="200">
        <v>28</v>
      </c>
      <c r="EE18" s="200">
        <v>25</v>
      </c>
      <c r="EF18" s="200">
        <v>24</v>
      </c>
      <c r="EG18" s="200">
        <v>23</v>
      </c>
      <c r="EH18" s="200"/>
      <c r="EI18" s="200">
        <v>22</v>
      </c>
      <c r="EJ18" s="200"/>
      <c r="EK18" s="200"/>
      <c r="EL18" s="200"/>
      <c r="EM18" s="200"/>
      <c r="EN18" s="200"/>
      <c r="EO18" s="200"/>
      <c r="EP18" s="200"/>
      <c r="EQ18" s="200"/>
      <c r="ER18" s="200"/>
      <c r="ES18" s="200"/>
      <c r="ET18" s="200"/>
      <c r="EU18" s="200"/>
      <c r="EV18" s="200"/>
      <c r="EW18" s="200"/>
      <c r="EX18" s="200"/>
      <c r="EY18" s="200"/>
      <c r="EZ18" s="200"/>
      <c r="FA18" s="200"/>
    </row>
    <row r="19" spans="1:157" ht="21.95" customHeight="1">
      <c r="A19" s="204"/>
      <c r="B19" s="205"/>
      <c r="C19" s="206" t="s">
        <v>76</v>
      </c>
      <c r="D19" s="207">
        <f>SUM(D3:D18)</f>
        <v>203</v>
      </c>
      <c r="E19" s="13">
        <f t="shared" ref="E19:AH19" si="115">SUM(E3:E13)</f>
        <v>143</v>
      </c>
      <c r="F19" s="13">
        <f t="shared" si="115"/>
        <v>153</v>
      </c>
      <c r="G19" s="13">
        <f t="shared" si="115"/>
        <v>159</v>
      </c>
      <c r="H19" s="13">
        <f t="shared" si="115"/>
        <v>167</v>
      </c>
      <c r="I19" s="13">
        <f t="shared" si="115"/>
        <v>150</v>
      </c>
      <c r="J19" s="13">
        <f t="shared" si="115"/>
        <v>152</v>
      </c>
      <c r="K19" s="13">
        <f t="shared" si="115"/>
        <v>0</v>
      </c>
      <c r="L19" s="13">
        <f t="shared" si="115"/>
        <v>142</v>
      </c>
      <c r="M19" s="13">
        <f t="shared" si="115"/>
        <v>153</v>
      </c>
      <c r="N19" s="13">
        <f t="shared" si="115"/>
        <v>158</v>
      </c>
      <c r="O19" s="13">
        <f t="shared" si="115"/>
        <v>152</v>
      </c>
      <c r="P19" s="13">
        <f t="shared" si="115"/>
        <v>146</v>
      </c>
      <c r="Q19" s="13">
        <f t="shared" si="115"/>
        <v>143</v>
      </c>
      <c r="R19" s="13">
        <f t="shared" si="115"/>
        <v>19</v>
      </c>
      <c r="S19" s="13">
        <f t="shared" si="115"/>
        <v>151</v>
      </c>
      <c r="T19" s="13">
        <f t="shared" si="115"/>
        <v>139</v>
      </c>
      <c r="U19" s="13">
        <f t="shared" si="115"/>
        <v>157</v>
      </c>
      <c r="V19" s="13">
        <f t="shared" si="115"/>
        <v>148</v>
      </c>
      <c r="W19" s="13">
        <f t="shared" si="115"/>
        <v>162</v>
      </c>
      <c r="X19" s="13">
        <f t="shared" si="115"/>
        <v>132</v>
      </c>
      <c r="Y19" s="13">
        <f t="shared" si="115"/>
        <v>22</v>
      </c>
      <c r="Z19" s="13">
        <f t="shared" si="115"/>
        <v>144</v>
      </c>
      <c r="AA19" s="13">
        <f t="shared" si="115"/>
        <v>146</v>
      </c>
      <c r="AB19" s="13">
        <f t="shared" si="115"/>
        <v>150</v>
      </c>
      <c r="AC19" s="13">
        <f t="shared" si="115"/>
        <v>146</v>
      </c>
      <c r="AD19" s="13">
        <f t="shared" si="115"/>
        <v>141</v>
      </c>
      <c r="AE19" s="13">
        <f t="shared" si="115"/>
        <v>142</v>
      </c>
      <c r="AF19" s="13">
        <f t="shared" si="115"/>
        <v>127</v>
      </c>
      <c r="AG19" s="13">
        <f t="shared" si="115"/>
        <v>22</v>
      </c>
      <c r="AH19" s="90">
        <f t="shared" si="115"/>
        <v>156</v>
      </c>
      <c r="AI19" s="82">
        <f t="shared" ref="AI19:BN19" si="116">SUM(AI3:AI14)</f>
        <v>166</v>
      </c>
      <c r="AJ19" s="82">
        <f t="shared" si="116"/>
        <v>163</v>
      </c>
      <c r="AK19" s="82">
        <f t="shared" si="116"/>
        <v>166</v>
      </c>
      <c r="AL19" s="82">
        <f t="shared" si="116"/>
        <v>166</v>
      </c>
      <c r="AM19" s="82">
        <f t="shared" si="116"/>
        <v>23</v>
      </c>
      <c r="AN19" s="82">
        <f t="shared" si="116"/>
        <v>154</v>
      </c>
      <c r="AO19" s="82">
        <f t="shared" si="116"/>
        <v>155</v>
      </c>
      <c r="AP19" s="82">
        <f t="shared" si="116"/>
        <v>159</v>
      </c>
      <c r="AQ19" s="82">
        <f t="shared" si="116"/>
        <v>165</v>
      </c>
      <c r="AR19" s="82">
        <f t="shared" si="116"/>
        <v>161</v>
      </c>
      <c r="AS19" s="82">
        <f t="shared" si="116"/>
        <v>180</v>
      </c>
      <c r="AT19" s="82">
        <f t="shared" si="116"/>
        <v>32</v>
      </c>
      <c r="AU19" s="82">
        <f t="shared" si="116"/>
        <v>166</v>
      </c>
      <c r="AV19" s="82">
        <f t="shared" si="116"/>
        <v>165</v>
      </c>
      <c r="AW19" s="82">
        <f t="shared" si="116"/>
        <v>169</v>
      </c>
      <c r="AX19" s="82">
        <f t="shared" si="116"/>
        <v>170</v>
      </c>
      <c r="AY19" s="82">
        <f t="shared" si="116"/>
        <v>160</v>
      </c>
      <c r="AZ19" s="82">
        <f t="shared" si="116"/>
        <v>75</v>
      </c>
      <c r="BA19" s="82">
        <f t="shared" si="116"/>
        <v>70</v>
      </c>
      <c r="BB19" s="82">
        <f t="shared" si="116"/>
        <v>152</v>
      </c>
      <c r="BC19" s="82">
        <f t="shared" si="116"/>
        <v>167</v>
      </c>
      <c r="BD19" s="82">
        <f t="shared" si="116"/>
        <v>186</v>
      </c>
      <c r="BE19" s="82">
        <f t="shared" si="116"/>
        <v>170</v>
      </c>
      <c r="BF19" s="82">
        <f t="shared" si="116"/>
        <v>181</v>
      </c>
      <c r="BG19" s="82">
        <f t="shared" si="116"/>
        <v>155</v>
      </c>
      <c r="BH19" s="82">
        <f t="shared" si="116"/>
        <v>50</v>
      </c>
      <c r="BI19" s="82">
        <f t="shared" si="116"/>
        <v>148</v>
      </c>
      <c r="BJ19" s="82">
        <f t="shared" si="116"/>
        <v>172</v>
      </c>
      <c r="BK19" s="82">
        <f t="shared" si="116"/>
        <v>179</v>
      </c>
      <c r="BL19" s="82">
        <f t="shared" si="116"/>
        <v>164</v>
      </c>
      <c r="BM19" s="82">
        <f t="shared" si="116"/>
        <v>185</v>
      </c>
      <c r="BN19" s="82">
        <f t="shared" si="116"/>
        <v>183</v>
      </c>
      <c r="BO19" s="82">
        <f t="shared" ref="BO19:CR19" si="117">SUM(BO3:BO14)</f>
        <v>41</v>
      </c>
      <c r="BP19" s="82">
        <f t="shared" si="117"/>
        <v>179</v>
      </c>
      <c r="BQ19" s="82">
        <f t="shared" si="117"/>
        <v>180</v>
      </c>
      <c r="BR19" s="82">
        <f t="shared" si="117"/>
        <v>194</v>
      </c>
      <c r="BS19" s="82">
        <f t="shared" si="117"/>
        <v>76</v>
      </c>
      <c r="BT19" s="82">
        <f t="shared" si="117"/>
        <v>181</v>
      </c>
      <c r="BU19" s="82">
        <f t="shared" si="117"/>
        <v>189</v>
      </c>
      <c r="BV19" s="82">
        <f t="shared" si="117"/>
        <v>135</v>
      </c>
      <c r="BW19" s="82">
        <f t="shared" si="117"/>
        <v>171</v>
      </c>
      <c r="BX19" s="82">
        <f t="shared" si="117"/>
        <v>164</v>
      </c>
      <c r="BY19" s="82">
        <f t="shared" si="117"/>
        <v>178</v>
      </c>
      <c r="BZ19" s="82">
        <f t="shared" si="117"/>
        <v>177</v>
      </c>
      <c r="CA19" s="82">
        <f t="shared" si="117"/>
        <v>188</v>
      </c>
      <c r="CB19" s="82">
        <f t="shared" si="117"/>
        <v>13</v>
      </c>
      <c r="CC19" s="82">
        <f t="shared" si="117"/>
        <v>78</v>
      </c>
      <c r="CD19" s="82">
        <f t="shared" si="117"/>
        <v>135</v>
      </c>
      <c r="CE19" s="82">
        <f t="shared" si="117"/>
        <v>194</v>
      </c>
      <c r="CF19" s="82">
        <f t="shared" si="117"/>
        <v>189</v>
      </c>
      <c r="CG19" s="82">
        <f t="shared" si="117"/>
        <v>179</v>
      </c>
      <c r="CH19" s="82">
        <f t="shared" si="117"/>
        <v>184</v>
      </c>
      <c r="CI19" s="82">
        <f t="shared" si="117"/>
        <v>182</v>
      </c>
      <c r="CJ19" s="82">
        <f t="shared" si="117"/>
        <v>56</v>
      </c>
      <c r="CK19" s="82">
        <f t="shared" si="117"/>
        <v>166</v>
      </c>
      <c r="CL19" s="82">
        <f t="shared" si="117"/>
        <v>180</v>
      </c>
      <c r="CM19" s="82">
        <f t="shared" si="117"/>
        <v>167</v>
      </c>
      <c r="CN19" s="82">
        <f t="shared" si="117"/>
        <v>177</v>
      </c>
      <c r="CO19" s="82">
        <f t="shared" si="117"/>
        <v>143</v>
      </c>
      <c r="CP19" s="82">
        <f t="shared" si="117"/>
        <v>146</v>
      </c>
      <c r="CQ19" s="82">
        <f t="shared" si="117"/>
        <v>34</v>
      </c>
      <c r="CR19" s="82">
        <f t="shared" si="117"/>
        <v>151</v>
      </c>
      <c r="CS19" s="82">
        <f t="shared" ref="CS19:DM19" si="118">SUM(CS3:CS14)</f>
        <v>172</v>
      </c>
      <c r="CT19" s="82">
        <f t="shared" si="118"/>
        <v>175</v>
      </c>
      <c r="CU19" s="82">
        <f t="shared" si="118"/>
        <v>166</v>
      </c>
      <c r="CV19" s="82">
        <f t="shared" si="118"/>
        <v>173</v>
      </c>
      <c r="CW19" s="82">
        <f t="shared" si="118"/>
        <v>159</v>
      </c>
      <c r="CX19" s="82">
        <f t="shared" si="118"/>
        <v>61</v>
      </c>
      <c r="CY19" s="82">
        <f t="shared" si="118"/>
        <v>147</v>
      </c>
      <c r="CZ19" s="82">
        <f t="shared" si="118"/>
        <v>153</v>
      </c>
      <c r="DA19" s="82">
        <f t="shared" si="118"/>
        <v>164</v>
      </c>
      <c r="DB19" s="82">
        <f t="shared" si="118"/>
        <v>166</v>
      </c>
      <c r="DC19" s="82">
        <f t="shared" si="118"/>
        <v>168</v>
      </c>
      <c r="DD19" s="82">
        <f t="shared" si="118"/>
        <v>176</v>
      </c>
      <c r="DE19" s="82">
        <f t="shared" si="118"/>
        <v>73</v>
      </c>
      <c r="DF19" s="82">
        <f t="shared" si="118"/>
        <v>17</v>
      </c>
      <c r="DG19" s="82">
        <f t="shared" si="118"/>
        <v>147</v>
      </c>
      <c r="DH19" s="82">
        <f t="shared" si="118"/>
        <v>163</v>
      </c>
      <c r="DI19" s="82">
        <f t="shared" si="118"/>
        <v>85</v>
      </c>
      <c r="DJ19" s="82">
        <f t="shared" si="118"/>
        <v>144</v>
      </c>
      <c r="DK19" s="82">
        <f t="shared" si="118"/>
        <v>163</v>
      </c>
      <c r="DL19" s="82">
        <f t="shared" si="118"/>
        <v>81</v>
      </c>
      <c r="DM19" s="82">
        <f t="shared" si="118"/>
        <v>140</v>
      </c>
      <c r="DN19" s="82">
        <f>SUM(DN3:DN14,DN16:DN18)</f>
        <v>186</v>
      </c>
      <c r="DO19" s="82">
        <f>SUM(DO3:DO14,DO16:DO18)</f>
        <v>190</v>
      </c>
      <c r="DP19" s="82">
        <f>SUM(DP3:DP14,DP16:DP18)</f>
        <v>39</v>
      </c>
      <c r="DQ19" s="82">
        <f>SUM(DQ3:DQ14,DQ16:DQ18)</f>
        <v>165</v>
      </c>
      <c r="DR19" s="82">
        <f>SUM(DR3:DR14,DR16:DR18)</f>
        <v>166</v>
      </c>
      <c r="DS19" s="82">
        <f>SUM(DS3:DS14,DS16:DS18)</f>
        <v>119</v>
      </c>
      <c r="DT19" s="82">
        <f>SUM(DT3:DT14,DT16:DT18)</f>
        <v>150</v>
      </c>
      <c r="DU19" s="82">
        <f>SUM(DU3:DU18)</f>
        <v>173</v>
      </c>
      <c r="DV19" s="82">
        <f t="shared" ref="DV19:FA19" si="119">SUM(DV3:DV18)</f>
        <v>177</v>
      </c>
      <c r="DW19" s="82">
        <f t="shared" si="119"/>
        <v>181</v>
      </c>
      <c r="DX19" s="82">
        <f t="shared" si="119"/>
        <v>0</v>
      </c>
      <c r="DY19" s="82">
        <f t="shared" si="119"/>
        <v>155</v>
      </c>
      <c r="DZ19" s="82">
        <f t="shared" si="119"/>
        <v>88</v>
      </c>
      <c r="EA19" s="82">
        <f t="shared" si="119"/>
        <v>154</v>
      </c>
      <c r="EB19" s="82">
        <f t="shared" si="119"/>
        <v>185</v>
      </c>
      <c r="EC19" s="82">
        <f t="shared" si="119"/>
        <v>181</v>
      </c>
      <c r="ED19" s="82">
        <f t="shared" si="119"/>
        <v>116</v>
      </c>
      <c r="EE19" s="82">
        <f t="shared" si="119"/>
        <v>187</v>
      </c>
      <c r="EF19" s="82">
        <f t="shared" si="119"/>
        <v>173</v>
      </c>
      <c r="EG19" s="82">
        <f t="shared" si="119"/>
        <v>80</v>
      </c>
      <c r="EH19" s="82">
        <f t="shared" si="119"/>
        <v>150</v>
      </c>
      <c r="EI19" s="82">
        <f t="shared" si="119"/>
        <v>187</v>
      </c>
      <c r="EJ19" s="82">
        <f t="shared" si="119"/>
        <v>0</v>
      </c>
      <c r="EK19" s="82">
        <f t="shared" si="119"/>
        <v>0</v>
      </c>
      <c r="EL19" s="82">
        <f t="shared" si="119"/>
        <v>0</v>
      </c>
      <c r="EM19" s="82">
        <f t="shared" si="119"/>
        <v>0</v>
      </c>
      <c r="EN19" s="82">
        <f t="shared" si="119"/>
        <v>0</v>
      </c>
      <c r="EO19" s="82">
        <f t="shared" si="119"/>
        <v>0</v>
      </c>
      <c r="EP19" s="82">
        <f t="shared" si="119"/>
        <v>0</v>
      </c>
      <c r="EQ19" s="82">
        <f t="shared" si="119"/>
        <v>0</v>
      </c>
      <c r="ER19" s="82">
        <f t="shared" si="119"/>
        <v>0</v>
      </c>
      <c r="ES19" s="82">
        <f t="shared" si="119"/>
        <v>0</v>
      </c>
      <c r="ET19" s="82">
        <f t="shared" si="119"/>
        <v>0</v>
      </c>
      <c r="EU19" s="82">
        <f t="shared" si="119"/>
        <v>0</v>
      </c>
      <c r="EV19" s="82">
        <f t="shared" si="119"/>
        <v>0</v>
      </c>
      <c r="EW19" s="82">
        <f t="shared" si="119"/>
        <v>0</v>
      </c>
      <c r="EX19" s="82">
        <f t="shared" si="119"/>
        <v>0</v>
      </c>
      <c r="EY19" s="82">
        <f t="shared" si="119"/>
        <v>0</v>
      </c>
      <c r="EZ19" s="82">
        <f t="shared" si="119"/>
        <v>0</v>
      </c>
      <c r="FA19" s="82">
        <f t="shared" si="119"/>
        <v>0</v>
      </c>
    </row>
    <row r="20" spans="1:157" ht="20.100000000000001" customHeight="1">
      <c r="A20" s="291" t="s">
        <v>16</v>
      </c>
      <c r="B20" s="138" t="s">
        <v>16</v>
      </c>
      <c r="C20" s="10" t="str">
        <f>Master!B15</f>
        <v>Supervisors + Executive+AM +HR</v>
      </c>
      <c r="D20" s="11">
        <f>Master!C15</f>
        <v>21</v>
      </c>
      <c r="E20" s="12">
        <v>14</v>
      </c>
      <c r="F20" s="12">
        <v>16</v>
      </c>
      <c r="G20" s="12">
        <v>18</v>
      </c>
      <c r="H20" s="12">
        <v>16</v>
      </c>
      <c r="I20" s="12">
        <v>18</v>
      </c>
      <c r="J20" s="12">
        <v>20</v>
      </c>
      <c r="K20" s="12"/>
      <c r="L20" s="12">
        <v>19</v>
      </c>
      <c r="M20" s="12">
        <v>19</v>
      </c>
      <c r="N20" s="12">
        <v>16</v>
      </c>
      <c r="O20" s="12">
        <v>19</v>
      </c>
      <c r="P20" s="12">
        <v>18</v>
      </c>
      <c r="Q20" s="12">
        <v>16</v>
      </c>
      <c r="R20" s="12"/>
      <c r="S20" s="12">
        <f>17+2</f>
        <v>19</v>
      </c>
      <c r="T20" s="12">
        <f>21+2</f>
        <v>23</v>
      </c>
      <c r="U20" s="12">
        <f>20+2</f>
        <v>22</v>
      </c>
      <c r="V20" s="12">
        <f>19+2</f>
        <v>21</v>
      </c>
      <c r="W20" s="12">
        <f>21+2</f>
        <v>23</v>
      </c>
      <c r="X20" s="12">
        <f>19+2</f>
        <v>21</v>
      </c>
      <c r="Y20" s="12">
        <v>9</v>
      </c>
      <c r="Z20" s="12">
        <v>18</v>
      </c>
      <c r="AA20" s="12">
        <f>20+1</f>
        <v>21</v>
      </c>
      <c r="AB20" s="12">
        <f>19+2</f>
        <v>21</v>
      </c>
      <c r="AC20" s="12">
        <f>19+2</f>
        <v>21</v>
      </c>
      <c r="AD20" s="12">
        <v>16</v>
      </c>
      <c r="AE20" s="12">
        <f>13+2</f>
        <v>15</v>
      </c>
      <c r="AF20" s="12">
        <f>7+2</f>
        <v>9</v>
      </c>
      <c r="AG20" s="12">
        <v>9</v>
      </c>
      <c r="AH20" s="91">
        <v>19</v>
      </c>
      <c r="AI20" s="83">
        <v>16</v>
      </c>
      <c r="AJ20" s="83">
        <v>17</v>
      </c>
      <c r="AK20" s="83">
        <v>20</v>
      </c>
      <c r="AL20" s="83">
        <v>19</v>
      </c>
      <c r="AM20" s="83">
        <v>6</v>
      </c>
      <c r="AN20" s="83">
        <v>11</v>
      </c>
      <c r="AO20" s="83">
        <f>18+2</f>
        <v>20</v>
      </c>
      <c r="AP20" s="83">
        <v>17</v>
      </c>
      <c r="AQ20" s="83">
        <v>19</v>
      </c>
      <c r="AR20" s="83">
        <f>19+2</f>
        <v>21</v>
      </c>
      <c r="AS20" s="83">
        <v>16</v>
      </c>
      <c r="AT20" s="83">
        <v>4</v>
      </c>
      <c r="AU20" s="83">
        <v>17</v>
      </c>
      <c r="AV20" s="83">
        <v>19</v>
      </c>
      <c r="AW20" s="83">
        <v>17</v>
      </c>
      <c r="AX20" s="83">
        <v>18</v>
      </c>
      <c r="AY20" s="83">
        <v>16</v>
      </c>
      <c r="AZ20" s="83">
        <v>12</v>
      </c>
      <c r="BA20" s="83">
        <v>9</v>
      </c>
      <c r="BB20" s="83">
        <v>17</v>
      </c>
      <c r="BC20" s="83">
        <v>16</v>
      </c>
      <c r="BD20" s="83">
        <v>13</v>
      </c>
      <c r="BE20" s="83">
        <v>12</v>
      </c>
      <c r="BF20" s="83">
        <v>15</v>
      </c>
      <c r="BG20" s="83">
        <v>13</v>
      </c>
      <c r="BH20" s="83">
        <v>3</v>
      </c>
      <c r="BI20" s="83">
        <v>13</v>
      </c>
      <c r="BJ20" s="83">
        <v>11</v>
      </c>
      <c r="BK20" s="83">
        <v>15</v>
      </c>
      <c r="BL20" s="83">
        <v>13</v>
      </c>
      <c r="BM20" s="83">
        <v>11</v>
      </c>
      <c r="BN20" s="83">
        <v>10</v>
      </c>
      <c r="BO20" s="83">
        <v>2</v>
      </c>
      <c r="BP20" s="83">
        <v>13</v>
      </c>
      <c r="BQ20" s="83">
        <v>16</v>
      </c>
      <c r="BR20" s="83">
        <v>14</v>
      </c>
      <c r="BS20" s="83">
        <v>14</v>
      </c>
      <c r="BT20" s="83">
        <v>14</v>
      </c>
      <c r="BU20" s="83">
        <v>13</v>
      </c>
      <c r="BV20" s="83">
        <v>3</v>
      </c>
      <c r="BW20" s="83">
        <v>9</v>
      </c>
      <c r="BX20" s="83">
        <v>13</v>
      </c>
      <c r="BY20" s="83">
        <v>16</v>
      </c>
      <c r="BZ20" s="83">
        <v>17</v>
      </c>
      <c r="CA20" s="83">
        <v>17</v>
      </c>
      <c r="CB20" s="83"/>
      <c r="CC20" s="83">
        <v>2</v>
      </c>
      <c r="CD20" s="83">
        <v>13</v>
      </c>
      <c r="CE20" s="83">
        <v>21</v>
      </c>
      <c r="CF20" s="83">
        <v>15</v>
      </c>
      <c r="CG20" s="83">
        <v>15</v>
      </c>
      <c r="CH20" s="83">
        <v>14</v>
      </c>
      <c r="CI20" s="83">
        <v>15</v>
      </c>
      <c r="CJ20" s="83">
        <v>3</v>
      </c>
      <c r="CK20" s="83">
        <v>13</v>
      </c>
      <c r="CL20" s="83">
        <v>14</v>
      </c>
      <c r="CM20" s="83">
        <v>16</v>
      </c>
      <c r="CN20" s="83">
        <v>14</v>
      </c>
      <c r="CO20" s="83">
        <v>15</v>
      </c>
      <c r="CP20" s="83">
        <v>9</v>
      </c>
      <c r="CQ20" s="83"/>
      <c r="CR20" s="83">
        <v>14</v>
      </c>
      <c r="CS20" s="83">
        <v>15</v>
      </c>
      <c r="CT20" s="83">
        <v>17</v>
      </c>
      <c r="CU20" s="83">
        <v>16</v>
      </c>
      <c r="CV20" s="83">
        <v>17</v>
      </c>
      <c r="CW20" s="83">
        <v>15</v>
      </c>
      <c r="CX20" s="83">
        <v>1</v>
      </c>
      <c r="CY20" s="83">
        <v>13</v>
      </c>
      <c r="CZ20" s="83">
        <v>14</v>
      </c>
      <c r="DA20" s="83">
        <v>14</v>
      </c>
      <c r="DB20" s="83">
        <v>15</v>
      </c>
      <c r="DC20" s="83">
        <v>16</v>
      </c>
      <c r="DD20" s="83">
        <v>15</v>
      </c>
      <c r="DE20" s="83">
        <v>4</v>
      </c>
      <c r="DF20" s="83"/>
      <c r="DG20" s="83">
        <v>15</v>
      </c>
      <c r="DH20" s="83">
        <v>16</v>
      </c>
      <c r="DI20" s="83">
        <v>9</v>
      </c>
      <c r="DJ20" s="83">
        <v>14</v>
      </c>
      <c r="DK20" s="83">
        <v>16</v>
      </c>
      <c r="DL20" s="83">
        <v>4</v>
      </c>
      <c r="DM20" s="83">
        <v>10</v>
      </c>
      <c r="DN20" s="83">
        <v>10</v>
      </c>
      <c r="DO20" s="83">
        <v>8</v>
      </c>
      <c r="DP20" s="83"/>
      <c r="DQ20" s="83">
        <v>11</v>
      </c>
      <c r="DR20" s="83">
        <v>8</v>
      </c>
      <c r="DS20" s="83">
        <v>1</v>
      </c>
      <c r="DT20" s="83">
        <v>11</v>
      </c>
      <c r="DU20" s="83">
        <v>10</v>
      </c>
      <c r="DV20" s="83">
        <v>11</v>
      </c>
      <c r="DW20" s="83">
        <v>11</v>
      </c>
      <c r="DX20" s="83"/>
      <c r="DY20" s="83">
        <v>8</v>
      </c>
      <c r="DZ20" s="83"/>
      <c r="EA20" s="83">
        <v>10</v>
      </c>
      <c r="EB20" s="83">
        <v>11</v>
      </c>
      <c r="EC20" s="83">
        <v>11</v>
      </c>
      <c r="ED20" s="83">
        <v>11</v>
      </c>
      <c r="EE20" s="83">
        <v>12</v>
      </c>
      <c r="EF20" s="83">
        <v>11</v>
      </c>
      <c r="EG20" s="83"/>
      <c r="EH20" s="83">
        <v>10</v>
      </c>
      <c r="EI20" s="83">
        <v>13</v>
      </c>
      <c r="EJ20" s="83"/>
      <c r="EK20" s="83"/>
      <c r="EL20" s="83"/>
      <c r="EM20" s="83"/>
      <c r="EN20" s="83"/>
      <c r="EO20" s="83"/>
      <c r="EP20" s="83"/>
      <c r="EQ20" s="83"/>
      <c r="ER20" s="83"/>
      <c r="ES20" s="83"/>
      <c r="ET20" s="83"/>
      <c r="EU20" s="83"/>
      <c r="EV20" s="83"/>
      <c r="EW20" s="83"/>
      <c r="EX20" s="83"/>
      <c r="EY20" s="83"/>
      <c r="EZ20" s="83"/>
      <c r="FA20" s="83"/>
    </row>
    <row r="21" spans="1:157" ht="20.100000000000001" customHeight="1">
      <c r="A21" s="292"/>
      <c r="B21" s="138" t="s">
        <v>16</v>
      </c>
      <c r="C21" s="266" t="str">
        <f>Master!B16</f>
        <v>C39-HK</v>
      </c>
      <c r="D21" s="6">
        <f>Master!C16</f>
        <v>5</v>
      </c>
      <c r="E21" s="12">
        <v>4</v>
      </c>
      <c r="F21" s="7">
        <v>3</v>
      </c>
      <c r="G21" s="7">
        <v>5</v>
      </c>
      <c r="H21" s="7">
        <v>5</v>
      </c>
      <c r="I21" s="7">
        <v>5</v>
      </c>
      <c r="J21" s="7">
        <v>4</v>
      </c>
      <c r="K21" s="7"/>
      <c r="L21" s="7">
        <v>4</v>
      </c>
      <c r="M21" s="7">
        <v>5</v>
      </c>
      <c r="N21" s="7">
        <v>5</v>
      </c>
      <c r="O21" s="7">
        <v>5</v>
      </c>
      <c r="P21" s="7">
        <v>5</v>
      </c>
      <c r="Q21" s="7">
        <v>4</v>
      </c>
      <c r="R21" s="7">
        <v>5</v>
      </c>
      <c r="S21" s="7">
        <v>3</v>
      </c>
      <c r="T21" s="7">
        <v>3</v>
      </c>
      <c r="U21" s="7">
        <v>2</v>
      </c>
      <c r="V21" s="7">
        <v>3</v>
      </c>
      <c r="W21" s="7">
        <v>4</v>
      </c>
      <c r="X21" s="7">
        <v>4</v>
      </c>
      <c r="Y21" s="7"/>
      <c r="Z21" s="7">
        <v>4</v>
      </c>
      <c r="AA21" s="7">
        <v>3</v>
      </c>
      <c r="AB21" s="7">
        <v>3</v>
      </c>
      <c r="AC21" s="7">
        <v>4</v>
      </c>
      <c r="AD21" s="7">
        <v>4</v>
      </c>
      <c r="AE21" s="7">
        <v>4</v>
      </c>
      <c r="AF21" s="7">
        <v>4</v>
      </c>
      <c r="AG21" s="7"/>
      <c r="AH21" s="92">
        <v>4</v>
      </c>
      <c r="AI21" s="83">
        <v>4</v>
      </c>
      <c r="AJ21" s="83">
        <v>4</v>
      </c>
      <c r="AK21" s="83">
        <v>5</v>
      </c>
      <c r="AL21" s="83">
        <v>6</v>
      </c>
      <c r="AM21" s="83">
        <v>6</v>
      </c>
      <c r="AN21" s="83">
        <v>4</v>
      </c>
      <c r="AO21" s="83">
        <v>5</v>
      </c>
      <c r="AP21" s="83">
        <v>4</v>
      </c>
      <c r="AQ21" s="83">
        <v>5</v>
      </c>
      <c r="AR21" s="83">
        <v>5</v>
      </c>
      <c r="AS21" s="83">
        <v>3</v>
      </c>
      <c r="AT21" s="83">
        <v>5</v>
      </c>
      <c r="AU21" s="83">
        <v>2</v>
      </c>
      <c r="AV21" s="83">
        <v>3</v>
      </c>
      <c r="AW21" s="83">
        <v>5</v>
      </c>
      <c r="AX21" s="83">
        <v>5</v>
      </c>
      <c r="AY21" s="83">
        <v>5</v>
      </c>
      <c r="AZ21" s="83">
        <v>4</v>
      </c>
      <c r="BA21" s="83">
        <v>3</v>
      </c>
      <c r="BB21" s="83">
        <v>5</v>
      </c>
      <c r="BC21" s="83">
        <v>4</v>
      </c>
      <c r="BD21" s="83">
        <v>5</v>
      </c>
      <c r="BE21" s="83">
        <v>5</v>
      </c>
      <c r="BF21" s="83">
        <v>5</v>
      </c>
      <c r="BG21" s="83">
        <v>5</v>
      </c>
      <c r="BH21" s="83">
        <v>4</v>
      </c>
      <c r="BI21" s="83">
        <v>5</v>
      </c>
      <c r="BJ21" s="83">
        <v>2</v>
      </c>
      <c r="BK21" s="83">
        <v>6</v>
      </c>
      <c r="BL21" s="83">
        <v>4</v>
      </c>
      <c r="BM21" s="83">
        <v>4</v>
      </c>
      <c r="BN21" s="83">
        <v>5</v>
      </c>
      <c r="BO21" s="83"/>
      <c r="BP21" s="83">
        <v>2</v>
      </c>
      <c r="BQ21" s="83">
        <v>3</v>
      </c>
      <c r="BR21" s="83">
        <v>3</v>
      </c>
      <c r="BS21" s="83">
        <v>4</v>
      </c>
      <c r="BT21" s="83">
        <v>2</v>
      </c>
      <c r="BU21" s="83">
        <v>2</v>
      </c>
      <c r="BV21" s="83">
        <v>1</v>
      </c>
      <c r="BW21" s="83">
        <v>4</v>
      </c>
      <c r="BX21" s="83">
        <v>6</v>
      </c>
      <c r="BY21" s="83">
        <v>7</v>
      </c>
      <c r="BZ21" s="83">
        <v>5</v>
      </c>
      <c r="CA21" s="83">
        <v>5</v>
      </c>
      <c r="CB21" s="83"/>
      <c r="CC21" s="83">
        <v>6</v>
      </c>
      <c r="CD21" s="83">
        <v>5</v>
      </c>
      <c r="CE21" s="83">
        <v>4</v>
      </c>
      <c r="CF21" s="83">
        <v>6</v>
      </c>
      <c r="CG21" s="83">
        <v>6</v>
      </c>
      <c r="CH21" s="83">
        <v>3</v>
      </c>
      <c r="CI21" s="83">
        <v>5</v>
      </c>
      <c r="CJ21" s="83">
        <v>4</v>
      </c>
      <c r="CK21" s="83">
        <v>6</v>
      </c>
      <c r="CL21" s="83">
        <v>6</v>
      </c>
      <c r="CM21" s="83">
        <v>5</v>
      </c>
      <c r="CN21" s="83">
        <v>6</v>
      </c>
      <c r="CO21" s="83">
        <v>5</v>
      </c>
      <c r="CP21" s="83">
        <v>4</v>
      </c>
      <c r="CQ21" s="83">
        <v>3</v>
      </c>
      <c r="CR21" s="83">
        <v>4</v>
      </c>
      <c r="CS21" s="83">
        <v>3</v>
      </c>
      <c r="CT21" s="83">
        <v>3</v>
      </c>
      <c r="CU21" s="83">
        <v>5</v>
      </c>
      <c r="CV21" s="83">
        <v>5</v>
      </c>
      <c r="CW21" s="83">
        <v>4</v>
      </c>
      <c r="CX21" s="83">
        <v>2</v>
      </c>
      <c r="CY21" s="83">
        <v>6</v>
      </c>
      <c r="CZ21" s="83">
        <v>6</v>
      </c>
      <c r="DA21" s="83">
        <v>6</v>
      </c>
      <c r="DB21" s="83">
        <v>3</v>
      </c>
      <c r="DC21" s="83">
        <v>5</v>
      </c>
      <c r="DD21" s="83">
        <v>5</v>
      </c>
      <c r="DE21" s="83">
        <v>5</v>
      </c>
      <c r="DF21" s="83"/>
      <c r="DG21" s="83">
        <v>4</v>
      </c>
      <c r="DH21" s="83">
        <v>6</v>
      </c>
      <c r="DI21" s="83">
        <v>5</v>
      </c>
      <c r="DJ21" s="83">
        <v>3</v>
      </c>
      <c r="DK21" s="83">
        <v>5</v>
      </c>
      <c r="DL21" s="83"/>
      <c r="DM21" s="83">
        <v>5</v>
      </c>
      <c r="DN21" s="83">
        <v>3</v>
      </c>
      <c r="DO21" s="83">
        <v>4</v>
      </c>
      <c r="DP21" s="83"/>
      <c r="DQ21" s="83">
        <v>3</v>
      </c>
      <c r="DR21" s="83">
        <v>5</v>
      </c>
      <c r="DS21" s="83">
        <v>5</v>
      </c>
      <c r="DT21" s="83">
        <v>5</v>
      </c>
      <c r="DU21" s="83">
        <v>5</v>
      </c>
      <c r="DV21" s="83">
        <v>5</v>
      </c>
      <c r="DW21" s="83">
        <v>4</v>
      </c>
      <c r="DX21" s="83"/>
      <c r="DY21" s="83">
        <v>5</v>
      </c>
      <c r="DZ21" s="83">
        <v>3</v>
      </c>
      <c r="EA21" s="83">
        <v>6</v>
      </c>
      <c r="EB21" s="83">
        <v>4</v>
      </c>
      <c r="EC21" s="83">
        <v>5</v>
      </c>
      <c r="ED21" s="83">
        <v>3</v>
      </c>
      <c r="EE21" s="83">
        <v>5</v>
      </c>
      <c r="EF21" s="83">
        <v>2</v>
      </c>
      <c r="EG21" s="83">
        <v>1</v>
      </c>
      <c r="EH21" s="83">
        <v>6</v>
      </c>
      <c r="EI21" s="83">
        <v>5</v>
      </c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  <c r="EX21" s="83"/>
      <c r="EY21" s="83"/>
      <c r="EZ21" s="83"/>
      <c r="FA21" s="83"/>
    </row>
    <row r="22" spans="1:157" ht="20.100000000000001" customHeight="1">
      <c r="A22" s="292"/>
      <c r="B22" s="138" t="s">
        <v>16</v>
      </c>
      <c r="C22" s="266" t="str">
        <f>Master!B17</f>
        <v>C6-HK</v>
      </c>
      <c r="D22" s="6">
        <f>Master!C17</f>
        <v>9</v>
      </c>
      <c r="E22" s="12">
        <v>8</v>
      </c>
      <c r="F22" s="7">
        <v>8</v>
      </c>
      <c r="G22" s="7">
        <v>9</v>
      </c>
      <c r="H22" s="7">
        <v>8</v>
      </c>
      <c r="I22" s="7">
        <v>8</v>
      </c>
      <c r="J22" s="7">
        <v>6</v>
      </c>
      <c r="K22" s="7"/>
      <c r="L22" s="7">
        <v>8</v>
      </c>
      <c r="M22" s="7">
        <v>7</v>
      </c>
      <c r="N22" s="7">
        <v>9</v>
      </c>
      <c r="O22" s="7">
        <v>8</v>
      </c>
      <c r="P22" s="7">
        <v>8</v>
      </c>
      <c r="Q22" s="7">
        <v>8</v>
      </c>
      <c r="R22" s="7"/>
      <c r="S22" s="7">
        <v>7</v>
      </c>
      <c r="T22" s="7">
        <v>8</v>
      </c>
      <c r="U22" s="7">
        <v>9</v>
      </c>
      <c r="V22" s="7">
        <v>8</v>
      </c>
      <c r="W22" s="7">
        <v>9</v>
      </c>
      <c r="X22" s="7">
        <v>10</v>
      </c>
      <c r="Y22" s="7">
        <v>7</v>
      </c>
      <c r="Z22" s="7">
        <v>9</v>
      </c>
      <c r="AA22" s="7">
        <v>9</v>
      </c>
      <c r="AB22" s="7">
        <v>10</v>
      </c>
      <c r="AC22" s="7">
        <v>10</v>
      </c>
      <c r="AD22" s="7">
        <v>9</v>
      </c>
      <c r="AE22" s="7">
        <v>8</v>
      </c>
      <c r="AF22" s="7">
        <v>6</v>
      </c>
      <c r="AG22" s="7"/>
      <c r="AH22" s="92">
        <v>8</v>
      </c>
      <c r="AI22" s="83">
        <v>9</v>
      </c>
      <c r="AJ22" s="83">
        <v>9</v>
      </c>
      <c r="AK22" s="83">
        <v>10</v>
      </c>
      <c r="AL22" s="83">
        <v>10</v>
      </c>
      <c r="AM22" s="83"/>
      <c r="AN22" s="83">
        <v>9</v>
      </c>
      <c r="AO22" s="83">
        <v>7</v>
      </c>
      <c r="AP22" s="83">
        <v>9</v>
      </c>
      <c r="AQ22" s="83">
        <v>5</v>
      </c>
      <c r="AR22" s="83">
        <v>8</v>
      </c>
      <c r="AS22" s="83">
        <v>4</v>
      </c>
      <c r="AT22" s="83"/>
      <c r="AU22" s="83">
        <v>10</v>
      </c>
      <c r="AV22" s="83">
        <v>9</v>
      </c>
      <c r="AW22" s="83">
        <v>9</v>
      </c>
      <c r="AX22" s="83">
        <v>9</v>
      </c>
      <c r="AY22" s="83">
        <v>8</v>
      </c>
      <c r="AZ22" s="83">
        <v>4</v>
      </c>
      <c r="BA22" s="83">
        <v>6</v>
      </c>
      <c r="BB22" s="83">
        <v>9</v>
      </c>
      <c r="BC22" s="83">
        <v>8</v>
      </c>
      <c r="BD22" s="83">
        <v>7</v>
      </c>
      <c r="BE22" s="83">
        <v>6</v>
      </c>
      <c r="BF22" s="83">
        <v>6</v>
      </c>
      <c r="BG22" s="83">
        <v>8</v>
      </c>
      <c r="BH22" s="83">
        <v>3</v>
      </c>
      <c r="BI22" s="83">
        <v>8</v>
      </c>
      <c r="BJ22" s="83">
        <v>8</v>
      </c>
      <c r="BK22" s="83">
        <v>8</v>
      </c>
      <c r="BL22" s="83">
        <v>7</v>
      </c>
      <c r="BM22" s="83">
        <v>9</v>
      </c>
      <c r="BN22" s="83">
        <v>8</v>
      </c>
      <c r="BO22" s="83">
        <v>4</v>
      </c>
      <c r="BP22" s="83">
        <v>8</v>
      </c>
      <c r="BQ22" s="83">
        <v>8</v>
      </c>
      <c r="BR22" s="83">
        <v>9</v>
      </c>
      <c r="BS22" s="83">
        <v>9</v>
      </c>
      <c r="BT22" s="83">
        <v>9</v>
      </c>
      <c r="BU22" s="83">
        <v>7</v>
      </c>
      <c r="BV22" s="83">
        <v>5</v>
      </c>
      <c r="BW22" s="83">
        <v>7</v>
      </c>
      <c r="BX22" s="83">
        <v>7</v>
      </c>
      <c r="BY22" s="83">
        <v>7</v>
      </c>
      <c r="BZ22" s="83">
        <v>10</v>
      </c>
      <c r="CA22" s="83">
        <v>9</v>
      </c>
      <c r="CB22" s="83"/>
      <c r="CC22" s="83">
        <v>9</v>
      </c>
      <c r="CD22" s="83">
        <v>3</v>
      </c>
      <c r="CE22" s="83">
        <v>9</v>
      </c>
      <c r="CF22" s="83">
        <v>10</v>
      </c>
      <c r="CG22" s="83">
        <v>8</v>
      </c>
      <c r="CH22" s="83">
        <v>8</v>
      </c>
      <c r="CI22" s="83">
        <v>9</v>
      </c>
      <c r="CJ22" s="83">
        <v>3</v>
      </c>
      <c r="CK22" s="83">
        <v>6</v>
      </c>
      <c r="CL22" s="83">
        <v>8</v>
      </c>
      <c r="CM22" s="83">
        <v>9</v>
      </c>
      <c r="CN22" s="83">
        <v>7</v>
      </c>
      <c r="CO22" s="83">
        <v>7</v>
      </c>
      <c r="CP22" s="83">
        <v>10</v>
      </c>
      <c r="CQ22" s="83">
        <v>5</v>
      </c>
      <c r="CR22" s="83">
        <v>7</v>
      </c>
      <c r="CS22" s="83">
        <v>9</v>
      </c>
      <c r="CT22" s="83">
        <v>9</v>
      </c>
      <c r="CU22" s="83">
        <v>10</v>
      </c>
      <c r="CV22" s="83">
        <v>10</v>
      </c>
      <c r="CW22" s="83">
        <v>9</v>
      </c>
      <c r="CX22" s="83">
        <v>4</v>
      </c>
      <c r="CY22" s="83">
        <v>9</v>
      </c>
      <c r="CZ22" s="83">
        <v>5</v>
      </c>
      <c r="DA22" s="83">
        <v>8</v>
      </c>
      <c r="DB22" s="83">
        <v>10</v>
      </c>
      <c r="DC22" s="83">
        <v>8</v>
      </c>
      <c r="DD22" s="83">
        <v>11</v>
      </c>
      <c r="DE22" s="83">
        <v>6</v>
      </c>
      <c r="DF22" s="83"/>
      <c r="DG22" s="83">
        <v>8</v>
      </c>
      <c r="DH22" s="83">
        <v>10</v>
      </c>
      <c r="DI22" s="83">
        <v>10</v>
      </c>
      <c r="DJ22" s="83">
        <v>9</v>
      </c>
      <c r="DK22" s="83">
        <v>5</v>
      </c>
      <c r="DL22" s="83"/>
      <c r="DM22" s="83">
        <v>8</v>
      </c>
      <c r="DN22" s="83">
        <v>8</v>
      </c>
      <c r="DO22" s="83">
        <v>9</v>
      </c>
      <c r="DP22" s="83"/>
      <c r="DQ22" s="83">
        <v>7</v>
      </c>
      <c r="DR22" s="83">
        <v>6</v>
      </c>
      <c r="DS22" s="83">
        <v>6</v>
      </c>
      <c r="DT22" s="83">
        <v>10</v>
      </c>
      <c r="DU22" s="83">
        <v>9</v>
      </c>
      <c r="DV22" s="83">
        <v>9</v>
      </c>
      <c r="DW22" s="83">
        <v>9</v>
      </c>
      <c r="DX22" s="83"/>
      <c r="DY22" s="83">
        <v>8</v>
      </c>
      <c r="DZ22" s="83">
        <v>6</v>
      </c>
      <c r="EA22" s="83">
        <v>8</v>
      </c>
      <c r="EB22" s="83">
        <v>8</v>
      </c>
      <c r="EC22" s="83">
        <v>8</v>
      </c>
      <c r="ED22" s="83">
        <v>7</v>
      </c>
      <c r="EE22" s="83">
        <v>9</v>
      </c>
      <c r="EF22" s="83">
        <v>7</v>
      </c>
      <c r="EG22" s="83">
        <v>2</v>
      </c>
      <c r="EH22" s="83">
        <v>8</v>
      </c>
      <c r="EI22" s="83">
        <v>9</v>
      </c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  <c r="EX22" s="83"/>
      <c r="EY22" s="83"/>
      <c r="EZ22" s="83"/>
      <c r="FA22" s="83"/>
    </row>
    <row r="23" spans="1:157" ht="20.100000000000001" customHeight="1">
      <c r="A23" s="292"/>
      <c r="B23" s="138" t="s">
        <v>16</v>
      </c>
      <c r="C23" s="267" t="str">
        <f>Master!B18</f>
        <v>Maintenance-C6&amp;C39</v>
      </c>
      <c r="D23" s="6">
        <f>Master!C18</f>
        <v>6</v>
      </c>
      <c r="E23" s="12">
        <v>4</v>
      </c>
      <c r="F23" s="7">
        <v>5</v>
      </c>
      <c r="G23" s="7">
        <v>4</v>
      </c>
      <c r="H23" s="7">
        <v>4</v>
      </c>
      <c r="I23" s="7">
        <v>4</v>
      </c>
      <c r="J23" s="7">
        <v>4</v>
      </c>
      <c r="K23" s="7"/>
      <c r="L23" s="7">
        <v>2</v>
      </c>
      <c r="M23" s="7">
        <v>4</v>
      </c>
      <c r="N23" s="7">
        <v>5</v>
      </c>
      <c r="O23" s="7">
        <v>4</v>
      </c>
      <c r="P23" s="7">
        <v>4</v>
      </c>
      <c r="Q23" s="7">
        <v>4</v>
      </c>
      <c r="R23" s="7">
        <v>3</v>
      </c>
      <c r="S23" s="7">
        <v>3</v>
      </c>
      <c r="T23" s="7">
        <v>4</v>
      </c>
      <c r="U23" s="7">
        <v>4</v>
      </c>
      <c r="V23" s="7">
        <v>5</v>
      </c>
      <c r="W23" s="7">
        <v>4</v>
      </c>
      <c r="X23" s="7">
        <v>4</v>
      </c>
      <c r="Y23" s="7">
        <v>1</v>
      </c>
      <c r="Z23" s="7">
        <v>3</v>
      </c>
      <c r="AA23" s="7">
        <v>4</v>
      </c>
      <c r="AB23" s="7">
        <v>4</v>
      </c>
      <c r="AC23" s="7">
        <v>4</v>
      </c>
      <c r="AD23" s="7">
        <v>3</v>
      </c>
      <c r="AE23" s="7">
        <v>0</v>
      </c>
      <c r="AF23" s="7">
        <v>2</v>
      </c>
      <c r="AG23" s="7"/>
      <c r="AH23" s="92">
        <v>5</v>
      </c>
      <c r="AI23" s="83">
        <v>5</v>
      </c>
      <c r="AJ23" s="83">
        <v>6</v>
      </c>
      <c r="AK23" s="83">
        <v>6</v>
      </c>
      <c r="AL23" s="83">
        <v>5</v>
      </c>
      <c r="AM23" s="83">
        <v>4</v>
      </c>
      <c r="AN23" s="83">
        <v>6</v>
      </c>
      <c r="AO23" s="83">
        <v>3</v>
      </c>
      <c r="AP23" s="83">
        <v>4</v>
      </c>
      <c r="AQ23" s="83">
        <v>5</v>
      </c>
      <c r="AR23" s="83">
        <v>6</v>
      </c>
      <c r="AS23" s="83">
        <v>6</v>
      </c>
      <c r="AT23" s="83">
        <v>4</v>
      </c>
      <c r="AU23" s="83">
        <v>4</v>
      </c>
      <c r="AV23" s="83">
        <v>5</v>
      </c>
      <c r="AW23" s="83">
        <v>7</v>
      </c>
      <c r="AX23" s="83">
        <v>5</v>
      </c>
      <c r="AY23" s="83">
        <v>5</v>
      </c>
      <c r="AZ23" s="83">
        <v>5</v>
      </c>
      <c r="BA23" s="83">
        <v>4</v>
      </c>
      <c r="BB23" s="83">
        <v>6</v>
      </c>
      <c r="BC23" s="83">
        <v>6</v>
      </c>
      <c r="BD23" s="83">
        <v>6</v>
      </c>
      <c r="BE23" s="83">
        <f>1+5</f>
        <v>6</v>
      </c>
      <c r="BF23" s="83">
        <v>7</v>
      </c>
      <c r="BG23" s="83">
        <v>4</v>
      </c>
      <c r="BH23" s="83">
        <v>6</v>
      </c>
      <c r="BI23" s="83">
        <v>8</v>
      </c>
      <c r="BJ23" s="83">
        <v>6</v>
      </c>
      <c r="BK23" s="83">
        <v>5</v>
      </c>
      <c r="BL23" s="83">
        <v>6</v>
      </c>
      <c r="BM23" s="83">
        <v>4</v>
      </c>
      <c r="BN23" s="83">
        <v>6</v>
      </c>
      <c r="BO23" s="83">
        <v>5</v>
      </c>
      <c r="BP23" s="83">
        <v>7</v>
      </c>
      <c r="BQ23" s="83">
        <v>7</v>
      </c>
      <c r="BR23" s="83">
        <v>7</v>
      </c>
      <c r="BS23" s="83">
        <v>5</v>
      </c>
      <c r="BT23" s="83">
        <v>3</v>
      </c>
      <c r="BU23" s="83">
        <v>7</v>
      </c>
      <c r="BV23" s="83">
        <v>6</v>
      </c>
      <c r="BW23" s="83">
        <v>7</v>
      </c>
      <c r="BX23" s="83">
        <v>6</v>
      </c>
      <c r="BY23" s="83">
        <v>4</v>
      </c>
      <c r="BZ23" s="83">
        <v>6</v>
      </c>
      <c r="CA23" s="83">
        <v>7</v>
      </c>
      <c r="CB23" s="83"/>
      <c r="CC23" s="83">
        <v>6</v>
      </c>
      <c r="CD23" s="83">
        <v>5</v>
      </c>
      <c r="CE23" s="83">
        <v>5</v>
      </c>
      <c r="CF23" s="83">
        <v>6</v>
      </c>
      <c r="CG23" s="83">
        <v>5</v>
      </c>
      <c r="CH23" s="83">
        <v>5</v>
      </c>
      <c r="CI23" s="83">
        <v>7</v>
      </c>
      <c r="CJ23" s="83">
        <v>3</v>
      </c>
      <c r="CK23" s="83">
        <v>6</v>
      </c>
      <c r="CL23" s="83">
        <v>5</v>
      </c>
      <c r="CM23" s="83">
        <v>6</v>
      </c>
      <c r="CN23" s="83">
        <v>5</v>
      </c>
      <c r="CO23" s="83">
        <v>6</v>
      </c>
      <c r="CP23" s="83">
        <v>5</v>
      </c>
      <c r="CQ23" s="83">
        <v>5</v>
      </c>
      <c r="CR23" s="83">
        <v>5</v>
      </c>
      <c r="CS23" s="83">
        <v>5</v>
      </c>
      <c r="CT23" s="83">
        <v>4</v>
      </c>
      <c r="CU23" s="83">
        <v>4</v>
      </c>
      <c r="CV23" s="83">
        <v>5</v>
      </c>
      <c r="CW23" s="83">
        <v>5</v>
      </c>
      <c r="CX23" s="83">
        <v>5</v>
      </c>
      <c r="CY23" s="83">
        <v>5</v>
      </c>
      <c r="CZ23" s="83">
        <v>5</v>
      </c>
      <c r="DA23" s="83">
        <v>6</v>
      </c>
      <c r="DB23" s="83">
        <v>4</v>
      </c>
      <c r="DC23" s="83">
        <v>5</v>
      </c>
      <c r="DD23" s="83">
        <v>5</v>
      </c>
      <c r="DE23" s="83">
        <v>5</v>
      </c>
      <c r="DF23" s="83">
        <v>7</v>
      </c>
      <c r="DG23" s="83">
        <v>5</v>
      </c>
      <c r="DH23" s="83">
        <v>4</v>
      </c>
      <c r="DI23" s="83">
        <v>5</v>
      </c>
      <c r="DJ23" s="83">
        <v>6</v>
      </c>
      <c r="DK23" s="83">
        <v>5</v>
      </c>
      <c r="DL23" s="83">
        <v>6</v>
      </c>
      <c r="DM23" s="83">
        <v>5</v>
      </c>
      <c r="DN23" s="83">
        <v>5</v>
      </c>
      <c r="DO23" s="83">
        <v>5</v>
      </c>
      <c r="DP23" s="83"/>
      <c r="DQ23" s="83">
        <v>4</v>
      </c>
      <c r="DR23" s="83">
        <v>4</v>
      </c>
      <c r="DS23" s="83">
        <v>5</v>
      </c>
      <c r="DT23" s="83">
        <v>4</v>
      </c>
      <c r="DU23" s="83">
        <v>4</v>
      </c>
      <c r="DV23" s="83">
        <v>4</v>
      </c>
      <c r="DW23" s="83">
        <v>4</v>
      </c>
      <c r="DX23" s="83"/>
      <c r="DY23" s="83">
        <v>5</v>
      </c>
      <c r="DZ23" s="83">
        <v>3</v>
      </c>
      <c r="EA23" s="83">
        <v>4</v>
      </c>
      <c r="EB23" s="83">
        <v>4</v>
      </c>
      <c r="EC23" s="83">
        <v>1</v>
      </c>
      <c r="ED23" s="83">
        <v>5</v>
      </c>
      <c r="EE23" s="83">
        <v>3</v>
      </c>
      <c r="EF23" s="83">
        <v>4</v>
      </c>
      <c r="EG23" s="83">
        <v>4</v>
      </c>
      <c r="EH23" s="83">
        <v>4</v>
      </c>
      <c r="EI23" s="83">
        <v>5</v>
      </c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  <c r="EX23" s="83"/>
      <c r="EY23" s="83"/>
      <c r="EZ23" s="83"/>
      <c r="FA23" s="83"/>
    </row>
    <row r="24" spans="1:157" ht="20.100000000000001" customHeight="1">
      <c r="A24" s="292"/>
      <c r="B24" s="138" t="s">
        <v>16</v>
      </c>
      <c r="C24" s="267" t="str">
        <f>Master!B19</f>
        <v>Admin</v>
      </c>
      <c r="D24" s="6">
        <f>Master!C19</f>
        <v>4</v>
      </c>
      <c r="E24" s="12">
        <v>3</v>
      </c>
      <c r="F24" s="7">
        <v>4</v>
      </c>
      <c r="G24" s="7">
        <v>2</v>
      </c>
      <c r="H24" s="7">
        <v>3</v>
      </c>
      <c r="I24" s="7">
        <v>3</v>
      </c>
      <c r="J24" s="7">
        <v>4</v>
      </c>
      <c r="K24" s="7"/>
      <c r="L24" s="7">
        <v>3</v>
      </c>
      <c r="M24" s="7">
        <v>4</v>
      </c>
      <c r="N24" s="7">
        <v>3</v>
      </c>
      <c r="O24" s="7">
        <v>4</v>
      </c>
      <c r="P24" s="7">
        <v>3</v>
      </c>
      <c r="Q24" s="7">
        <v>4</v>
      </c>
      <c r="R24" s="7"/>
      <c r="S24" s="7">
        <v>4</v>
      </c>
      <c r="T24" s="7">
        <v>3</v>
      </c>
      <c r="U24" s="7">
        <v>4</v>
      </c>
      <c r="V24" s="7">
        <v>4</v>
      </c>
      <c r="W24" s="7">
        <v>4</v>
      </c>
      <c r="X24" s="7">
        <v>4</v>
      </c>
      <c r="Y24" s="7"/>
      <c r="Z24" s="7">
        <v>4</v>
      </c>
      <c r="AA24" s="7">
        <v>4</v>
      </c>
      <c r="AB24" s="7">
        <v>3</v>
      </c>
      <c r="AC24" s="7">
        <v>4</v>
      </c>
      <c r="AD24" s="7">
        <v>4</v>
      </c>
      <c r="AE24" s="7">
        <v>3</v>
      </c>
      <c r="AF24" s="7">
        <v>3</v>
      </c>
      <c r="AG24" s="7"/>
      <c r="AH24" s="92">
        <v>4</v>
      </c>
      <c r="AI24" s="83">
        <v>3</v>
      </c>
      <c r="AJ24" s="83">
        <v>3</v>
      </c>
      <c r="AK24" s="83">
        <v>3</v>
      </c>
      <c r="AL24" s="83">
        <v>3</v>
      </c>
      <c r="AM24" s="83"/>
      <c r="AN24" s="83">
        <v>2</v>
      </c>
      <c r="AO24" s="83">
        <v>3</v>
      </c>
      <c r="AP24" s="83">
        <v>3</v>
      </c>
      <c r="AQ24" s="83">
        <v>3</v>
      </c>
      <c r="AR24" s="83">
        <v>3</v>
      </c>
      <c r="AS24" s="83">
        <v>3</v>
      </c>
      <c r="AT24" s="83"/>
      <c r="AU24" s="83">
        <v>3</v>
      </c>
      <c r="AV24" s="83">
        <v>3</v>
      </c>
      <c r="AW24" s="83">
        <v>3</v>
      </c>
      <c r="AX24" s="83">
        <v>3</v>
      </c>
      <c r="AY24" s="83">
        <v>3</v>
      </c>
      <c r="AZ24" s="83">
        <v>1</v>
      </c>
      <c r="BA24" s="83">
        <v>0</v>
      </c>
      <c r="BB24" s="83">
        <v>2</v>
      </c>
      <c r="BC24" s="83">
        <v>3</v>
      </c>
      <c r="BD24" s="83">
        <v>2</v>
      </c>
      <c r="BE24" s="83">
        <v>2</v>
      </c>
      <c r="BF24" s="83">
        <v>1</v>
      </c>
      <c r="BG24" s="83">
        <v>1</v>
      </c>
      <c r="BH24" s="83">
        <v>1</v>
      </c>
      <c r="BI24" s="83">
        <v>2</v>
      </c>
      <c r="BJ24" s="83">
        <v>3</v>
      </c>
      <c r="BK24" s="83">
        <v>1</v>
      </c>
      <c r="BL24" s="83">
        <v>3</v>
      </c>
      <c r="BM24" s="83">
        <v>1</v>
      </c>
      <c r="BN24" s="83">
        <v>2</v>
      </c>
      <c r="BO24" s="83"/>
      <c r="BP24" s="83">
        <v>3</v>
      </c>
      <c r="BQ24" s="83">
        <v>3</v>
      </c>
      <c r="BR24" s="83">
        <v>3</v>
      </c>
      <c r="BS24" s="83">
        <v>1</v>
      </c>
      <c r="BT24" s="83">
        <v>3</v>
      </c>
      <c r="BU24" s="83">
        <v>3</v>
      </c>
      <c r="BV24" s="83">
        <v>2</v>
      </c>
      <c r="BW24" s="83">
        <v>3</v>
      </c>
      <c r="BX24" s="83">
        <v>4</v>
      </c>
      <c r="BY24" s="83">
        <v>4</v>
      </c>
      <c r="BZ24" s="83">
        <v>3</v>
      </c>
      <c r="CA24" s="83">
        <v>3</v>
      </c>
      <c r="CB24" s="83"/>
      <c r="CC24" s="83">
        <v>1</v>
      </c>
      <c r="CD24" s="83">
        <v>2</v>
      </c>
      <c r="CE24" s="83">
        <v>3</v>
      </c>
      <c r="CF24" s="83">
        <v>3</v>
      </c>
      <c r="CG24" s="83">
        <v>3</v>
      </c>
      <c r="CH24" s="83">
        <v>3</v>
      </c>
      <c r="CI24" s="83">
        <v>2</v>
      </c>
      <c r="CJ24" s="83"/>
      <c r="CK24" s="83">
        <v>2</v>
      </c>
      <c r="CL24" s="83">
        <v>2</v>
      </c>
      <c r="CM24" s="83">
        <v>3</v>
      </c>
      <c r="CN24" s="83">
        <v>2</v>
      </c>
      <c r="CO24" s="83">
        <v>3</v>
      </c>
      <c r="CP24" s="83">
        <v>3</v>
      </c>
      <c r="CQ24" s="83"/>
      <c r="CR24" s="83">
        <v>3</v>
      </c>
      <c r="CS24" s="83">
        <v>3</v>
      </c>
      <c r="CT24" s="83">
        <v>3</v>
      </c>
      <c r="CU24" s="83">
        <v>3</v>
      </c>
      <c r="CV24" s="83">
        <v>1</v>
      </c>
      <c r="CW24" s="83">
        <v>3</v>
      </c>
      <c r="CX24" s="83"/>
      <c r="CY24" s="83">
        <v>1</v>
      </c>
      <c r="CZ24" s="83">
        <v>4</v>
      </c>
      <c r="DA24" s="83">
        <v>3</v>
      </c>
      <c r="DB24" s="83">
        <v>3</v>
      </c>
      <c r="DC24" s="83">
        <v>2</v>
      </c>
      <c r="DD24" s="83">
        <v>3</v>
      </c>
      <c r="DE24" s="83">
        <v>1</v>
      </c>
      <c r="DF24" s="83"/>
      <c r="DG24" s="83">
        <v>3</v>
      </c>
      <c r="DH24" s="83">
        <v>3</v>
      </c>
      <c r="DI24" s="83"/>
      <c r="DJ24" s="83">
        <v>3</v>
      </c>
      <c r="DK24" s="83">
        <v>3</v>
      </c>
      <c r="DL24" s="83"/>
      <c r="DM24" s="83">
        <v>4</v>
      </c>
      <c r="DN24" s="83">
        <v>3</v>
      </c>
      <c r="DO24" s="83">
        <v>3</v>
      </c>
      <c r="DP24" s="83"/>
      <c r="DQ24" s="83">
        <v>2</v>
      </c>
      <c r="DR24" s="83">
        <v>3</v>
      </c>
      <c r="DS24" s="83">
        <v>0</v>
      </c>
      <c r="DT24" s="83">
        <v>3</v>
      </c>
      <c r="DU24" s="83">
        <v>2</v>
      </c>
      <c r="DV24" s="83">
        <v>3</v>
      </c>
      <c r="DW24" s="83">
        <v>3</v>
      </c>
      <c r="DX24" s="83"/>
      <c r="DY24" s="83">
        <v>3</v>
      </c>
      <c r="DZ24" s="83">
        <v>1</v>
      </c>
      <c r="EA24" s="83">
        <v>3</v>
      </c>
      <c r="EB24" s="83">
        <v>3</v>
      </c>
      <c r="EC24" s="83">
        <v>3</v>
      </c>
      <c r="ED24" s="83">
        <v>1</v>
      </c>
      <c r="EE24" s="83">
        <v>3</v>
      </c>
      <c r="EF24" s="83">
        <v>4</v>
      </c>
      <c r="EG24" s="83">
        <v>1</v>
      </c>
      <c r="EH24" s="83">
        <v>3</v>
      </c>
      <c r="EI24" s="83">
        <v>3</v>
      </c>
      <c r="EJ24" s="83"/>
      <c r="EK24" s="83"/>
      <c r="EL24" s="83"/>
      <c r="EM24" s="83"/>
      <c r="EN24" s="83"/>
      <c r="EO24" s="83"/>
      <c r="EP24" s="83"/>
      <c r="EQ24" s="83"/>
      <c r="ER24" s="83"/>
      <c r="ES24" s="83"/>
      <c r="ET24" s="83"/>
      <c r="EU24" s="83"/>
      <c r="EV24" s="83"/>
      <c r="EW24" s="83"/>
      <c r="EX24" s="83"/>
      <c r="EY24" s="83"/>
      <c r="EZ24" s="83"/>
      <c r="FA24" s="83"/>
    </row>
    <row r="25" spans="1:157" ht="20.100000000000001" customHeight="1">
      <c r="A25" s="292"/>
      <c r="B25" s="138" t="s">
        <v>16</v>
      </c>
      <c r="C25" s="267" t="str">
        <f>Master!B20</f>
        <v>Lab</v>
      </c>
      <c r="D25" s="6">
        <f>Master!C20</f>
        <v>1</v>
      </c>
      <c r="E25" s="12">
        <v>2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/>
      <c r="L25" s="7">
        <v>1</v>
      </c>
      <c r="M25" s="7">
        <v>1</v>
      </c>
      <c r="N25" s="7">
        <v>1</v>
      </c>
      <c r="O25" s="41">
        <v>1</v>
      </c>
      <c r="P25" s="7">
        <v>1</v>
      </c>
      <c r="Q25" s="7">
        <v>1</v>
      </c>
      <c r="R25" s="7"/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/>
      <c r="Z25" s="7">
        <v>1</v>
      </c>
      <c r="AA25" s="7">
        <v>0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/>
      <c r="AH25" s="92">
        <v>1</v>
      </c>
      <c r="AI25" s="83">
        <v>1</v>
      </c>
      <c r="AJ25" s="83">
        <v>1</v>
      </c>
      <c r="AK25" s="83">
        <v>1</v>
      </c>
      <c r="AL25" s="83">
        <v>1</v>
      </c>
      <c r="AM25" s="83"/>
      <c r="AN25" s="83">
        <v>1</v>
      </c>
      <c r="AO25" s="83">
        <v>1</v>
      </c>
      <c r="AP25" s="83">
        <v>1</v>
      </c>
      <c r="AQ25" s="83">
        <v>1</v>
      </c>
      <c r="AR25" s="83">
        <v>1</v>
      </c>
      <c r="AS25" s="83">
        <v>1</v>
      </c>
      <c r="AT25" s="83">
        <v>1</v>
      </c>
      <c r="AU25" s="83">
        <v>1</v>
      </c>
      <c r="AV25" s="83">
        <v>1</v>
      </c>
      <c r="AW25" s="83">
        <v>1</v>
      </c>
      <c r="AX25" s="83">
        <v>1</v>
      </c>
      <c r="AY25" s="83">
        <v>1</v>
      </c>
      <c r="AZ25" s="83">
        <v>0</v>
      </c>
      <c r="BA25" s="83">
        <v>0</v>
      </c>
      <c r="BB25" s="83">
        <v>1</v>
      </c>
      <c r="BC25" s="83">
        <v>1</v>
      </c>
      <c r="BD25" s="83">
        <v>1</v>
      </c>
      <c r="BE25" s="83">
        <v>1</v>
      </c>
      <c r="BF25" s="83">
        <v>1</v>
      </c>
      <c r="BG25" s="83">
        <v>1</v>
      </c>
      <c r="BH25" s="83"/>
      <c r="BI25" s="83">
        <v>1</v>
      </c>
      <c r="BJ25" s="83">
        <v>1</v>
      </c>
      <c r="BK25" s="83">
        <v>1</v>
      </c>
      <c r="BL25" s="83">
        <v>1</v>
      </c>
      <c r="BM25" s="83">
        <v>1</v>
      </c>
      <c r="BN25" s="83">
        <v>0</v>
      </c>
      <c r="BO25" s="83"/>
      <c r="BP25" s="83">
        <v>1</v>
      </c>
      <c r="BQ25" s="83">
        <v>1</v>
      </c>
      <c r="BR25" s="83">
        <v>1</v>
      </c>
      <c r="BS25" s="83">
        <v>0</v>
      </c>
      <c r="BT25" s="83">
        <v>1</v>
      </c>
      <c r="BU25" s="83">
        <v>1</v>
      </c>
      <c r="BV25" s="83">
        <v>1</v>
      </c>
      <c r="BW25" s="83">
        <v>1</v>
      </c>
      <c r="BX25" s="83">
        <v>1</v>
      </c>
      <c r="BY25" s="83">
        <v>1</v>
      </c>
      <c r="BZ25" s="83">
        <v>1</v>
      </c>
      <c r="CA25" s="83">
        <v>1</v>
      </c>
      <c r="CB25" s="83"/>
      <c r="CC25" s="83">
        <v>1</v>
      </c>
      <c r="CD25" s="83">
        <v>0</v>
      </c>
      <c r="CE25" s="83">
        <v>1</v>
      </c>
      <c r="CF25" s="83">
        <v>1</v>
      </c>
      <c r="CG25" s="83">
        <v>1</v>
      </c>
      <c r="CH25" s="83">
        <v>1</v>
      </c>
      <c r="CI25" s="83">
        <v>1</v>
      </c>
      <c r="CJ25" s="83"/>
      <c r="CK25" s="83">
        <v>1</v>
      </c>
      <c r="CL25" s="83">
        <v>1</v>
      </c>
      <c r="CM25" s="83">
        <v>1</v>
      </c>
      <c r="CN25" s="83">
        <v>1</v>
      </c>
      <c r="CO25" s="83">
        <v>1</v>
      </c>
      <c r="CP25" s="83">
        <v>0</v>
      </c>
      <c r="CQ25" s="83"/>
      <c r="CR25" s="83">
        <v>0</v>
      </c>
      <c r="CS25" s="83">
        <v>1</v>
      </c>
      <c r="CT25" s="83">
        <v>1</v>
      </c>
      <c r="CU25" s="83">
        <v>1</v>
      </c>
      <c r="CV25" s="83">
        <v>1</v>
      </c>
      <c r="CW25" s="83">
        <v>1</v>
      </c>
      <c r="CX25" s="83"/>
      <c r="CY25" s="83">
        <v>1</v>
      </c>
      <c r="CZ25" s="83">
        <v>1</v>
      </c>
      <c r="DA25" s="83">
        <v>1</v>
      </c>
      <c r="DB25" s="83">
        <v>1</v>
      </c>
      <c r="DC25" s="83">
        <v>1</v>
      </c>
      <c r="DD25" s="83">
        <v>1</v>
      </c>
      <c r="DE25" s="83"/>
      <c r="DF25" s="83"/>
      <c r="DG25" s="83">
        <v>1</v>
      </c>
      <c r="DH25" s="83">
        <v>1</v>
      </c>
      <c r="DI25" s="83">
        <v>1</v>
      </c>
      <c r="DJ25" s="83">
        <v>1</v>
      </c>
      <c r="DK25" s="83">
        <v>1</v>
      </c>
      <c r="DL25" s="83">
        <v>3</v>
      </c>
      <c r="DM25" s="83">
        <v>1</v>
      </c>
      <c r="DN25" s="83">
        <v>1</v>
      </c>
      <c r="DO25" s="83">
        <v>1</v>
      </c>
      <c r="DP25" s="83"/>
      <c r="DQ25" s="83">
        <v>1</v>
      </c>
      <c r="DR25" s="83">
        <v>1</v>
      </c>
      <c r="DS25" s="83">
        <v>0</v>
      </c>
      <c r="DT25" s="83">
        <v>1</v>
      </c>
      <c r="DU25" s="83">
        <v>1</v>
      </c>
      <c r="DV25" s="83">
        <v>1</v>
      </c>
      <c r="DW25" s="83">
        <v>1</v>
      </c>
      <c r="DX25" s="83"/>
      <c r="DY25" s="83">
        <v>0</v>
      </c>
      <c r="DZ25" s="83"/>
      <c r="EA25" s="83">
        <v>1</v>
      </c>
      <c r="EB25" s="83">
        <v>1</v>
      </c>
      <c r="EC25" s="83">
        <v>1</v>
      </c>
      <c r="ED25" s="83">
        <v>1</v>
      </c>
      <c r="EE25" s="83">
        <v>1</v>
      </c>
      <c r="EF25" s="83">
        <v>0</v>
      </c>
      <c r="EG25" s="83"/>
      <c r="EH25" s="83">
        <v>1</v>
      </c>
      <c r="EI25" s="83">
        <v>1</v>
      </c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</row>
    <row r="26" spans="1:157" ht="20.100000000000001" customHeight="1">
      <c r="A26" s="292"/>
      <c r="B26" s="138" t="s">
        <v>16</v>
      </c>
      <c r="C26" s="5" t="str">
        <f>Master!B21</f>
        <v>Project</v>
      </c>
      <c r="D26" s="6">
        <f>Master!C21</f>
        <v>2</v>
      </c>
      <c r="E26" s="12">
        <v>2</v>
      </c>
      <c r="F26" s="7">
        <v>2</v>
      </c>
      <c r="G26" s="7">
        <v>2</v>
      </c>
      <c r="H26" s="7">
        <v>1</v>
      </c>
      <c r="I26" s="7">
        <v>1</v>
      </c>
      <c r="J26" s="7">
        <v>1</v>
      </c>
      <c r="K26" s="7"/>
      <c r="L26" s="7">
        <v>1</v>
      </c>
      <c r="M26" s="7">
        <v>2</v>
      </c>
      <c r="N26" s="7">
        <v>2</v>
      </c>
      <c r="O26" s="7">
        <v>2</v>
      </c>
      <c r="P26" s="7">
        <v>1</v>
      </c>
      <c r="Q26" s="7">
        <v>1</v>
      </c>
      <c r="R26" s="7"/>
      <c r="S26" s="7">
        <v>2</v>
      </c>
      <c r="T26" s="7">
        <v>1</v>
      </c>
      <c r="U26" s="7">
        <v>1</v>
      </c>
      <c r="V26" s="7">
        <v>2</v>
      </c>
      <c r="W26" s="7">
        <v>2</v>
      </c>
      <c r="X26" s="7">
        <v>2</v>
      </c>
      <c r="Y26" s="7"/>
      <c r="Z26" s="7">
        <v>2</v>
      </c>
      <c r="AA26" s="7">
        <v>2</v>
      </c>
      <c r="AB26" s="7">
        <v>1</v>
      </c>
      <c r="AC26" s="7">
        <v>2</v>
      </c>
      <c r="AD26" s="7">
        <v>2</v>
      </c>
      <c r="AE26" s="7">
        <v>2</v>
      </c>
      <c r="AF26" s="7">
        <v>1</v>
      </c>
      <c r="AG26" s="7"/>
      <c r="AH26" s="92">
        <v>2</v>
      </c>
      <c r="AI26" s="83">
        <v>2</v>
      </c>
      <c r="AJ26" s="83">
        <v>2</v>
      </c>
      <c r="AK26" s="83">
        <v>2</v>
      </c>
      <c r="AL26" s="83">
        <v>2</v>
      </c>
      <c r="AM26" s="83"/>
      <c r="AN26" s="83">
        <v>2</v>
      </c>
      <c r="AO26" s="83">
        <v>2</v>
      </c>
      <c r="AP26" s="83">
        <v>2</v>
      </c>
      <c r="AQ26" s="83">
        <v>1</v>
      </c>
      <c r="AR26" s="83">
        <v>2</v>
      </c>
      <c r="AS26" s="83">
        <v>2</v>
      </c>
      <c r="AT26" s="83"/>
      <c r="AU26" s="83">
        <v>1</v>
      </c>
      <c r="AV26" s="83">
        <v>1</v>
      </c>
      <c r="AW26" s="83">
        <v>1</v>
      </c>
      <c r="AX26" s="83">
        <v>1</v>
      </c>
      <c r="AY26" s="83">
        <v>2</v>
      </c>
      <c r="AZ26" s="83">
        <v>2</v>
      </c>
      <c r="BA26" s="83">
        <v>0</v>
      </c>
      <c r="BB26" s="83">
        <v>2</v>
      </c>
      <c r="BC26" s="83">
        <v>2</v>
      </c>
      <c r="BD26" s="83">
        <v>0</v>
      </c>
      <c r="BE26" s="83">
        <v>2</v>
      </c>
      <c r="BF26" s="83">
        <v>2</v>
      </c>
      <c r="BG26" s="83">
        <v>1</v>
      </c>
      <c r="BH26" s="83"/>
      <c r="BI26" s="83">
        <v>1</v>
      </c>
      <c r="BJ26" s="83">
        <v>2</v>
      </c>
      <c r="BK26" s="83">
        <v>2</v>
      </c>
      <c r="BL26" s="83">
        <v>2</v>
      </c>
      <c r="BM26" s="83">
        <v>1</v>
      </c>
      <c r="BN26" s="83">
        <v>1</v>
      </c>
      <c r="BO26" s="83"/>
      <c r="BP26" s="83">
        <v>1</v>
      </c>
      <c r="BQ26" s="83">
        <v>2</v>
      </c>
      <c r="BR26" s="83">
        <v>1</v>
      </c>
      <c r="BS26" s="83">
        <v>2</v>
      </c>
      <c r="BT26" s="83">
        <v>1</v>
      </c>
      <c r="BU26" s="83">
        <v>2</v>
      </c>
      <c r="BV26" s="83">
        <v>0</v>
      </c>
      <c r="BW26" s="83">
        <v>2</v>
      </c>
      <c r="BX26" s="83">
        <v>2</v>
      </c>
      <c r="BY26" s="83">
        <v>2</v>
      </c>
      <c r="BZ26" s="83">
        <v>2</v>
      </c>
      <c r="CA26" s="83">
        <v>2</v>
      </c>
      <c r="CB26" s="83"/>
      <c r="CC26" s="83">
        <v>0</v>
      </c>
      <c r="CD26" s="83">
        <v>2</v>
      </c>
      <c r="CE26" s="83">
        <v>2</v>
      </c>
      <c r="CF26" s="83">
        <v>2</v>
      </c>
      <c r="CG26" s="83">
        <v>1</v>
      </c>
      <c r="CH26" s="83">
        <v>1</v>
      </c>
      <c r="CI26" s="83">
        <v>2</v>
      </c>
      <c r="CJ26" s="83"/>
      <c r="CK26" s="83">
        <v>2</v>
      </c>
      <c r="CL26" s="83">
        <v>2</v>
      </c>
      <c r="CM26" s="83">
        <v>2</v>
      </c>
      <c r="CN26" s="83">
        <v>2</v>
      </c>
      <c r="CO26" s="83">
        <v>1</v>
      </c>
      <c r="CP26" s="83">
        <v>2</v>
      </c>
      <c r="CQ26" s="83"/>
      <c r="CR26" s="83">
        <v>2</v>
      </c>
      <c r="CS26" s="83">
        <v>2</v>
      </c>
      <c r="CT26" s="83">
        <v>2</v>
      </c>
      <c r="CU26" s="83">
        <v>2</v>
      </c>
      <c r="CV26" s="83">
        <v>2</v>
      </c>
      <c r="CW26" s="83">
        <v>2</v>
      </c>
      <c r="CX26" s="83"/>
      <c r="CY26" s="83">
        <v>2</v>
      </c>
      <c r="CZ26" s="83">
        <v>2</v>
      </c>
      <c r="DA26" s="83">
        <v>2</v>
      </c>
      <c r="DB26" s="83">
        <v>2</v>
      </c>
      <c r="DC26" s="83">
        <v>2</v>
      </c>
      <c r="DD26" s="83">
        <v>2</v>
      </c>
      <c r="DE26" s="83"/>
      <c r="DF26" s="83"/>
      <c r="DG26" s="83">
        <v>2</v>
      </c>
      <c r="DH26" s="83">
        <v>1</v>
      </c>
      <c r="DI26" s="83"/>
      <c r="DJ26" s="83">
        <v>2</v>
      </c>
      <c r="DK26" s="83">
        <v>2</v>
      </c>
      <c r="DL26" s="83"/>
      <c r="DM26" s="83">
        <v>2</v>
      </c>
      <c r="DN26" s="83">
        <v>2</v>
      </c>
      <c r="DO26" s="83">
        <v>2</v>
      </c>
      <c r="DP26" s="83"/>
      <c r="DQ26" s="83">
        <v>1</v>
      </c>
      <c r="DR26" s="83">
        <v>2</v>
      </c>
      <c r="DS26" s="83">
        <v>0</v>
      </c>
      <c r="DT26" s="83">
        <v>2</v>
      </c>
      <c r="DU26" s="83">
        <v>2</v>
      </c>
      <c r="DV26" s="83">
        <v>2</v>
      </c>
      <c r="DW26" s="83">
        <v>2</v>
      </c>
      <c r="DX26" s="83"/>
      <c r="DY26" s="83">
        <v>1</v>
      </c>
      <c r="DZ26" s="83"/>
      <c r="EA26" s="83">
        <v>0</v>
      </c>
      <c r="EB26" s="83">
        <v>1</v>
      </c>
      <c r="EC26" s="83">
        <v>0</v>
      </c>
      <c r="ED26" s="83">
        <v>1</v>
      </c>
      <c r="EE26" s="83">
        <v>1</v>
      </c>
      <c r="EF26" s="83">
        <v>1</v>
      </c>
      <c r="EG26" s="83"/>
      <c r="EH26" s="83">
        <v>1</v>
      </c>
      <c r="EI26" s="83">
        <v>1</v>
      </c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</row>
    <row r="27" spans="1:157" ht="20.100000000000001" customHeight="1">
      <c r="A27" s="292"/>
      <c r="B27" s="138" t="s">
        <v>16</v>
      </c>
      <c r="C27" s="5" t="str">
        <f>Master!B22</f>
        <v>Accounts</v>
      </c>
      <c r="D27" s="6">
        <f>Master!C22</f>
        <v>2</v>
      </c>
      <c r="E27" s="12">
        <v>2</v>
      </c>
      <c r="F27" s="7">
        <v>2</v>
      </c>
      <c r="G27" s="7">
        <v>1</v>
      </c>
      <c r="H27" s="7">
        <v>2</v>
      </c>
      <c r="I27" s="7">
        <v>1</v>
      </c>
      <c r="J27" s="7">
        <v>2</v>
      </c>
      <c r="K27" s="7"/>
      <c r="L27" s="7">
        <v>1</v>
      </c>
      <c r="M27" s="7">
        <v>2</v>
      </c>
      <c r="N27" s="7">
        <v>2</v>
      </c>
      <c r="O27" s="7">
        <v>2</v>
      </c>
      <c r="P27" s="7">
        <v>2</v>
      </c>
      <c r="Q27" s="7">
        <v>1</v>
      </c>
      <c r="R27" s="7"/>
      <c r="S27" s="7">
        <v>2</v>
      </c>
      <c r="T27" s="7">
        <v>1</v>
      </c>
      <c r="U27" s="7">
        <v>2</v>
      </c>
      <c r="V27" s="7">
        <v>2</v>
      </c>
      <c r="W27" s="7">
        <v>2</v>
      </c>
      <c r="X27" s="7">
        <v>1</v>
      </c>
      <c r="Y27" s="7"/>
      <c r="Z27" s="7">
        <v>2</v>
      </c>
      <c r="AA27" s="7">
        <v>2</v>
      </c>
      <c r="AB27" s="7">
        <v>2</v>
      </c>
      <c r="AC27" s="7">
        <v>2</v>
      </c>
      <c r="AD27" s="7">
        <v>2</v>
      </c>
      <c r="AE27" s="7">
        <v>2</v>
      </c>
      <c r="AF27" s="7">
        <v>0</v>
      </c>
      <c r="AG27" s="7"/>
      <c r="AH27" s="92">
        <v>2</v>
      </c>
      <c r="AI27" s="83">
        <v>1</v>
      </c>
      <c r="AJ27" s="83">
        <v>2</v>
      </c>
      <c r="AK27" s="83">
        <v>2</v>
      </c>
      <c r="AL27" s="83">
        <v>2</v>
      </c>
      <c r="AM27" s="83"/>
      <c r="AN27" s="83">
        <v>2</v>
      </c>
      <c r="AO27" s="83">
        <v>2</v>
      </c>
      <c r="AP27" s="83">
        <v>1</v>
      </c>
      <c r="AQ27" s="83">
        <v>2</v>
      </c>
      <c r="AR27" s="83">
        <v>2</v>
      </c>
      <c r="AS27" s="83">
        <v>2</v>
      </c>
      <c r="AT27" s="83"/>
      <c r="AU27" s="83">
        <v>1</v>
      </c>
      <c r="AV27" s="83">
        <v>2</v>
      </c>
      <c r="AW27" s="83">
        <v>1</v>
      </c>
      <c r="AX27" s="83">
        <v>2</v>
      </c>
      <c r="AY27" s="83">
        <v>2</v>
      </c>
      <c r="AZ27" s="83">
        <v>0</v>
      </c>
      <c r="BA27" s="83">
        <v>0</v>
      </c>
      <c r="BB27" s="83">
        <v>1</v>
      </c>
      <c r="BC27" s="83">
        <v>2</v>
      </c>
      <c r="BD27" s="83">
        <v>1</v>
      </c>
      <c r="BE27" s="83">
        <v>1</v>
      </c>
      <c r="BF27" s="83">
        <v>2</v>
      </c>
      <c r="BG27" s="83">
        <v>1</v>
      </c>
      <c r="BH27" s="83"/>
      <c r="BI27" s="83">
        <v>2</v>
      </c>
      <c r="BJ27" s="83">
        <v>2</v>
      </c>
      <c r="BK27" s="83">
        <v>2</v>
      </c>
      <c r="BL27" s="83">
        <v>1</v>
      </c>
      <c r="BM27" s="83">
        <v>1</v>
      </c>
      <c r="BN27" s="83">
        <v>1</v>
      </c>
      <c r="BO27" s="83"/>
      <c r="BP27" s="83">
        <v>1</v>
      </c>
      <c r="BQ27" s="83">
        <v>1</v>
      </c>
      <c r="BR27" s="83">
        <v>1</v>
      </c>
      <c r="BS27" s="83">
        <v>2</v>
      </c>
      <c r="BT27" s="83">
        <v>2</v>
      </c>
      <c r="BU27" s="83">
        <v>2</v>
      </c>
      <c r="BV27" s="83">
        <v>0</v>
      </c>
      <c r="BW27" s="83">
        <v>1</v>
      </c>
      <c r="BX27" s="83">
        <v>1</v>
      </c>
      <c r="BY27" s="83">
        <v>2</v>
      </c>
      <c r="BZ27" s="83">
        <v>1</v>
      </c>
      <c r="CA27" s="83">
        <v>1</v>
      </c>
      <c r="CB27" s="83"/>
      <c r="CC27" s="83">
        <v>0</v>
      </c>
      <c r="CD27" s="83">
        <v>0</v>
      </c>
      <c r="CE27" s="83">
        <v>2</v>
      </c>
      <c r="CF27" s="83">
        <v>2</v>
      </c>
      <c r="CG27" s="83">
        <v>2</v>
      </c>
      <c r="CH27" s="83">
        <v>2</v>
      </c>
      <c r="CI27" s="83">
        <v>1</v>
      </c>
      <c r="CJ27" s="83"/>
      <c r="CK27" s="83">
        <v>2</v>
      </c>
      <c r="CL27" s="83">
        <v>2</v>
      </c>
      <c r="CM27" s="83">
        <v>2</v>
      </c>
      <c r="CN27" s="83">
        <v>1</v>
      </c>
      <c r="CO27" s="83">
        <v>1</v>
      </c>
      <c r="CP27" s="83">
        <v>2</v>
      </c>
      <c r="CQ27" s="83"/>
      <c r="CR27" s="83">
        <v>2</v>
      </c>
      <c r="CS27" s="83">
        <v>2</v>
      </c>
      <c r="CT27" s="83">
        <v>2</v>
      </c>
      <c r="CU27" s="83">
        <v>2</v>
      </c>
      <c r="CV27" s="83">
        <v>2</v>
      </c>
      <c r="CW27" s="83">
        <v>2</v>
      </c>
      <c r="CX27" s="83"/>
      <c r="CY27" s="83">
        <v>2</v>
      </c>
      <c r="CZ27" s="83">
        <v>1</v>
      </c>
      <c r="DA27" s="83">
        <v>2</v>
      </c>
      <c r="DB27" s="83">
        <v>2</v>
      </c>
      <c r="DC27" s="83">
        <v>1</v>
      </c>
      <c r="DD27" s="83">
        <v>2</v>
      </c>
      <c r="DE27" s="83"/>
      <c r="DF27" s="83"/>
      <c r="DG27" s="83">
        <v>1</v>
      </c>
      <c r="DH27" s="83">
        <v>1</v>
      </c>
      <c r="DI27" s="83">
        <v>1</v>
      </c>
      <c r="DJ27" s="83">
        <v>1</v>
      </c>
      <c r="DK27" s="83">
        <v>2</v>
      </c>
      <c r="DL27" s="83"/>
      <c r="DM27" s="83">
        <v>2</v>
      </c>
      <c r="DN27" s="83">
        <v>2</v>
      </c>
      <c r="DO27" s="83">
        <v>2</v>
      </c>
      <c r="DP27" s="83"/>
      <c r="DQ27" s="83">
        <v>1</v>
      </c>
      <c r="DR27" s="83">
        <v>1</v>
      </c>
      <c r="DS27" s="83">
        <v>0</v>
      </c>
      <c r="DT27" s="83">
        <v>1</v>
      </c>
      <c r="DU27" s="83">
        <v>1</v>
      </c>
      <c r="DV27" s="83">
        <v>2</v>
      </c>
      <c r="DW27" s="83">
        <v>1</v>
      </c>
      <c r="DX27" s="83"/>
      <c r="DY27" s="83">
        <v>1</v>
      </c>
      <c r="DZ27" s="83"/>
      <c r="EA27" s="83">
        <v>2</v>
      </c>
      <c r="EB27" s="83">
        <v>1</v>
      </c>
      <c r="EC27" s="83">
        <v>2</v>
      </c>
      <c r="ED27" s="83">
        <v>1</v>
      </c>
      <c r="EE27" s="83">
        <v>1</v>
      </c>
      <c r="EF27" s="83">
        <v>1</v>
      </c>
      <c r="EG27" s="83">
        <v>1</v>
      </c>
      <c r="EH27" s="83">
        <v>2</v>
      </c>
      <c r="EI27" s="83">
        <v>1</v>
      </c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  <c r="EX27" s="83"/>
      <c r="EY27" s="83"/>
      <c r="EZ27" s="83"/>
      <c r="FA27" s="83"/>
    </row>
    <row r="28" spans="1:157" ht="20.100000000000001" customHeight="1">
      <c r="A28" s="292"/>
      <c r="B28" s="138" t="s">
        <v>16</v>
      </c>
      <c r="C28" s="5" t="str">
        <f>Master!B23</f>
        <v>IT</v>
      </c>
      <c r="D28" s="6">
        <f>Master!C23</f>
        <v>2</v>
      </c>
      <c r="E28" s="12">
        <v>1</v>
      </c>
      <c r="F28" s="7">
        <v>2</v>
      </c>
      <c r="G28" s="7">
        <v>2</v>
      </c>
      <c r="H28" s="7">
        <v>2</v>
      </c>
      <c r="I28" s="7">
        <v>1</v>
      </c>
      <c r="J28" s="7">
        <v>1</v>
      </c>
      <c r="K28" s="7"/>
      <c r="L28" s="7">
        <v>2</v>
      </c>
      <c r="M28" s="7">
        <v>2</v>
      </c>
      <c r="N28" s="7">
        <v>1</v>
      </c>
      <c r="O28" s="7">
        <v>1</v>
      </c>
      <c r="P28" s="7">
        <v>1</v>
      </c>
      <c r="Q28" s="7">
        <v>1</v>
      </c>
      <c r="R28" s="7"/>
      <c r="S28" s="7">
        <v>2</v>
      </c>
      <c r="T28" s="7">
        <v>2</v>
      </c>
      <c r="U28" s="7">
        <v>2</v>
      </c>
      <c r="V28" s="7">
        <v>2</v>
      </c>
      <c r="W28" s="7">
        <v>2</v>
      </c>
      <c r="X28" s="7">
        <v>2</v>
      </c>
      <c r="Y28" s="7"/>
      <c r="Z28" s="7">
        <v>2</v>
      </c>
      <c r="AA28" s="7">
        <v>2</v>
      </c>
      <c r="AB28" s="7">
        <v>2</v>
      </c>
      <c r="AC28" s="7">
        <v>2</v>
      </c>
      <c r="AD28" s="7">
        <v>1</v>
      </c>
      <c r="AE28" s="7">
        <v>1</v>
      </c>
      <c r="AF28" s="7">
        <v>0</v>
      </c>
      <c r="AG28" s="7"/>
      <c r="AH28" s="92">
        <v>1</v>
      </c>
      <c r="AI28" s="83">
        <v>1</v>
      </c>
      <c r="AJ28" s="83">
        <v>1</v>
      </c>
      <c r="AK28" s="83">
        <v>0</v>
      </c>
      <c r="AL28" s="83">
        <v>1</v>
      </c>
      <c r="AM28" s="83"/>
      <c r="AN28" s="83">
        <v>0</v>
      </c>
      <c r="AO28" s="83">
        <v>2</v>
      </c>
      <c r="AP28" s="83">
        <v>1</v>
      </c>
      <c r="AQ28" s="83">
        <v>2</v>
      </c>
      <c r="AR28" s="83">
        <v>2</v>
      </c>
      <c r="AS28" s="83">
        <v>0</v>
      </c>
      <c r="AT28" s="83"/>
      <c r="AU28" s="83">
        <v>0</v>
      </c>
      <c r="AV28" s="83">
        <v>2</v>
      </c>
      <c r="AW28" s="83">
        <v>2</v>
      </c>
      <c r="AX28" s="83">
        <v>2</v>
      </c>
      <c r="AY28" s="83">
        <v>1</v>
      </c>
      <c r="AZ28" s="83">
        <v>1</v>
      </c>
      <c r="BA28" s="83">
        <v>0</v>
      </c>
      <c r="BB28" s="83">
        <v>2</v>
      </c>
      <c r="BC28" s="83">
        <v>2</v>
      </c>
      <c r="BD28" s="83">
        <v>1</v>
      </c>
      <c r="BE28" s="83">
        <v>1</v>
      </c>
      <c r="BF28" s="83">
        <v>1</v>
      </c>
      <c r="BG28" s="83">
        <v>0</v>
      </c>
      <c r="BH28" s="83"/>
      <c r="BI28" s="83">
        <v>0</v>
      </c>
      <c r="BJ28" s="83">
        <v>2</v>
      </c>
      <c r="BK28" s="83">
        <v>2</v>
      </c>
      <c r="BL28" s="83">
        <v>2</v>
      </c>
      <c r="BM28" s="83">
        <v>1</v>
      </c>
      <c r="BN28" s="83">
        <v>0</v>
      </c>
      <c r="BO28" s="83"/>
      <c r="BP28" s="83">
        <v>1</v>
      </c>
      <c r="BQ28" s="83">
        <v>1</v>
      </c>
      <c r="BR28" s="83">
        <v>1</v>
      </c>
      <c r="BS28" s="83">
        <v>2</v>
      </c>
      <c r="BT28" s="83">
        <v>2</v>
      </c>
      <c r="BU28" s="83">
        <v>0</v>
      </c>
      <c r="BV28" s="83">
        <v>0</v>
      </c>
      <c r="BW28" s="83">
        <v>0</v>
      </c>
      <c r="BX28" s="83">
        <v>2</v>
      </c>
      <c r="BY28" s="83">
        <v>1</v>
      </c>
      <c r="BZ28" s="83">
        <v>2</v>
      </c>
      <c r="CA28" s="83">
        <v>1</v>
      </c>
      <c r="CB28" s="83"/>
      <c r="CC28" s="83">
        <v>0</v>
      </c>
      <c r="CD28" s="83">
        <v>0</v>
      </c>
      <c r="CE28" s="83">
        <v>2</v>
      </c>
      <c r="CF28" s="83">
        <v>2</v>
      </c>
      <c r="CG28" s="83">
        <v>1</v>
      </c>
      <c r="CH28" s="83">
        <v>2</v>
      </c>
      <c r="CI28" s="83">
        <v>1</v>
      </c>
      <c r="CJ28" s="83"/>
      <c r="CK28" s="83">
        <v>2</v>
      </c>
      <c r="CL28" s="83">
        <v>2</v>
      </c>
      <c r="CM28" s="83">
        <v>2</v>
      </c>
      <c r="CN28" s="83">
        <v>1</v>
      </c>
      <c r="CO28" s="83">
        <v>1</v>
      </c>
      <c r="CP28" s="83">
        <v>2</v>
      </c>
      <c r="CQ28" s="83"/>
      <c r="CR28" s="83">
        <v>1</v>
      </c>
      <c r="CS28" s="83">
        <v>2</v>
      </c>
      <c r="CT28" s="83">
        <v>2</v>
      </c>
      <c r="CU28" s="83">
        <v>2</v>
      </c>
      <c r="CV28" s="83">
        <v>1</v>
      </c>
      <c r="CW28" s="83">
        <v>2</v>
      </c>
      <c r="CX28" s="83"/>
      <c r="CY28" s="83">
        <v>2</v>
      </c>
      <c r="CZ28" s="83">
        <v>1</v>
      </c>
      <c r="DA28" s="83">
        <v>1</v>
      </c>
      <c r="DB28" s="83">
        <v>1</v>
      </c>
      <c r="DC28" s="83">
        <v>1</v>
      </c>
      <c r="DD28" s="83">
        <v>1</v>
      </c>
      <c r="DE28" s="83"/>
      <c r="DF28" s="83"/>
      <c r="DG28" s="83">
        <v>2</v>
      </c>
      <c r="DH28" s="83">
        <v>1</v>
      </c>
      <c r="DI28" s="83">
        <v>1</v>
      </c>
      <c r="DJ28" s="83">
        <v>1</v>
      </c>
      <c r="DK28" s="83">
        <v>1</v>
      </c>
      <c r="DL28" s="83"/>
      <c r="DM28" s="83">
        <v>1</v>
      </c>
      <c r="DN28" s="83">
        <v>2</v>
      </c>
      <c r="DO28" s="83">
        <v>2</v>
      </c>
      <c r="DP28" s="83"/>
      <c r="DQ28" s="83">
        <v>1</v>
      </c>
      <c r="DR28" s="83">
        <v>1</v>
      </c>
      <c r="DS28" s="83">
        <v>0</v>
      </c>
      <c r="DT28" s="83">
        <v>2</v>
      </c>
      <c r="DU28" s="83">
        <v>0</v>
      </c>
      <c r="DV28" s="83">
        <v>1</v>
      </c>
      <c r="DW28" s="83">
        <v>0</v>
      </c>
      <c r="DX28" s="83"/>
      <c r="DY28" s="83">
        <v>0</v>
      </c>
      <c r="DZ28" s="83"/>
      <c r="EA28" s="83">
        <v>1</v>
      </c>
      <c r="EB28" s="83">
        <v>1</v>
      </c>
      <c r="EC28" s="83">
        <v>2</v>
      </c>
      <c r="ED28" s="83">
        <v>2</v>
      </c>
      <c r="EE28" s="83"/>
      <c r="EF28" s="83">
        <v>0</v>
      </c>
      <c r="EG28" s="83"/>
      <c r="EH28" s="83">
        <v>2</v>
      </c>
      <c r="EI28" s="83">
        <v>1</v>
      </c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  <c r="EX28" s="83"/>
      <c r="EY28" s="83"/>
      <c r="EZ28" s="83"/>
      <c r="FA28" s="83"/>
    </row>
    <row r="29" spans="1:157" ht="20.100000000000001" customHeight="1">
      <c r="A29" s="292"/>
      <c r="B29" s="138" t="s">
        <v>16</v>
      </c>
      <c r="C29" s="5" t="str">
        <f>Master!B24</f>
        <v>QA</v>
      </c>
      <c r="D29" s="6">
        <f>Master!C24</f>
        <v>9</v>
      </c>
      <c r="E29" s="12">
        <v>7</v>
      </c>
      <c r="F29" s="7">
        <v>7</v>
      </c>
      <c r="G29" s="7">
        <v>7</v>
      </c>
      <c r="H29" s="7">
        <v>7</v>
      </c>
      <c r="I29" s="7">
        <v>7</v>
      </c>
      <c r="J29" s="7">
        <v>7</v>
      </c>
      <c r="K29" s="7"/>
      <c r="L29" s="7">
        <v>8</v>
      </c>
      <c r="M29" s="7">
        <v>2</v>
      </c>
      <c r="N29" s="7">
        <v>5</v>
      </c>
      <c r="O29" s="7">
        <v>7</v>
      </c>
      <c r="P29" s="7">
        <v>7</v>
      </c>
      <c r="Q29" s="7">
        <v>5</v>
      </c>
      <c r="R29" s="7"/>
      <c r="S29" s="7">
        <v>7</v>
      </c>
      <c r="T29" s="7">
        <v>5</v>
      </c>
      <c r="U29" s="7">
        <v>7</v>
      </c>
      <c r="V29" s="7">
        <v>6</v>
      </c>
      <c r="W29" s="7">
        <v>6</v>
      </c>
      <c r="X29" s="7">
        <v>6</v>
      </c>
      <c r="Y29" s="7"/>
      <c r="Z29" s="7">
        <v>6</v>
      </c>
      <c r="AA29" s="7">
        <v>5</v>
      </c>
      <c r="AB29" s="7">
        <v>6</v>
      </c>
      <c r="AC29" s="7">
        <v>8</v>
      </c>
      <c r="AD29" s="7">
        <v>6</v>
      </c>
      <c r="AE29" s="7">
        <v>6</v>
      </c>
      <c r="AF29" s="7">
        <v>6</v>
      </c>
      <c r="AG29" s="7"/>
      <c r="AH29" s="92">
        <v>8</v>
      </c>
      <c r="AI29" s="83">
        <v>8</v>
      </c>
      <c r="AJ29" s="83">
        <v>6</v>
      </c>
      <c r="AK29" s="83">
        <v>7</v>
      </c>
      <c r="AL29" s="83">
        <v>5</v>
      </c>
      <c r="AM29" s="83"/>
      <c r="AN29" s="83">
        <v>7</v>
      </c>
      <c r="AO29" s="83">
        <v>7</v>
      </c>
      <c r="AP29" s="83">
        <v>7</v>
      </c>
      <c r="AQ29" s="83">
        <v>8</v>
      </c>
      <c r="AR29" s="83">
        <v>9</v>
      </c>
      <c r="AS29" s="83">
        <v>6</v>
      </c>
      <c r="AT29" s="83"/>
      <c r="AU29" s="83">
        <v>7</v>
      </c>
      <c r="AV29" s="83">
        <v>7</v>
      </c>
      <c r="AW29" s="83">
        <v>8</v>
      </c>
      <c r="AX29" s="83">
        <v>8</v>
      </c>
      <c r="AY29" s="83">
        <v>7</v>
      </c>
      <c r="AZ29" s="83">
        <v>2</v>
      </c>
      <c r="BA29" s="83">
        <v>4</v>
      </c>
      <c r="BB29" s="83">
        <v>6</v>
      </c>
      <c r="BC29" s="83">
        <v>7</v>
      </c>
      <c r="BD29" s="83">
        <v>4</v>
      </c>
      <c r="BE29" s="83">
        <v>7</v>
      </c>
      <c r="BF29" s="83">
        <v>7</v>
      </c>
      <c r="BG29" s="83">
        <v>4</v>
      </c>
      <c r="BH29" s="83">
        <v>1</v>
      </c>
      <c r="BI29" s="83">
        <v>5</v>
      </c>
      <c r="BJ29" s="83">
        <v>8</v>
      </c>
      <c r="BK29" s="83">
        <v>8</v>
      </c>
      <c r="BL29" s="83">
        <v>5</v>
      </c>
      <c r="BM29" s="83">
        <v>7</v>
      </c>
      <c r="BN29" s="83">
        <v>6</v>
      </c>
      <c r="BO29" s="83"/>
      <c r="BP29" s="83">
        <v>7</v>
      </c>
      <c r="BQ29" s="83">
        <v>5</v>
      </c>
      <c r="BR29" s="83">
        <v>6</v>
      </c>
      <c r="BS29" s="83">
        <v>8</v>
      </c>
      <c r="BT29" s="83">
        <v>7</v>
      </c>
      <c r="BU29" s="83">
        <v>5</v>
      </c>
      <c r="BV29" s="83">
        <v>3</v>
      </c>
      <c r="BW29" s="83">
        <v>5</v>
      </c>
      <c r="BX29" s="83">
        <v>6</v>
      </c>
      <c r="BY29" s="83">
        <v>7</v>
      </c>
      <c r="BZ29" s="83">
        <v>7</v>
      </c>
      <c r="CA29" s="83">
        <v>6</v>
      </c>
      <c r="CB29" s="83"/>
      <c r="CC29" s="83">
        <v>3</v>
      </c>
      <c r="CD29" s="83">
        <v>4</v>
      </c>
      <c r="CE29" s="83">
        <v>5</v>
      </c>
      <c r="CF29" s="83">
        <v>8</v>
      </c>
      <c r="CG29" s="83">
        <v>7</v>
      </c>
      <c r="CH29" s="83">
        <v>5</v>
      </c>
      <c r="CI29" s="83">
        <v>7</v>
      </c>
      <c r="CJ29" s="83"/>
      <c r="CK29" s="83">
        <v>6</v>
      </c>
      <c r="CL29" s="83">
        <v>7</v>
      </c>
      <c r="CM29" s="83">
        <v>7</v>
      </c>
      <c r="CN29" s="83">
        <v>7</v>
      </c>
      <c r="CO29" s="83">
        <v>8</v>
      </c>
      <c r="CP29" s="83">
        <v>6</v>
      </c>
      <c r="CQ29" s="83">
        <v>3</v>
      </c>
      <c r="CR29" s="83">
        <v>9</v>
      </c>
      <c r="CS29" s="83">
        <v>8</v>
      </c>
      <c r="CT29" s="83">
        <v>8</v>
      </c>
      <c r="CU29" s="83">
        <v>10</v>
      </c>
      <c r="CV29" s="83">
        <v>9</v>
      </c>
      <c r="CW29" s="83">
        <v>6</v>
      </c>
      <c r="CX29" s="83">
        <v>2</v>
      </c>
      <c r="CY29" s="83">
        <v>8</v>
      </c>
      <c r="CZ29" s="83">
        <v>8</v>
      </c>
      <c r="DA29" s="83">
        <v>5</v>
      </c>
      <c r="DB29" s="83">
        <v>7</v>
      </c>
      <c r="DC29" s="83">
        <v>8</v>
      </c>
      <c r="DD29" s="83">
        <v>7</v>
      </c>
      <c r="DE29" s="83">
        <v>2</v>
      </c>
      <c r="DF29" s="83"/>
      <c r="DG29" s="83">
        <v>3</v>
      </c>
      <c r="DH29" s="83">
        <v>7</v>
      </c>
      <c r="DI29" s="83">
        <v>5</v>
      </c>
      <c r="DJ29" s="83">
        <v>7</v>
      </c>
      <c r="DK29" s="83">
        <v>7</v>
      </c>
      <c r="DL29" s="83"/>
      <c r="DM29" s="83">
        <v>8</v>
      </c>
      <c r="DN29" s="83">
        <v>8</v>
      </c>
      <c r="DO29" s="83">
        <v>8</v>
      </c>
      <c r="DP29" s="83"/>
      <c r="DQ29" s="83">
        <v>7</v>
      </c>
      <c r="DR29" s="83">
        <v>5</v>
      </c>
      <c r="DS29" s="83">
        <v>3</v>
      </c>
      <c r="DT29" s="83">
        <v>7</v>
      </c>
      <c r="DU29" s="83">
        <v>6</v>
      </c>
      <c r="DV29" s="83">
        <v>6</v>
      </c>
      <c r="DW29" s="83">
        <v>5</v>
      </c>
      <c r="DX29" s="83"/>
      <c r="DY29" s="83">
        <v>7</v>
      </c>
      <c r="DZ29" s="83">
        <v>2</v>
      </c>
      <c r="EA29" s="83">
        <v>7</v>
      </c>
      <c r="EB29" s="83">
        <v>8</v>
      </c>
      <c r="EC29" s="83">
        <v>7</v>
      </c>
      <c r="ED29" s="83">
        <v>7</v>
      </c>
      <c r="EE29" s="83">
        <v>8</v>
      </c>
      <c r="EF29" s="83">
        <v>7</v>
      </c>
      <c r="EG29" s="83">
        <v>2</v>
      </c>
      <c r="EH29" s="83">
        <v>7</v>
      </c>
      <c r="EI29" s="83">
        <v>7</v>
      </c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</row>
    <row r="30" spans="1:157" ht="20.100000000000001" customHeight="1" thickBot="1">
      <c r="A30" s="293"/>
      <c r="B30" s="138" t="s">
        <v>16</v>
      </c>
      <c r="C30" s="14" t="str">
        <f>Master!B25</f>
        <v>FRM</v>
      </c>
      <c r="D30" s="15">
        <f>Master!C25</f>
        <v>2</v>
      </c>
      <c r="E30" s="12">
        <v>1</v>
      </c>
      <c r="F30" s="16">
        <v>1</v>
      </c>
      <c r="G30" s="16">
        <v>0</v>
      </c>
      <c r="H30" s="16">
        <v>1</v>
      </c>
      <c r="I30" s="16">
        <v>1</v>
      </c>
      <c r="J30" s="16">
        <v>1</v>
      </c>
      <c r="K30" s="16"/>
      <c r="L30" s="16">
        <v>0</v>
      </c>
      <c r="M30" s="16">
        <v>1</v>
      </c>
      <c r="N30" s="16">
        <v>0</v>
      </c>
      <c r="O30" s="16">
        <v>1</v>
      </c>
      <c r="P30" s="16">
        <v>1</v>
      </c>
      <c r="Q30" s="16">
        <v>1</v>
      </c>
      <c r="R30" s="16"/>
      <c r="S30" s="16">
        <v>1</v>
      </c>
      <c r="T30" s="16">
        <v>1</v>
      </c>
      <c r="U30" s="16">
        <v>1</v>
      </c>
      <c r="V30" s="16">
        <v>1</v>
      </c>
      <c r="W30" s="16">
        <v>0</v>
      </c>
      <c r="X30" s="16">
        <v>1</v>
      </c>
      <c r="Y30" s="16"/>
      <c r="Z30" s="16">
        <v>1</v>
      </c>
      <c r="AA30" s="16">
        <v>0</v>
      </c>
      <c r="AB30" s="16">
        <v>1</v>
      </c>
      <c r="AC30" s="16">
        <v>1</v>
      </c>
      <c r="AD30" s="16">
        <v>0</v>
      </c>
      <c r="AE30" s="16">
        <v>0</v>
      </c>
      <c r="AF30" s="16">
        <v>0</v>
      </c>
      <c r="AG30" s="16"/>
      <c r="AH30" s="93">
        <v>0</v>
      </c>
      <c r="AI30" s="83">
        <v>1</v>
      </c>
      <c r="AJ30" s="83">
        <v>1</v>
      </c>
      <c r="AK30" s="83">
        <v>1</v>
      </c>
      <c r="AL30" s="83">
        <v>0</v>
      </c>
      <c r="AM30" s="83"/>
      <c r="AN30" s="83">
        <v>0</v>
      </c>
      <c r="AO30" s="83">
        <v>1</v>
      </c>
      <c r="AP30" s="83">
        <v>1</v>
      </c>
      <c r="AQ30" s="83">
        <v>0</v>
      </c>
      <c r="AR30" s="83">
        <v>1</v>
      </c>
      <c r="AS30" s="83">
        <v>1</v>
      </c>
      <c r="AT30" s="83"/>
      <c r="AU30" s="83">
        <v>1</v>
      </c>
      <c r="AV30" s="83">
        <v>1</v>
      </c>
      <c r="AW30" s="83">
        <v>1</v>
      </c>
      <c r="AX30" s="83">
        <v>1</v>
      </c>
      <c r="AY30" s="83">
        <v>0</v>
      </c>
      <c r="AZ30" s="83">
        <v>0</v>
      </c>
      <c r="BA30" s="83">
        <v>0</v>
      </c>
      <c r="BB30" s="83">
        <v>1</v>
      </c>
      <c r="BC30" s="83">
        <v>0</v>
      </c>
      <c r="BD30" s="83">
        <v>0</v>
      </c>
      <c r="BE30" s="83">
        <v>0</v>
      </c>
      <c r="BF30" s="83">
        <v>0</v>
      </c>
      <c r="BG30" s="83">
        <v>1</v>
      </c>
      <c r="BH30" s="83"/>
      <c r="BI30" s="83">
        <v>1</v>
      </c>
      <c r="BJ30" s="83">
        <v>1</v>
      </c>
      <c r="BK30" s="83">
        <v>1</v>
      </c>
      <c r="BL30" s="83">
        <v>1</v>
      </c>
      <c r="BM30" s="83">
        <v>1</v>
      </c>
      <c r="BN30" s="83">
        <v>1</v>
      </c>
      <c r="BO30" s="83"/>
      <c r="BP30" s="83">
        <v>1</v>
      </c>
      <c r="BQ30" s="83">
        <v>0</v>
      </c>
      <c r="BR30" s="83">
        <v>1</v>
      </c>
      <c r="BS30" s="83">
        <v>0</v>
      </c>
      <c r="BT30" s="83">
        <v>0</v>
      </c>
      <c r="BU30" s="83">
        <v>1</v>
      </c>
      <c r="BV30" s="83">
        <v>0</v>
      </c>
      <c r="BW30" s="83">
        <v>0</v>
      </c>
      <c r="BX30" s="83">
        <v>1</v>
      </c>
      <c r="BY30" s="83">
        <v>0</v>
      </c>
      <c r="BZ30" s="83">
        <v>0</v>
      </c>
      <c r="CA30" s="83">
        <v>1</v>
      </c>
      <c r="CB30" s="83"/>
      <c r="CC30" s="83">
        <v>0</v>
      </c>
      <c r="CD30" s="83">
        <v>0</v>
      </c>
      <c r="CE30" s="83">
        <v>1</v>
      </c>
      <c r="CF30" s="83">
        <v>1</v>
      </c>
      <c r="CG30" s="83">
        <v>0</v>
      </c>
      <c r="CH30" s="83">
        <v>1</v>
      </c>
      <c r="CI30" s="83">
        <v>1</v>
      </c>
      <c r="CJ30" s="83"/>
      <c r="CK30" s="83">
        <v>1</v>
      </c>
      <c r="CL30" s="83">
        <v>1</v>
      </c>
      <c r="CM30" s="83">
        <v>1</v>
      </c>
      <c r="CN30" s="83">
        <v>1</v>
      </c>
      <c r="CO30" s="83">
        <v>0</v>
      </c>
      <c r="CP30" s="83">
        <v>0</v>
      </c>
      <c r="CQ30" s="83">
        <v>0</v>
      </c>
      <c r="CR30" s="83">
        <v>1</v>
      </c>
      <c r="CS30" s="83">
        <v>1</v>
      </c>
      <c r="CT30" s="83">
        <v>1</v>
      </c>
      <c r="CU30" s="83">
        <v>1</v>
      </c>
      <c r="CV30" s="83">
        <v>1</v>
      </c>
      <c r="CW30" s="83">
        <v>1</v>
      </c>
      <c r="CX30" s="83"/>
      <c r="CY30" s="83">
        <v>0</v>
      </c>
      <c r="CZ30" s="83">
        <v>1</v>
      </c>
      <c r="DA30" s="83"/>
      <c r="DB30" s="83">
        <v>1</v>
      </c>
      <c r="DC30" s="83">
        <v>0</v>
      </c>
      <c r="DD30" s="83">
        <v>1</v>
      </c>
      <c r="DE30" s="83"/>
      <c r="DF30" s="83"/>
      <c r="DG30" s="83">
        <v>0</v>
      </c>
      <c r="DH30" s="83">
        <v>0</v>
      </c>
      <c r="DI30" s="83"/>
      <c r="DJ30" s="83">
        <v>1</v>
      </c>
      <c r="DK30" s="83">
        <v>1</v>
      </c>
      <c r="DL30" s="83"/>
      <c r="DM30" s="83">
        <v>0</v>
      </c>
      <c r="DN30" s="83">
        <v>1</v>
      </c>
      <c r="DO30" s="83">
        <v>1</v>
      </c>
      <c r="DP30" s="83"/>
      <c r="DQ30" s="83">
        <v>1</v>
      </c>
      <c r="DR30" s="83">
        <v>0</v>
      </c>
      <c r="DS30" s="83">
        <v>0</v>
      </c>
      <c r="DT30" s="83">
        <v>0</v>
      </c>
      <c r="DU30" s="83">
        <v>1</v>
      </c>
      <c r="DV30" s="83">
        <v>1</v>
      </c>
      <c r="DW30" s="83">
        <v>1</v>
      </c>
      <c r="DX30" s="83"/>
      <c r="DY30" s="83">
        <v>1</v>
      </c>
      <c r="DZ30" s="83"/>
      <c r="EA30" s="83"/>
      <c r="EB30" s="83">
        <v>0</v>
      </c>
      <c r="EC30" s="83">
        <v>1</v>
      </c>
      <c r="ED30" s="83"/>
      <c r="EE30" s="83">
        <v>1</v>
      </c>
      <c r="EF30" s="83">
        <v>1</v>
      </c>
      <c r="EG30" s="83"/>
      <c r="EH30" s="83">
        <v>1</v>
      </c>
      <c r="EI30" s="83">
        <v>1</v>
      </c>
      <c r="EJ30" s="83"/>
      <c r="EK30" s="83"/>
      <c r="EL30" s="83"/>
      <c r="EM30" s="83"/>
      <c r="EN30" s="83"/>
      <c r="EO30" s="83"/>
      <c r="EP30" s="83"/>
      <c r="EQ30" s="83"/>
      <c r="ER30" s="83"/>
      <c r="ES30" s="83"/>
      <c r="ET30" s="83"/>
      <c r="EU30" s="83"/>
      <c r="EV30" s="83"/>
      <c r="EW30" s="83"/>
      <c r="EX30" s="83"/>
      <c r="EY30" s="83"/>
      <c r="EZ30" s="83"/>
      <c r="FA30" s="83"/>
    </row>
    <row r="31" spans="1:157" ht="21.95" customHeight="1">
      <c r="A31" s="17"/>
      <c r="B31" s="139"/>
      <c r="C31" s="18" t="s">
        <v>77</v>
      </c>
      <c r="D31" s="19">
        <f>SUM(D20:D30)</f>
        <v>63</v>
      </c>
      <c r="E31" s="40">
        <f>SUM(E20:E30)</f>
        <v>48</v>
      </c>
      <c r="F31" s="19">
        <f t="shared" ref="F31:AH31" si="120">SUM(F20:F30)</f>
        <v>51</v>
      </c>
      <c r="G31" s="19">
        <f t="shared" si="120"/>
        <v>51</v>
      </c>
      <c r="H31" s="19">
        <f t="shared" si="120"/>
        <v>50</v>
      </c>
      <c r="I31" s="19">
        <f t="shared" si="120"/>
        <v>50</v>
      </c>
      <c r="J31" s="19">
        <f t="shared" si="120"/>
        <v>51</v>
      </c>
      <c r="K31" s="19">
        <f t="shared" si="120"/>
        <v>0</v>
      </c>
      <c r="L31" s="19">
        <f t="shared" si="120"/>
        <v>49</v>
      </c>
      <c r="M31" s="19">
        <f t="shared" si="120"/>
        <v>49</v>
      </c>
      <c r="N31" s="19">
        <f t="shared" si="120"/>
        <v>49</v>
      </c>
      <c r="O31" s="19">
        <f t="shared" si="120"/>
        <v>54</v>
      </c>
      <c r="P31" s="19">
        <f t="shared" si="120"/>
        <v>51</v>
      </c>
      <c r="Q31" s="19">
        <f t="shared" si="120"/>
        <v>46</v>
      </c>
      <c r="R31" s="19">
        <f t="shared" si="120"/>
        <v>8</v>
      </c>
      <c r="S31" s="19">
        <f t="shared" si="120"/>
        <v>51</v>
      </c>
      <c r="T31" s="19">
        <f t="shared" si="120"/>
        <v>52</v>
      </c>
      <c r="U31" s="19">
        <f t="shared" si="120"/>
        <v>55</v>
      </c>
      <c r="V31" s="19">
        <f t="shared" si="120"/>
        <v>55</v>
      </c>
      <c r="W31" s="19">
        <f t="shared" si="120"/>
        <v>57</v>
      </c>
      <c r="X31" s="19">
        <f t="shared" si="120"/>
        <v>56</v>
      </c>
      <c r="Y31" s="19">
        <f t="shared" si="120"/>
        <v>17</v>
      </c>
      <c r="Z31" s="19">
        <f t="shared" si="120"/>
        <v>52</v>
      </c>
      <c r="AA31" s="19">
        <f t="shared" si="120"/>
        <v>52</v>
      </c>
      <c r="AB31" s="19">
        <f t="shared" si="120"/>
        <v>54</v>
      </c>
      <c r="AC31" s="19">
        <f t="shared" si="120"/>
        <v>59</v>
      </c>
      <c r="AD31" s="19">
        <f t="shared" si="120"/>
        <v>48</v>
      </c>
      <c r="AE31" s="19">
        <f t="shared" si="120"/>
        <v>42</v>
      </c>
      <c r="AF31" s="19">
        <f t="shared" si="120"/>
        <v>32</v>
      </c>
      <c r="AG31" s="19">
        <f t="shared" si="120"/>
        <v>9</v>
      </c>
      <c r="AH31" s="94">
        <f t="shared" si="120"/>
        <v>54</v>
      </c>
      <c r="AI31" s="82">
        <f>SUM(AI20:AI30)</f>
        <v>51</v>
      </c>
      <c r="AJ31" s="82">
        <f>SUM(AJ20:AJ30)</f>
        <v>52</v>
      </c>
      <c r="AK31" s="82">
        <f>SUM(AK20:AK30)</f>
        <v>57</v>
      </c>
      <c r="AL31" s="82">
        <f>SUM(AL20:AL30)</f>
        <v>54</v>
      </c>
      <c r="AM31" s="82">
        <f t="shared" ref="AM31:BL31" si="121">SUM(AM20:AM30)</f>
        <v>16</v>
      </c>
      <c r="AN31" s="82">
        <f t="shared" si="121"/>
        <v>44</v>
      </c>
      <c r="AO31" s="82">
        <f t="shared" si="121"/>
        <v>53</v>
      </c>
      <c r="AP31" s="82">
        <f t="shared" si="121"/>
        <v>50</v>
      </c>
      <c r="AQ31" s="82">
        <f t="shared" si="121"/>
        <v>51</v>
      </c>
      <c r="AR31" s="82">
        <f t="shared" si="121"/>
        <v>60</v>
      </c>
      <c r="AS31" s="82">
        <f t="shared" si="121"/>
        <v>44</v>
      </c>
      <c r="AT31" s="82">
        <f t="shared" si="121"/>
        <v>14</v>
      </c>
      <c r="AU31" s="82">
        <f t="shared" si="121"/>
        <v>47</v>
      </c>
      <c r="AV31" s="82">
        <f t="shared" si="121"/>
        <v>53</v>
      </c>
      <c r="AW31" s="82">
        <f t="shared" si="121"/>
        <v>55</v>
      </c>
      <c r="AX31" s="82">
        <f t="shared" si="121"/>
        <v>55</v>
      </c>
      <c r="AY31" s="82">
        <f t="shared" si="121"/>
        <v>50</v>
      </c>
      <c r="AZ31" s="82">
        <f t="shared" si="121"/>
        <v>31</v>
      </c>
      <c r="BA31" s="82">
        <f t="shared" si="121"/>
        <v>26</v>
      </c>
      <c r="BB31" s="82">
        <f t="shared" si="121"/>
        <v>52</v>
      </c>
      <c r="BC31" s="82">
        <f t="shared" si="121"/>
        <v>51</v>
      </c>
      <c r="BD31" s="82">
        <f t="shared" si="121"/>
        <v>40</v>
      </c>
      <c r="BE31" s="82">
        <f t="shared" si="121"/>
        <v>43</v>
      </c>
      <c r="BF31" s="82">
        <f t="shared" si="121"/>
        <v>47</v>
      </c>
      <c r="BG31" s="82">
        <f t="shared" si="121"/>
        <v>39</v>
      </c>
      <c r="BH31" s="82">
        <f t="shared" si="121"/>
        <v>18</v>
      </c>
      <c r="BI31" s="82">
        <f t="shared" si="121"/>
        <v>46</v>
      </c>
      <c r="BJ31" s="82">
        <f t="shared" si="121"/>
        <v>46</v>
      </c>
      <c r="BK31" s="82">
        <f t="shared" si="121"/>
        <v>51</v>
      </c>
      <c r="BL31" s="82">
        <f t="shared" si="121"/>
        <v>45</v>
      </c>
      <c r="BM31" s="82">
        <f t="shared" ref="BM31:BN31" si="122">SUM(BM20:BM30)</f>
        <v>41</v>
      </c>
      <c r="BN31" s="82">
        <f t="shared" si="122"/>
        <v>40</v>
      </c>
      <c r="BO31" s="82">
        <f t="shared" ref="BO31:CN31" si="123">SUM(BO20:BO30)</f>
        <v>11</v>
      </c>
      <c r="BP31" s="82">
        <f t="shared" si="123"/>
        <v>45</v>
      </c>
      <c r="BQ31" s="82">
        <f t="shared" si="123"/>
        <v>47</v>
      </c>
      <c r="BR31" s="82">
        <f t="shared" si="123"/>
        <v>47</v>
      </c>
      <c r="BS31" s="82">
        <f t="shared" si="123"/>
        <v>47</v>
      </c>
      <c r="BT31" s="82">
        <f t="shared" si="123"/>
        <v>44</v>
      </c>
      <c r="BU31" s="82">
        <f t="shared" si="123"/>
        <v>43</v>
      </c>
      <c r="BV31" s="82">
        <f t="shared" si="123"/>
        <v>21</v>
      </c>
      <c r="BW31" s="82">
        <f t="shared" si="123"/>
        <v>39</v>
      </c>
      <c r="BX31" s="82">
        <f t="shared" si="123"/>
        <v>49</v>
      </c>
      <c r="BY31" s="82">
        <f t="shared" si="123"/>
        <v>51</v>
      </c>
      <c r="BZ31" s="82">
        <f t="shared" si="123"/>
        <v>54</v>
      </c>
      <c r="CA31" s="82">
        <f t="shared" si="123"/>
        <v>53</v>
      </c>
      <c r="CB31" s="82">
        <f t="shared" si="123"/>
        <v>0</v>
      </c>
      <c r="CC31" s="82">
        <f t="shared" si="123"/>
        <v>28</v>
      </c>
      <c r="CD31" s="82">
        <f t="shared" si="123"/>
        <v>34</v>
      </c>
      <c r="CE31" s="82">
        <f t="shared" si="123"/>
        <v>55</v>
      </c>
      <c r="CF31" s="82">
        <f t="shared" si="123"/>
        <v>56</v>
      </c>
      <c r="CG31" s="82">
        <f t="shared" si="123"/>
        <v>49</v>
      </c>
      <c r="CH31" s="82">
        <f t="shared" si="123"/>
        <v>45</v>
      </c>
      <c r="CI31" s="82">
        <f t="shared" si="123"/>
        <v>51</v>
      </c>
      <c r="CJ31" s="82">
        <f t="shared" si="123"/>
        <v>13</v>
      </c>
      <c r="CK31" s="82">
        <f t="shared" si="123"/>
        <v>47</v>
      </c>
      <c r="CL31" s="82">
        <f t="shared" si="123"/>
        <v>50</v>
      </c>
      <c r="CM31" s="82">
        <f t="shared" si="123"/>
        <v>54</v>
      </c>
      <c r="CN31" s="82">
        <f t="shared" si="123"/>
        <v>47</v>
      </c>
      <c r="CO31" s="82">
        <f t="shared" ref="CO31:CR31" si="124">SUM(CO20:CO30)</f>
        <v>48</v>
      </c>
      <c r="CP31" s="82">
        <f t="shared" si="124"/>
        <v>43</v>
      </c>
      <c r="CQ31" s="82">
        <f t="shared" si="124"/>
        <v>16</v>
      </c>
      <c r="CR31" s="82">
        <f t="shared" si="124"/>
        <v>48</v>
      </c>
      <c r="CS31" s="82">
        <f t="shared" ref="CS31:ET31" si="125">SUM(CS20:CS30)</f>
        <v>51</v>
      </c>
      <c r="CT31" s="82">
        <f t="shared" si="125"/>
        <v>52</v>
      </c>
      <c r="CU31" s="82">
        <f t="shared" si="125"/>
        <v>56</v>
      </c>
      <c r="CV31" s="82">
        <f t="shared" si="125"/>
        <v>54</v>
      </c>
      <c r="CW31" s="82">
        <f t="shared" si="125"/>
        <v>50</v>
      </c>
      <c r="CX31" s="82">
        <f t="shared" si="125"/>
        <v>14</v>
      </c>
      <c r="CY31" s="82">
        <f t="shared" si="125"/>
        <v>49</v>
      </c>
      <c r="CZ31" s="82">
        <f t="shared" si="125"/>
        <v>48</v>
      </c>
      <c r="DA31" s="82">
        <f t="shared" si="125"/>
        <v>48</v>
      </c>
      <c r="DB31" s="82">
        <f t="shared" si="125"/>
        <v>49</v>
      </c>
      <c r="DC31" s="82">
        <f t="shared" si="125"/>
        <v>49</v>
      </c>
      <c r="DD31" s="82">
        <f t="shared" si="125"/>
        <v>53</v>
      </c>
      <c r="DE31" s="82">
        <f t="shared" si="125"/>
        <v>23</v>
      </c>
      <c r="DF31" s="82">
        <f t="shared" si="125"/>
        <v>7</v>
      </c>
      <c r="DG31" s="82">
        <f t="shared" si="125"/>
        <v>44</v>
      </c>
      <c r="DH31" s="82">
        <f t="shared" si="125"/>
        <v>50</v>
      </c>
      <c r="DI31" s="82">
        <f t="shared" si="125"/>
        <v>37</v>
      </c>
      <c r="DJ31" s="82">
        <f t="shared" si="125"/>
        <v>48</v>
      </c>
      <c r="DK31" s="82">
        <f t="shared" si="125"/>
        <v>48</v>
      </c>
      <c r="DL31" s="82">
        <f t="shared" si="125"/>
        <v>13</v>
      </c>
      <c r="DM31" s="82">
        <f t="shared" si="125"/>
        <v>46</v>
      </c>
      <c r="DN31" s="82">
        <f t="shared" si="125"/>
        <v>45</v>
      </c>
      <c r="DO31" s="82">
        <f t="shared" si="125"/>
        <v>45</v>
      </c>
      <c r="DP31" s="82">
        <f t="shared" si="125"/>
        <v>0</v>
      </c>
      <c r="DQ31" s="82">
        <f t="shared" si="125"/>
        <v>39</v>
      </c>
      <c r="DR31" s="82">
        <f t="shared" si="125"/>
        <v>36</v>
      </c>
      <c r="DS31" s="82">
        <f t="shared" si="125"/>
        <v>20</v>
      </c>
      <c r="DT31" s="82">
        <f t="shared" si="125"/>
        <v>46</v>
      </c>
      <c r="DU31" s="82">
        <f t="shared" si="125"/>
        <v>41</v>
      </c>
      <c r="DV31" s="82">
        <f t="shared" si="125"/>
        <v>45</v>
      </c>
      <c r="DW31" s="82">
        <f t="shared" si="125"/>
        <v>41</v>
      </c>
      <c r="DX31" s="82">
        <f t="shared" si="125"/>
        <v>0</v>
      </c>
      <c r="DY31" s="82">
        <f t="shared" si="125"/>
        <v>39</v>
      </c>
      <c r="DZ31" s="82">
        <f t="shared" si="125"/>
        <v>15</v>
      </c>
      <c r="EA31" s="82">
        <f t="shared" si="125"/>
        <v>42</v>
      </c>
      <c r="EB31" s="82">
        <f t="shared" si="125"/>
        <v>42</v>
      </c>
      <c r="EC31" s="82">
        <f t="shared" si="125"/>
        <v>41</v>
      </c>
      <c r="ED31" s="82">
        <f t="shared" si="125"/>
        <v>39</v>
      </c>
      <c r="EE31" s="82">
        <f t="shared" si="125"/>
        <v>44</v>
      </c>
      <c r="EF31" s="82">
        <f t="shared" si="125"/>
        <v>38</v>
      </c>
      <c r="EG31" s="82">
        <f t="shared" si="125"/>
        <v>11</v>
      </c>
      <c r="EH31" s="82">
        <f t="shared" si="125"/>
        <v>45</v>
      </c>
      <c r="EI31" s="82">
        <f t="shared" si="125"/>
        <v>47</v>
      </c>
      <c r="EJ31" s="82">
        <f t="shared" si="125"/>
        <v>0</v>
      </c>
      <c r="EK31" s="82">
        <f t="shared" si="125"/>
        <v>0</v>
      </c>
      <c r="EL31" s="82">
        <f t="shared" si="125"/>
        <v>0</v>
      </c>
      <c r="EM31" s="82">
        <f t="shared" si="125"/>
        <v>0</v>
      </c>
      <c r="EN31" s="82">
        <f t="shared" si="125"/>
        <v>0</v>
      </c>
      <c r="EO31" s="82">
        <f t="shared" si="125"/>
        <v>0</v>
      </c>
      <c r="EP31" s="82">
        <f t="shared" si="125"/>
        <v>0</v>
      </c>
      <c r="EQ31" s="82">
        <f t="shared" si="125"/>
        <v>0</v>
      </c>
      <c r="ER31" s="82">
        <f t="shared" si="125"/>
        <v>0</v>
      </c>
      <c r="ES31" s="82">
        <f t="shared" si="125"/>
        <v>0</v>
      </c>
      <c r="ET31" s="82">
        <f t="shared" si="125"/>
        <v>0</v>
      </c>
      <c r="EU31" s="82">
        <f t="shared" ref="EU31:FA31" si="126">SUM(EU20:EU30)</f>
        <v>0</v>
      </c>
      <c r="EV31" s="82">
        <f t="shared" si="126"/>
        <v>0</v>
      </c>
      <c r="EW31" s="82">
        <f t="shared" si="126"/>
        <v>0</v>
      </c>
      <c r="EX31" s="82">
        <f t="shared" si="126"/>
        <v>0</v>
      </c>
      <c r="EY31" s="82">
        <f t="shared" si="126"/>
        <v>0</v>
      </c>
      <c r="EZ31" s="82">
        <f t="shared" si="126"/>
        <v>0</v>
      </c>
      <c r="FA31" s="82">
        <f t="shared" si="126"/>
        <v>0</v>
      </c>
    </row>
    <row r="32" spans="1:157" ht="21.95" customHeight="1">
      <c r="A32" s="183"/>
      <c r="B32" s="184"/>
      <c r="C32" s="186" t="s">
        <v>78</v>
      </c>
      <c r="D32" s="185"/>
      <c r="E32" s="187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9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  <c r="BI32" s="190"/>
      <c r="BJ32" s="190"/>
      <c r="BK32" s="190"/>
      <c r="BL32" s="190"/>
      <c r="BM32" s="190"/>
      <c r="BN32" s="190"/>
      <c r="BO32" s="190"/>
      <c r="BP32" s="190"/>
      <c r="BQ32" s="190"/>
      <c r="BR32" s="190"/>
      <c r="BS32" s="190"/>
      <c r="BT32" s="190"/>
      <c r="BU32" s="190"/>
      <c r="BV32" s="190"/>
      <c r="BW32" s="190"/>
      <c r="BX32" s="190"/>
      <c r="BY32" s="190"/>
      <c r="BZ32" s="190"/>
      <c r="CA32" s="190"/>
      <c r="CB32" s="190"/>
      <c r="CC32" s="190"/>
      <c r="CD32" s="190"/>
      <c r="CE32" s="190"/>
      <c r="CF32" s="190"/>
      <c r="CG32" s="190"/>
      <c r="CH32" s="190"/>
      <c r="CI32" s="190"/>
      <c r="CJ32" s="190"/>
      <c r="CK32" s="190"/>
      <c r="CL32" s="190"/>
      <c r="CM32" s="190"/>
      <c r="CN32" s="190"/>
      <c r="CO32" s="190"/>
      <c r="CP32" s="190"/>
      <c r="CQ32" s="190"/>
      <c r="CR32" s="190"/>
      <c r="CS32" s="190"/>
      <c r="CT32" s="190"/>
      <c r="CU32" s="190"/>
      <c r="CV32" s="190"/>
      <c r="CW32" s="190"/>
      <c r="CX32" s="190"/>
      <c r="CY32" s="190"/>
      <c r="CZ32" s="190"/>
      <c r="DA32" s="190"/>
      <c r="DB32" s="190"/>
      <c r="DC32" s="190"/>
      <c r="DD32" s="190"/>
      <c r="DE32" s="190"/>
      <c r="DF32" s="190"/>
      <c r="DG32" s="190"/>
      <c r="DH32" s="190"/>
      <c r="DI32" s="190"/>
      <c r="DJ32" s="190"/>
      <c r="DK32" s="190"/>
      <c r="DL32" s="190"/>
      <c r="DM32" s="190"/>
      <c r="DN32" s="190"/>
      <c r="DO32" s="190"/>
      <c r="DP32" s="190"/>
      <c r="DQ32" s="190"/>
      <c r="DR32" s="190"/>
      <c r="DS32" s="190">
        <v>89</v>
      </c>
      <c r="DT32" s="190"/>
      <c r="DU32" s="190"/>
      <c r="DV32" s="190"/>
      <c r="DW32" s="190"/>
      <c r="DX32" s="190">
        <v>173</v>
      </c>
      <c r="DY32" s="190"/>
      <c r="DZ32" s="190">
        <v>90</v>
      </c>
      <c r="EA32" s="190"/>
      <c r="EB32" s="190"/>
      <c r="EC32" s="190"/>
      <c r="ED32" s="190"/>
      <c r="EE32" s="190"/>
      <c r="EF32" s="190"/>
      <c r="EG32" s="190">
        <v>85</v>
      </c>
      <c r="EH32" s="190"/>
      <c r="EI32" s="190"/>
      <c r="EJ32" s="190"/>
      <c r="EK32" s="190"/>
      <c r="EL32" s="190"/>
      <c r="EM32" s="190"/>
      <c r="EN32" s="190"/>
      <c r="EO32" s="190"/>
      <c r="EP32" s="190"/>
      <c r="EQ32" s="190"/>
      <c r="ER32" s="190"/>
      <c r="ES32" s="190"/>
      <c r="ET32" s="190"/>
      <c r="EU32" s="190"/>
      <c r="EV32" s="190"/>
      <c r="EW32" s="190"/>
      <c r="EX32" s="190"/>
      <c r="EY32" s="190"/>
      <c r="EZ32" s="190"/>
      <c r="FA32" s="190"/>
    </row>
    <row r="33" spans="1:157" ht="25.5" customHeight="1">
      <c r="A33" s="24"/>
      <c r="B33" s="140"/>
      <c r="C33" s="25" t="s">
        <v>64</v>
      </c>
      <c r="D33" s="26">
        <f>D19+D31</f>
        <v>266</v>
      </c>
      <c r="E33" s="39">
        <f>E19+E31</f>
        <v>191</v>
      </c>
      <c r="F33" s="26">
        <f t="shared" ref="F33:AH33" si="127">F19+F31</f>
        <v>204</v>
      </c>
      <c r="G33" s="26">
        <f t="shared" si="127"/>
        <v>210</v>
      </c>
      <c r="H33" s="26">
        <f t="shared" si="127"/>
        <v>217</v>
      </c>
      <c r="I33" s="26">
        <f t="shared" si="127"/>
        <v>200</v>
      </c>
      <c r="J33" s="26">
        <f t="shared" si="127"/>
        <v>203</v>
      </c>
      <c r="K33" s="26">
        <f t="shared" si="127"/>
        <v>0</v>
      </c>
      <c r="L33" s="26">
        <f t="shared" si="127"/>
        <v>191</v>
      </c>
      <c r="M33" s="26">
        <f t="shared" si="127"/>
        <v>202</v>
      </c>
      <c r="N33" s="26">
        <f t="shared" si="127"/>
        <v>207</v>
      </c>
      <c r="O33" s="26">
        <f t="shared" si="127"/>
        <v>206</v>
      </c>
      <c r="P33" s="26">
        <f t="shared" si="127"/>
        <v>197</v>
      </c>
      <c r="Q33" s="26">
        <f t="shared" si="127"/>
        <v>189</v>
      </c>
      <c r="R33" s="26">
        <f t="shared" si="127"/>
        <v>27</v>
      </c>
      <c r="S33" s="26">
        <f t="shared" si="127"/>
        <v>202</v>
      </c>
      <c r="T33" s="26">
        <f t="shared" si="127"/>
        <v>191</v>
      </c>
      <c r="U33" s="26">
        <f t="shared" si="127"/>
        <v>212</v>
      </c>
      <c r="V33" s="26">
        <f t="shared" si="127"/>
        <v>203</v>
      </c>
      <c r="W33" s="26">
        <f t="shared" si="127"/>
        <v>219</v>
      </c>
      <c r="X33" s="26">
        <f t="shared" si="127"/>
        <v>188</v>
      </c>
      <c r="Y33" s="26">
        <f t="shared" si="127"/>
        <v>39</v>
      </c>
      <c r="Z33" s="26">
        <f t="shared" si="127"/>
        <v>196</v>
      </c>
      <c r="AA33" s="26">
        <f t="shared" si="127"/>
        <v>198</v>
      </c>
      <c r="AB33" s="26">
        <f t="shared" si="127"/>
        <v>204</v>
      </c>
      <c r="AC33" s="26">
        <f t="shared" si="127"/>
        <v>205</v>
      </c>
      <c r="AD33" s="26">
        <f t="shared" si="127"/>
        <v>189</v>
      </c>
      <c r="AE33" s="26">
        <f t="shared" si="127"/>
        <v>184</v>
      </c>
      <c r="AF33" s="26">
        <f t="shared" si="127"/>
        <v>159</v>
      </c>
      <c r="AG33" s="26">
        <f t="shared" si="127"/>
        <v>31</v>
      </c>
      <c r="AH33" s="95">
        <f t="shared" si="127"/>
        <v>210</v>
      </c>
      <c r="AI33" s="84">
        <f>AI19+AI31</f>
        <v>217</v>
      </c>
      <c r="AJ33" s="84">
        <f>AJ19+AJ31</f>
        <v>215</v>
      </c>
      <c r="AK33" s="84">
        <f>AK19+AK31</f>
        <v>223</v>
      </c>
      <c r="AL33" s="84">
        <f>AL19+AL31</f>
        <v>220</v>
      </c>
      <c r="AM33" s="84">
        <f t="shared" ref="AM33:BL33" si="128">AM19+AM31</f>
        <v>39</v>
      </c>
      <c r="AN33" s="84">
        <f t="shared" si="128"/>
        <v>198</v>
      </c>
      <c r="AO33" s="84">
        <f t="shared" si="128"/>
        <v>208</v>
      </c>
      <c r="AP33" s="84">
        <f t="shared" si="128"/>
        <v>209</v>
      </c>
      <c r="AQ33" s="84">
        <f t="shared" si="128"/>
        <v>216</v>
      </c>
      <c r="AR33" s="84">
        <f t="shared" si="128"/>
        <v>221</v>
      </c>
      <c r="AS33" s="84">
        <f t="shared" si="128"/>
        <v>224</v>
      </c>
      <c r="AT33" s="84">
        <f t="shared" si="128"/>
        <v>46</v>
      </c>
      <c r="AU33" s="84">
        <f t="shared" si="128"/>
        <v>213</v>
      </c>
      <c r="AV33" s="84">
        <f t="shared" si="128"/>
        <v>218</v>
      </c>
      <c r="AW33" s="84">
        <f t="shared" si="128"/>
        <v>224</v>
      </c>
      <c r="AX33" s="84">
        <f t="shared" si="128"/>
        <v>225</v>
      </c>
      <c r="AY33" s="84">
        <f t="shared" si="128"/>
        <v>210</v>
      </c>
      <c r="AZ33" s="84">
        <f t="shared" si="128"/>
        <v>106</v>
      </c>
      <c r="BA33" s="84">
        <f t="shared" si="128"/>
        <v>96</v>
      </c>
      <c r="BB33" s="84">
        <f t="shared" si="128"/>
        <v>204</v>
      </c>
      <c r="BC33" s="84">
        <f t="shared" si="128"/>
        <v>218</v>
      </c>
      <c r="BD33" s="84">
        <f t="shared" si="128"/>
        <v>226</v>
      </c>
      <c r="BE33" s="84">
        <f t="shared" si="128"/>
        <v>213</v>
      </c>
      <c r="BF33" s="84">
        <f t="shared" si="128"/>
        <v>228</v>
      </c>
      <c r="BG33" s="84">
        <f t="shared" si="128"/>
        <v>194</v>
      </c>
      <c r="BH33" s="84">
        <f t="shared" si="128"/>
        <v>68</v>
      </c>
      <c r="BI33" s="84">
        <f t="shared" si="128"/>
        <v>194</v>
      </c>
      <c r="BJ33" s="84">
        <f t="shared" si="128"/>
        <v>218</v>
      </c>
      <c r="BK33" s="84">
        <f>BK19+BK31</f>
        <v>230</v>
      </c>
      <c r="BL33" s="84">
        <f t="shared" si="128"/>
        <v>209</v>
      </c>
      <c r="BM33" s="84">
        <f t="shared" ref="BM33:BN33" si="129">BM19+BM31</f>
        <v>226</v>
      </c>
      <c r="BN33" s="84">
        <f t="shared" si="129"/>
        <v>223</v>
      </c>
      <c r="BO33" s="84">
        <f t="shared" ref="BO33:CN33" si="130">BO19+BO31</f>
        <v>52</v>
      </c>
      <c r="BP33" s="84">
        <f t="shared" si="130"/>
        <v>224</v>
      </c>
      <c r="BQ33" s="84">
        <f t="shared" si="130"/>
        <v>227</v>
      </c>
      <c r="BR33" s="84">
        <f t="shared" si="130"/>
        <v>241</v>
      </c>
      <c r="BS33" s="84">
        <f t="shared" si="130"/>
        <v>123</v>
      </c>
      <c r="BT33" s="84">
        <f t="shared" si="130"/>
        <v>225</v>
      </c>
      <c r="BU33" s="84">
        <f t="shared" si="130"/>
        <v>232</v>
      </c>
      <c r="BV33" s="84">
        <f t="shared" si="130"/>
        <v>156</v>
      </c>
      <c r="BW33" s="84">
        <f t="shared" si="130"/>
        <v>210</v>
      </c>
      <c r="BX33" s="84">
        <f t="shared" si="130"/>
        <v>213</v>
      </c>
      <c r="BY33" s="84">
        <f t="shared" si="130"/>
        <v>229</v>
      </c>
      <c r="BZ33" s="84">
        <f t="shared" si="130"/>
        <v>231</v>
      </c>
      <c r="CA33" s="84">
        <f t="shared" si="130"/>
        <v>241</v>
      </c>
      <c r="CB33" s="84">
        <f t="shared" si="130"/>
        <v>13</v>
      </c>
      <c r="CC33" s="84">
        <f t="shared" si="130"/>
        <v>106</v>
      </c>
      <c r="CD33" s="84">
        <f t="shared" si="130"/>
        <v>169</v>
      </c>
      <c r="CE33" s="84">
        <f t="shared" si="130"/>
        <v>249</v>
      </c>
      <c r="CF33" s="84">
        <f t="shared" si="130"/>
        <v>245</v>
      </c>
      <c r="CG33" s="84">
        <f t="shared" si="130"/>
        <v>228</v>
      </c>
      <c r="CH33" s="84">
        <f t="shared" si="130"/>
        <v>229</v>
      </c>
      <c r="CI33" s="84">
        <f t="shared" si="130"/>
        <v>233</v>
      </c>
      <c r="CJ33" s="84">
        <f t="shared" si="130"/>
        <v>69</v>
      </c>
      <c r="CK33" s="84">
        <f t="shared" si="130"/>
        <v>213</v>
      </c>
      <c r="CL33" s="84">
        <f t="shared" si="130"/>
        <v>230</v>
      </c>
      <c r="CM33" s="84">
        <f t="shared" si="130"/>
        <v>221</v>
      </c>
      <c r="CN33" s="84">
        <f t="shared" si="130"/>
        <v>224</v>
      </c>
      <c r="CO33" s="84">
        <f t="shared" ref="CO33:CR33" si="131">CO19+CO31</f>
        <v>191</v>
      </c>
      <c r="CP33" s="84">
        <f t="shared" si="131"/>
        <v>189</v>
      </c>
      <c r="CQ33" s="84">
        <f t="shared" si="131"/>
        <v>50</v>
      </c>
      <c r="CR33" s="84">
        <f t="shared" si="131"/>
        <v>199</v>
      </c>
      <c r="CS33" s="84">
        <f t="shared" ref="CS33:FA33" si="132">CS19+CS31</f>
        <v>223</v>
      </c>
      <c r="CT33" s="84">
        <f t="shared" si="132"/>
        <v>227</v>
      </c>
      <c r="CU33" s="84">
        <f t="shared" si="132"/>
        <v>222</v>
      </c>
      <c r="CV33" s="84">
        <f t="shared" si="132"/>
        <v>227</v>
      </c>
      <c r="CW33" s="84">
        <f t="shared" si="132"/>
        <v>209</v>
      </c>
      <c r="CX33" s="84">
        <f t="shared" si="132"/>
        <v>75</v>
      </c>
      <c r="CY33" s="84">
        <f t="shared" si="132"/>
        <v>196</v>
      </c>
      <c r="CZ33" s="84">
        <f t="shared" si="132"/>
        <v>201</v>
      </c>
      <c r="DA33" s="84">
        <f t="shared" si="132"/>
        <v>212</v>
      </c>
      <c r="DB33" s="84">
        <f t="shared" si="132"/>
        <v>215</v>
      </c>
      <c r="DC33" s="84">
        <f t="shared" si="132"/>
        <v>217</v>
      </c>
      <c r="DD33" s="84">
        <f t="shared" si="132"/>
        <v>229</v>
      </c>
      <c r="DE33" s="84">
        <f t="shared" si="132"/>
        <v>96</v>
      </c>
      <c r="DF33" s="84">
        <f t="shared" si="132"/>
        <v>24</v>
      </c>
      <c r="DG33" s="84">
        <f t="shared" si="132"/>
        <v>191</v>
      </c>
      <c r="DH33" s="84">
        <f t="shared" si="132"/>
        <v>213</v>
      </c>
      <c r="DI33" s="84">
        <f t="shared" si="132"/>
        <v>122</v>
      </c>
      <c r="DJ33" s="84">
        <f t="shared" si="132"/>
        <v>192</v>
      </c>
      <c r="DK33" s="84">
        <f t="shared" si="132"/>
        <v>211</v>
      </c>
      <c r="DL33" s="84">
        <f t="shared" si="132"/>
        <v>94</v>
      </c>
      <c r="DM33" s="84">
        <f t="shared" si="132"/>
        <v>186</v>
      </c>
      <c r="DN33" s="84">
        <f t="shared" si="132"/>
        <v>231</v>
      </c>
      <c r="DO33" s="84">
        <f t="shared" si="132"/>
        <v>235</v>
      </c>
      <c r="DP33" s="84">
        <f t="shared" si="132"/>
        <v>39</v>
      </c>
      <c r="DQ33" s="84">
        <f t="shared" si="132"/>
        <v>204</v>
      </c>
      <c r="DR33" s="84">
        <f t="shared" si="132"/>
        <v>202</v>
      </c>
      <c r="DS33" s="84">
        <f t="shared" si="132"/>
        <v>139</v>
      </c>
      <c r="DT33" s="84">
        <f t="shared" si="132"/>
        <v>196</v>
      </c>
      <c r="DU33" s="84">
        <f t="shared" si="132"/>
        <v>214</v>
      </c>
      <c r="DV33" s="84">
        <f t="shared" si="132"/>
        <v>222</v>
      </c>
      <c r="DW33" s="84">
        <f t="shared" si="132"/>
        <v>222</v>
      </c>
      <c r="DX33" s="84">
        <f t="shared" si="132"/>
        <v>0</v>
      </c>
      <c r="DY33" s="84">
        <f t="shared" si="132"/>
        <v>194</v>
      </c>
      <c r="DZ33" s="84">
        <f t="shared" si="132"/>
        <v>103</v>
      </c>
      <c r="EA33" s="84">
        <f t="shared" si="132"/>
        <v>196</v>
      </c>
      <c r="EB33" s="84">
        <f t="shared" si="132"/>
        <v>227</v>
      </c>
      <c r="EC33" s="84">
        <f t="shared" si="132"/>
        <v>222</v>
      </c>
      <c r="ED33" s="84">
        <f t="shared" si="132"/>
        <v>155</v>
      </c>
      <c r="EE33" s="84">
        <f t="shared" si="132"/>
        <v>231</v>
      </c>
      <c r="EF33" s="84">
        <f t="shared" si="132"/>
        <v>211</v>
      </c>
      <c r="EG33" s="84">
        <f t="shared" si="132"/>
        <v>91</v>
      </c>
      <c r="EH33" s="84">
        <f t="shared" si="132"/>
        <v>195</v>
      </c>
      <c r="EI33" s="84">
        <f t="shared" si="132"/>
        <v>234</v>
      </c>
      <c r="EJ33" s="84">
        <f t="shared" si="132"/>
        <v>0</v>
      </c>
      <c r="EK33" s="84">
        <f t="shared" si="132"/>
        <v>0</v>
      </c>
      <c r="EL33" s="84">
        <f t="shared" si="132"/>
        <v>0</v>
      </c>
      <c r="EM33" s="84">
        <f t="shared" si="132"/>
        <v>0</v>
      </c>
      <c r="EN33" s="84">
        <f t="shared" si="132"/>
        <v>0</v>
      </c>
      <c r="EO33" s="84">
        <f t="shared" si="132"/>
        <v>0</v>
      </c>
      <c r="EP33" s="84">
        <f t="shared" si="132"/>
        <v>0</v>
      </c>
      <c r="EQ33" s="84">
        <f t="shared" si="132"/>
        <v>0</v>
      </c>
      <c r="ER33" s="84">
        <f t="shared" si="132"/>
        <v>0</v>
      </c>
      <c r="ES33" s="84">
        <f t="shared" si="132"/>
        <v>0</v>
      </c>
      <c r="ET33" s="84">
        <f t="shared" si="132"/>
        <v>0</v>
      </c>
      <c r="EU33" s="84">
        <f t="shared" si="132"/>
        <v>0</v>
      </c>
      <c r="EV33" s="84">
        <f t="shared" si="132"/>
        <v>0</v>
      </c>
      <c r="EW33" s="84">
        <f t="shared" si="132"/>
        <v>0</v>
      </c>
      <c r="EX33" s="84">
        <f t="shared" si="132"/>
        <v>0</v>
      </c>
      <c r="EY33" s="84">
        <f t="shared" si="132"/>
        <v>0</v>
      </c>
      <c r="EZ33" s="84">
        <f t="shared" si="132"/>
        <v>0</v>
      </c>
      <c r="FA33" s="84">
        <f t="shared" si="132"/>
        <v>0</v>
      </c>
    </row>
    <row r="34" spans="1:157" ht="21.95" customHeight="1">
      <c r="A34" s="20"/>
      <c r="B34" s="141"/>
      <c r="C34" s="21" t="s">
        <v>79</v>
      </c>
      <c r="D34" s="22" t="s">
        <v>80</v>
      </c>
      <c r="E34" s="23">
        <f>IF(COUNT(E3:E13,E20:E30)=0,"",E33-$D$33)</f>
        <v>-75</v>
      </c>
      <c r="F34" s="23">
        <f>IF(COUNT(F3:F13,F20:F30)=0,"",F33-$D$33)</f>
        <v>-62</v>
      </c>
      <c r="G34" s="23">
        <f>IF(COUNT(G3:G13,G20:G30)=0,"",G33-$D$33)</f>
        <v>-56</v>
      </c>
      <c r="H34" s="23">
        <f>IF(COUNT(H3:H13,H20:H30)=0,"",H33-$D$33)</f>
        <v>-49</v>
      </c>
      <c r="I34" s="23">
        <f>IF(COUNT(I3:I13,I20:I30)=0,"",I33-$D$33)</f>
        <v>-66</v>
      </c>
      <c r="J34" s="23">
        <f>IF(COUNT(J3:J13,J20:J30)=0,"",J33-$D$33)</f>
        <v>-63</v>
      </c>
      <c r="K34" s="23" t="str">
        <f>IF(COUNT(K3:K13,K20:K30)=0,"",K33-$D$33)</f>
        <v/>
      </c>
      <c r="L34" s="23">
        <f>IF(COUNT(L3:L13,L20:L30)=0,"",L33-$D$33)</f>
        <v>-75</v>
      </c>
      <c r="M34" s="23">
        <f>IF(COUNT(M3:M13,M20:M30)=0,"",M33-$D$33)</f>
        <v>-64</v>
      </c>
      <c r="N34" s="23">
        <f>IF(COUNT(N3:N13,N20:N30)=0,"",N33-$D$33)</f>
        <v>-59</v>
      </c>
      <c r="O34" s="23">
        <f>IF(COUNT(O3:O13,O20:O30)=0,"",O33-$D$33)</f>
        <v>-60</v>
      </c>
      <c r="P34" s="23">
        <f>IF(COUNT(P3:P13,P20:P30)=0,"",P33-$D$33)</f>
        <v>-69</v>
      </c>
      <c r="Q34" s="23">
        <f>IF(COUNT(Q3:Q13,Q20:Q30)=0,"",Q33-$D$33)</f>
        <v>-77</v>
      </c>
      <c r="R34" s="23">
        <f>IF(COUNT(R3:R13,R20:R30)=0,"",R33-$D$33)</f>
        <v>-239</v>
      </c>
      <c r="S34" s="23">
        <f>IF(COUNT(S3:S13,S20:S30)=0,"",S33-$D$33)</f>
        <v>-64</v>
      </c>
      <c r="T34" s="23">
        <f>IF(COUNT(T3:T13,T20:T30)=0,"",T33-$D$33)</f>
        <v>-75</v>
      </c>
      <c r="U34" s="23">
        <f>IF(COUNT(U3:U13,U20:U30)=0,"",U33-$D$33)</f>
        <v>-54</v>
      </c>
      <c r="V34" s="23">
        <f>IF(COUNT(V3:V13,V20:V30)=0,"",V33-$D$33)</f>
        <v>-63</v>
      </c>
      <c r="W34" s="23">
        <f>IF(COUNT(W3:W13,W20:W30)=0,"",W33-$D$33)</f>
        <v>-47</v>
      </c>
      <c r="X34" s="23">
        <f>IF(COUNT(X3:X13,X20:X30)=0,"",X33-$D$33)</f>
        <v>-78</v>
      </c>
      <c r="Y34" s="23">
        <f>IF(COUNT(Y3:Y13,Y20:Y30)=0,"",Y33-$D$33)</f>
        <v>-227</v>
      </c>
      <c r="Z34" s="23">
        <f>IF(COUNT(Z3:Z13,Z20:Z30)=0,"",Z33-$D$33)</f>
        <v>-70</v>
      </c>
      <c r="AA34" s="23">
        <f>IF(COUNT(AA3:AA13,AA20:AA30)=0,"",AA33-$D$33)</f>
        <v>-68</v>
      </c>
      <c r="AB34" s="23">
        <f>IF(COUNT(AB3:AB13,AB20:AB30)=0,"",AB33-$D$33)</f>
        <v>-62</v>
      </c>
      <c r="AC34" s="23">
        <f>IF(COUNT(AC3:AC13,AC20:AC30)=0,"",AC33-$D$33)</f>
        <v>-61</v>
      </c>
      <c r="AD34" s="23">
        <f>IF(COUNT(AD3:AD13,AD20:AD30)=0,"",AD33-$D$33)</f>
        <v>-77</v>
      </c>
      <c r="AE34" s="23">
        <f>IF(COUNT(AE3:AE13,AE20:AE30)=0,"",AE33-$D$33)</f>
        <v>-82</v>
      </c>
      <c r="AF34" s="23">
        <f>IF(COUNT(AF3:AF13,AF20:AF30)=0,"",AF33-$D$33)</f>
        <v>-107</v>
      </c>
      <c r="AG34" s="23">
        <f>IF(COUNT(AG3:AG13,AG20:AG30)=0,"",AG33-$D$33)</f>
        <v>-235</v>
      </c>
      <c r="AH34" s="96">
        <f>IF(COUNT(AH3:AH13,AH20:AH30)=0,"",AH33-$D$33)</f>
        <v>-56</v>
      </c>
      <c r="AI34" s="85">
        <f>IF(COUNT(AI3:AI13,AI20:AI30)=0,"",AI33-$D$33)</f>
        <v>-49</v>
      </c>
      <c r="AJ34" s="85">
        <f>IF(COUNT(AJ3:AJ13,AJ20:AJ30)=0,"",AJ33-$D$33)</f>
        <v>-51</v>
      </c>
      <c r="AK34" s="85">
        <f>IF(COUNT(AK3:AK13,AK20:AK30)=0,"",AK33-$D$33)</f>
        <v>-43</v>
      </c>
      <c r="AL34" s="85">
        <f>IF(COUNT(AL3:AL13,AL20:AL30)=0,"",AL33-$D$33)</f>
        <v>-46</v>
      </c>
      <c r="AM34" s="85">
        <f>IF(COUNT(AM3:AM13,AM20:AM30)=0,"",AM33-$D$33)</f>
        <v>-227</v>
      </c>
      <c r="AN34" s="85">
        <f>IF(COUNT(AN3:AN13,AN20:AN30)=0,"",AN33-$D$33)</f>
        <v>-68</v>
      </c>
      <c r="AO34" s="85">
        <f>IF(COUNT(AO3:AO13,AO20:AO30)=0,"",AO33-$D$33)</f>
        <v>-58</v>
      </c>
      <c r="AP34" s="85">
        <f>IF(COUNT(AP3:AP13,AP20:AP30)=0,"",AP33-$D$33)</f>
        <v>-57</v>
      </c>
      <c r="AQ34" s="85">
        <f>IF(COUNT(AQ3:AQ13,AQ20:AQ30)=0,"",AQ33-$D$33)</f>
        <v>-50</v>
      </c>
      <c r="AR34" s="85">
        <f>IF(COUNT(AR3:AR13,AR20:AR30)=0,"",AR33-$D$33)</f>
        <v>-45</v>
      </c>
      <c r="AS34" s="85">
        <f>IF(COUNT(AS3:AS13,AS20:AS30)=0,"",AS33-$D$33)</f>
        <v>-42</v>
      </c>
      <c r="AT34" s="85">
        <f>IF(COUNT(AT3:AT13,AT20:AT30)=0,"",AT33-$D$33)</f>
        <v>-220</v>
      </c>
      <c r="AU34" s="85">
        <f>IF(COUNT(AU3:AU13,AU20:AU30)=0,"",AU33-$D$33)</f>
        <v>-53</v>
      </c>
      <c r="AV34" s="85">
        <f>IF(COUNT(AV3:AV13,AV20:AV30)=0,"",AV33-$D$33)</f>
        <v>-48</v>
      </c>
      <c r="AW34" s="85">
        <f>IF(COUNT(AW3:AW13,AW20:AW30)=0,"",AW33-$D$33)</f>
        <v>-42</v>
      </c>
      <c r="AX34" s="85">
        <f>IF(COUNT(AX3:AX13,AX20:AX30)=0,"",AX33-$D$33)</f>
        <v>-41</v>
      </c>
      <c r="AY34" s="85">
        <f>IF(COUNT(AY3:AY13,AY20:AY30)=0,"",AY33-$D$33)</f>
        <v>-56</v>
      </c>
      <c r="AZ34" s="85">
        <f>IF(COUNT(AZ3:AZ13,AZ20:AZ30)=0,"",AZ33-$D$33)</f>
        <v>-160</v>
      </c>
      <c r="BA34" s="85">
        <f>IF(COUNT(BA3:BA13,BA20:BA30)=0,"",BA33-$D$33)</f>
        <v>-170</v>
      </c>
      <c r="BB34" s="85">
        <f>IF(COUNT(BB3:BB13,BB20:BB30)=0,"",BB33-$D$33)</f>
        <v>-62</v>
      </c>
      <c r="BC34" s="85">
        <f>IF(COUNT(BC3:BC13,BC20:BC30)=0,"",BC33-$D$33)</f>
        <v>-48</v>
      </c>
      <c r="BD34" s="85">
        <f>IF(COUNT(BD3:BD13,BD20:BD30)=0,"",BD33-$D$33)</f>
        <v>-40</v>
      </c>
      <c r="BE34" s="85">
        <f>IF(COUNT(BE3:BE13,BE20:BE30)=0,"",BE33-$D$33)</f>
        <v>-53</v>
      </c>
      <c r="BF34" s="85">
        <f>IF(COUNT(BF3:BF13,BF20:BF30)=0,"",BF33-$D$33)</f>
        <v>-38</v>
      </c>
      <c r="BG34" s="85">
        <f>IF(COUNT(BG3:BG13,BG20:BG30)=0,"",BG33-$D$33)</f>
        <v>-72</v>
      </c>
      <c r="BH34" s="85">
        <f>IF(COUNT(BH3:BH13,BH20:BH30)=0,"",BH33-$D$33)</f>
        <v>-198</v>
      </c>
      <c r="BI34" s="85">
        <f>IF(COUNT(BI3:BI13,BI20:BI30)=0,"",BI33-$D$33)</f>
        <v>-72</v>
      </c>
      <c r="BJ34" s="85">
        <f>IF(COUNT(BJ3:BJ13,BJ20:BJ30)=0,"",BJ33-$D$33)</f>
        <v>-48</v>
      </c>
      <c r="BK34" s="85">
        <f>IF(COUNT(BK3:BK13,BK20:BK30)=0,"",BK33-$D$33)</f>
        <v>-36</v>
      </c>
      <c r="BL34" s="85">
        <f>IF(COUNT(BL3:BL13,BL20:BL30)=0,"",BL33-$D$33)</f>
        <v>-57</v>
      </c>
      <c r="BM34" s="85">
        <f>IF(COUNT(BM3:BM13,BM20:BM30)=0,"",BM33-$D$33)</f>
        <v>-40</v>
      </c>
      <c r="BN34" s="85">
        <f>IF(COUNT(BN3:BN13,BN20:BN30)=0,"",BN33-$D$33)</f>
        <v>-43</v>
      </c>
      <c r="BO34" s="85">
        <f>IF(COUNT(BO3:BO13,BO20:BO30)=0,"",BO33-$D$33)</f>
        <v>-214</v>
      </c>
      <c r="BP34" s="85">
        <f>IF(COUNT(BP3:BP13,BP20:BP30)=0,"",BP33-$D$33)</f>
        <v>-42</v>
      </c>
      <c r="BQ34" s="85">
        <f>IF(COUNT(BQ3:BQ13,BQ20:BQ30)=0,"",BQ33-$D$33)</f>
        <v>-39</v>
      </c>
      <c r="BR34" s="85">
        <f>IF(COUNT(BR3:BR13,BR20:BR30)=0,"",BR33-$D$33)</f>
        <v>-25</v>
      </c>
      <c r="BS34" s="85">
        <f>IF(COUNT(BS3:BS13,BS20:BS30)=0,"",BS33-$D$33)</f>
        <v>-143</v>
      </c>
      <c r="BT34" s="85">
        <f>IF(COUNT(BT3:BT13,BT20:BT30)=0,"",BT33-$D$33)</f>
        <v>-41</v>
      </c>
      <c r="BU34" s="85">
        <f>IF(COUNT(BU3:BU13,BU20:BU30)=0,"",BU33-$D$33)</f>
        <v>-34</v>
      </c>
      <c r="BV34" s="85">
        <f>IF(COUNT(BV3:BV13,BV20:BV30)=0,"",BV33-$D$33)</f>
        <v>-110</v>
      </c>
      <c r="BW34" s="85">
        <f>IF(COUNT(BW3:BW13,BW20:BW30)=0,"",BW33-$D$33)</f>
        <v>-56</v>
      </c>
      <c r="BX34" s="85">
        <f>IF(COUNT(BX3:BX13,BX20:BX30)=0,"",BX33-$D$33)</f>
        <v>-53</v>
      </c>
      <c r="BY34" s="85">
        <f>IF(COUNT(BY3:BY13,BY20:BY30)=0,"",BY33-$D$33)</f>
        <v>-37</v>
      </c>
      <c r="BZ34" s="85">
        <f>IF(COUNT(BZ3:BZ13,BZ20:BZ30)=0,"",BZ33-$D$33)</f>
        <v>-35</v>
      </c>
      <c r="CA34" s="85">
        <f>IF(COUNT(CA3:CA13,CA20:CA30)=0,"",CA33-$D$33)</f>
        <v>-25</v>
      </c>
      <c r="CB34" s="85">
        <f>IF(COUNT(CB3:CB13,CB20:CB30)=0,"",CB33-$D$33)</f>
        <v>-253</v>
      </c>
      <c r="CC34" s="85">
        <f>IF(COUNT(CC3:CC13,CC20:CC30)=0,"",CC33-$D$33)</f>
        <v>-160</v>
      </c>
      <c r="CD34" s="85">
        <f>IF(COUNT(CD3:CD13,CD20:CD30)=0,"",CD33-$D$33)</f>
        <v>-97</v>
      </c>
      <c r="CE34" s="85">
        <f>IF(COUNT(CE3:CE13,CE20:CE30)=0,"",CE33-$D$33)</f>
        <v>-17</v>
      </c>
      <c r="CF34" s="85">
        <f>IF(COUNT(CF3:CF13,CF20:CF30)=0,"",CF33-$D$33)</f>
        <v>-21</v>
      </c>
      <c r="CG34" s="85">
        <f>IF(COUNT(CG3:CG13,CG20:CG30)=0,"",CG33-$D$33)</f>
        <v>-38</v>
      </c>
      <c r="CH34" s="85">
        <f>IF(COUNT(CH3:CH13,CH20:CH30)=0,"",CH33-$D$33)</f>
        <v>-37</v>
      </c>
      <c r="CI34" s="85">
        <f>IF(COUNT(CI3:CI13,CI20:CI30)=0,"",CI33-$D$33)</f>
        <v>-33</v>
      </c>
      <c r="CJ34" s="85">
        <f>IF(COUNT(CJ3:CJ13,CJ20:CJ30)=0,"",CJ33-$D$33)</f>
        <v>-197</v>
      </c>
      <c r="CK34" s="85">
        <f>IF(COUNT(CK3:CK13,CK20:CK30)=0,"",CK33-$D$33)</f>
        <v>-53</v>
      </c>
      <c r="CL34" s="85">
        <f>IF(COUNT(CL3:CL13,CL20:CL30)=0,"",CL33-$D$33)</f>
        <v>-36</v>
      </c>
      <c r="CM34" s="85">
        <f>IF(COUNT(CM3:CM13,CM20:CM30)=0,"",CM33-$D$33)</f>
        <v>-45</v>
      </c>
      <c r="CN34" s="85">
        <f>IF(COUNT(CN3:CN13,CN20:CN30)=0,"",CN33-$D$33)</f>
        <v>-42</v>
      </c>
      <c r="CO34" s="85">
        <f>IF(COUNT(CO3:CO13,CO20:CO30)=0,"",CO33-$D$33)</f>
        <v>-75</v>
      </c>
      <c r="CP34" s="85">
        <f>IF(COUNT(CP3:CP13,CP20:CP30)=0,"",CP33-$D$33)</f>
        <v>-77</v>
      </c>
      <c r="CQ34" s="85">
        <f>IF(COUNT(CQ3:CQ13,CQ20:CQ30)=0,"",CQ33-$D$33)</f>
        <v>-216</v>
      </c>
      <c r="CR34" s="85">
        <f>IF(COUNT(CR3:CR13,CR20:CR30)=0,"",CR33-$D$33)</f>
        <v>-67</v>
      </c>
      <c r="CS34" s="85">
        <f>IF(COUNT(CS3:CS13,CS20:CS30)=0,"",CS33-$D$33)</f>
        <v>-43</v>
      </c>
      <c r="CT34" s="85">
        <f>IF(COUNT(CT3:CT13,CT20:CT30)=0,"",CT33-$D$33)</f>
        <v>-39</v>
      </c>
      <c r="CU34" s="85">
        <f>IF(COUNT(CU3:CU13,CU20:CU30)=0,"",CU33-$D$33)</f>
        <v>-44</v>
      </c>
      <c r="CV34" s="85">
        <f>IF(COUNT(CV3:CV13,CV20:CV30)=0,"",CV33-$D$33)</f>
        <v>-39</v>
      </c>
      <c r="CW34" s="85">
        <f>IF(COUNT(CW3:CW13,CW20:CW30)=0,"",CW33-$D$33)</f>
        <v>-57</v>
      </c>
      <c r="CX34" s="85">
        <f>IF(COUNT(CX3:CX13,CX20:CX30)=0,"",CX33-$D$33)</f>
        <v>-191</v>
      </c>
      <c r="CY34" s="85">
        <f>IF(COUNT(CY3:CY13,CY20:CY30)=0,"",CY33-$D$33)</f>
        <v>-70</v>
      </c>
      <c r="CZ34" s="85">
        <f>IF(COUNT(CZ3:CZ13,CZ20:CZ30)=0,"",CZ33-$D$33)</f>
        <v>-65</v>
      </c>
      <c r="DA34" s="85">
        <f>IF(COUNT(DA3:DA13,DA20:DA30)=0,"",DA33-$D$33)</f>
        <v>-54</v>
      </c>
      <c r="DB34" s="85">
        <f>IF(COUNT(DB3:DB13,DB20:DB30)=0,"",DB33-$D$33)</f>
        <v>-51</v>
      </c>
      <c r="DC34" s="85">
        <f>IF(COUNT(DC3:DC13,DC20:DC30)=0,"",DC33-$D$33)</f>
        <v>-49</v>
      </c>
      <c r="DD34" s="85">
        <f>IF(COUNT(DD3:DD13,DD20:DD30)=0,"",DD33-$D$33)</f>
        <v>-37</v>
      </c>
      <c r="DE34" s="85">
        <f>IF(COUNT(DE3:DE13,DE20:DE30)=0,"",DE33-$D$33)</f>
        <v>-170</v>
      </c>
      <c r="DF34" s="85">
        <f>IF(COUNT(DF3:DF13,DF20:DF30)=0,"",DF33-$D$33)</f>
        <v>-242</v>
      </c>
      <c r="DG34" s="85">
        <f>IF(COUNT(DG3:DG13,DG20:DG30)=0,"",DG33-$D$33)</f>
        <v>-75</v>
      </c>
      <c r="DH34" s="85">
        <f>IF(COUNT(DH3:DH13,DH20:DH30)=0,"",DH33-$D$33)</f>
        <v>-53</v>
      </c>
      <c r="DI34" s="85">
        <f>IF(COUNT(DI3:DI13,DI20:DI30)=0,"",DI33-$D$33)</f>
        <v>-144</v>
      </c>
      <c r="DJ34" s="85">
        <f>IF(COUNT(DJ3:DJ13,DJ20:DJ30)=0,"",DJ33-$D$33)</f>
        <v>-74</v>
      </c>
      <c r="DK34" s="85">
        <f>IF(COUNT(DK3:DK13,DK20:DK30)=0,"",DK33-$D$33)</f>
        <v>-55</v>
      </c>
      <c r="DL34" s="85">
        <f>IF(COUNT(DL3:DL13,DL20:DL30)=0,"",DL33-$D$33)</f>
        <v>-172</v>
      </c>
      <c r="DM34" s="85">
        <f>IF(COUNT(DM3:DM13,DM20:DM30)=0,"",DM33-$D$33)</f>
        <v>-80</v>
      </c>
      <c r="DN34" s="85">
        <f>IF(COUNT(DN3:DN13,DN20:DN30)=0,"",DN33-$D$33)</f>
        <v>-35</v>
      </c>
      <c r="DO34" s="85">
        <f>IF(COUNT(DO3:DO13,DO20:DO30)=0,"",DO33-$D$33)</f>
        <v>-31</v>
      </c>
      <c r="DP34" s="85">
        <f>IF(COUNT(DP3:DP13,DP20:DP30)=0,"",DP33-$D$33)</f>
        <v>-227</v>
      </c>
      <c r="DQ34" s="85">
        <f>IF(COUNT(DQ3:DQ13,DQ20:DQ30)=0,"",DQ33-$D$33)</f>
        <v>-62</v>
      </c>
      <c r="DR34" s="85">
        <f>IF(COUNT(DR3:DR13,DR20:DR30)=0,"",DR33-$D$33)</f>
        <v>-64</v>
      </c>
      <c r="DS34" s="85">
        <f>IF(COUNT(DS3:DS13,DS20:DS30)=0,"",DS33-$D$33)</f>
        <v>-127</v>
      </c>
      <c r="DT34" s="85">
        <f>IF(COUNT(DT3:DT13,DT20:DT30)=0,"",DT33-$D$33)</f>
        <v>-70</v>
      </c>
      <c r="DU34" s="85">
        <f>IF(COUNT(DU3:DU13,DU20:DU30)=0,"",DU33-$D$33)</f>
        <v>-52</v>
      </c>
      <c r="DV34" s="85">
        <f>IF(COUNT(DV3:DV13,DV20:DV30)=0,"",DV33-$D$33)</f>
        <v>-44</v>
      </c>
      <c r="DW34" s="85">
        <f>IF(COUNT(DW3:DW13,DW20:DW30)=0,"",DW33-$D$33)</f>
        <v>-44</v>
      </c>
      <c r="DX34" s="85" t="str">
        <f>IF(COUNT(DX3:DX13,DX20:DX30)=0,"",DX33-$D$33)</f>
        <v/>
      </c>
      <c r="DY34" s="85">
        <f>IF(COUNT(DY3:DY13,DY20:DY30)=0,"",DY33-$D$33)</f>
        <v>-72</v>
      </c>
      <c r="DZ34" s="85">
        <f>IF(COUNT(DZ3:DZ13,DZ20:DZ30)=0,"",DZ33-$D$33)</f>
        <v>-163</v>
      </c>
      <c r="EA34" s="85">
        <f>IF(COUNT(EA3:EA13,EA20:EA30)=0,"",EA33-$D$33)</f>
        <v>-70</v>
      </c>
      <c r="EB34" s="85">
        <f>IF(COUNT(EB3:EB13,EB20:EB30)=0,"",EB33-$D$33)</f>
        <v>-39</v>
      </c>
      <c r="EC34" s="85">
        <f>IF(COUNT(EC3:EC13,EC20:EC30)=0,"",EC33-$D$33)</f>
        <v>-44</v>
      </c>
      <c r="ED34" s="85">
        <f>IF(COUNT(ED3:ED13,ED20:ED30)=0,"",ED33-$D$33)</f>
        <v>-111</v>
      </c>
      <c r="EE34" s="85">
        <f>IF(COUNT(EE3:EE13,EE20:EE30)=0,"",EE33-$D$33)</f>
        <v>-35</v>
      </c>
      <c r="EF34" s="85">
        <f>IF(COUNT(EF3:EF13,EF20:EF30)=0,"",EF33-$D$33)</f>
        <v>-55</v>
      </c>
      <c r="EG34" s="85">
        <f>IF(COUNT(EG3:EG13,EG20:EG30)=0,"",EG33-$D$33)</f>
        <v>-175</v>
      </c>
      <c r="EH34" s="85">
        <f>IF(COUNT(EH3:EH13,EH20:EH30)=0,"",EH33-$D$33)</f>
        <v>-71</v>
      </c>
      <c r="EI34" s="85">
        <f>IF(COUNT(EI3:EI13,EI20:EI30)=0,"",EI33-$D$33)</f>
        <v>-32</v>
      </c>
      <c r="EJ34" s="85" t="str">
        <f>IF(COUNT(EJ3:EJ13,EJ20:EJ30)=0,"",EJ33-$D$33)</f>
        <v/>
      </c>
      <c r="EK34" s="85" t="str">
        <f>IF(COUNT(EK3:EK13,EK20:EK30)=0,"",EK33-$D$33)</f>
        <v/>
      </c>
      <c r="EL34" s="85" t="str">
        <f>IF(COUNT(EL3:EL13,EL20:EL30)=0,"",EL33-$D$33)</f>
        <v/>
      </c>
      <c r="EM34" s="85" t="str">
        <f>IF(COUNT(EM3:EM13,EM20:EM30)=0,"",EM33-$D$33)</f>
        <v/>
      </c>
      <c r="EN34" s="85" t="str">
        <f>IF(COUNT(EN3:EN13,EN20:EN30)=0,"",EN33-$D$33)</f>
        <v/>
      </c>
      <c r="EO34" s="85" t="str">
        <f>IF(COUNT(EO3:EO13,EO20:EO30)=0,"",EO33-$D$33)</f>
        <v/>
      </c>
      <c r="EP34" s="85" t="str">
        <f>IF(COUNT(EP3:EP13,EP20:EP30)=0,"",EP33-$D$33)</f>
        <v/>
      </c>
      <c r="EQ34" s="85" t="str">
        <f>IF(COUNT(EQ3:EQ13,EQ20:EQ30)=0,"",EQ33-$D$33)</f>
        <v/>
      </c>
      <c r="ER34" s="85" t="str">
        <f>IF(COUNT(ER3:ER13,ER20:ER30)=0,"",ER33-$D$33)</f>
        <v/>
      </c>
      <c r="ES34" s="85" t="str">
        <f>IF(COUNT(ES3:ES13,ES20:ES30)=0,"",ES33-$D$33)</f>
        <v/>
      </c>
      <c r="ET34" s="85" t="str">
        <f>IF(COUNT(ET3:ET13,ET20:ET30)=0,"",ET33-$D$33)</f>
        <v/>
      </c>
      <c r="EU34" s="85" t="str">
        <f>IF(COUNT(EU3:EU13,EU20:EU30)=0,"",EU33-$D$33)</f>
        <v/>
      </c>
      <c r="EV34" s="85" t="str">
        <f>IF(COUNT(EV3:EV13,EV20:EV30)=0,"",EV33-$D$33)</f>
        <v/>
      </c>
      <c r="EW34" s="85" t="str">
        <f>IF(COUNT(EW3:EW13,EW20:EW30)=0,"",EW33-$D$33)</f>
        <v/>
      </c>
      <c r="EX34" s="85" t="str">
        <f>IF(COUNT(EX3:EX13,EX20:EX30)=0,"",EX33-$D$33)</f>
        <v/>
      </c>
      <c r="EY34" s="85" t="str">
        <f>IF(COUNT(EY3:EY13,EY20:EY30)=0,"",EY33-$D$33)</f>
        <v/>
      </c>
      <c r="EZ34" s="85" t="str">
        <f>IF(COUNT(EZ3:EZ13,EZ20:EZ30)=0,"",EZ33-$D$33)</f>
        <v/>
      </c>
      <c r="FA34" s="85" t="str">
        <f>IF(COUNT(FA3:FA13,FA20:FA30)=0,"",FA33-$D$33)</f>
        <v/>
      </c>
    </row>
    <row r="35" spans="1:157" ht="21.95" customHeight="1">
      <c r="A35" s="20"/>
      <c r="B35" s="141"/>
      <c r="C35" s="21" t="s">
        <v>81</v>
      </c>
      <c r="D35" s="22" t="s">
        <v>80</v>
      </c>
      <c r="E35" s="78">
        <f>IF(E33=0,"NA",($D$33-E33)/$D$33)</f>
        <v>0.28195488721804512</v>
      </c>
      <c r="F35" s="78">
        <f t="shared" ref="F35:I35" si="133">IF(F33=0,"NA",($D$33-F33)/$D$33)</f>
        <v>0.23308270676691728</v>
      </c>
      <c r="G35" s="78">
        <f t="shared" si="133"/>
        <v>0.21052631578947367</v>
      </c>
      <c r="H35" s="78">
        <f t="shared" si="133"/>
        <v>0.18421052631578946</v>
      </c>
      <c r="I35" s="78">
        <f t="shared" si="133"/>
        <v>0.24812030075187969</v>
      </c>
      <c r="J35" s="78">
        <f t="shared" ref="J35:AL35" si="134">IF(J33=0,"NA",($D$33-J33)/$D$33)</f>
        <v>0.23684210526315788</v>
      </c>
      <c r="K35" s="78" t="str">
        <f t="shared" si="134"/>
        <v>NA</v>
      </c>
      <c r="L35" s="78">
        <f t="shared" si="134"/>
        <v>0.28195488721804512</v>
      </c>
      <c r="M35" s="78">
        <f t="shared" si="134"/>
        <v>0.24060150375939848</v>
      </c>
      <c r="N35" s="78">
        <f t="shared" si="134"/>
        <v>0.22180451127819548</v>
      </c>
      <c r="O35" s="78">
        <f t="shared" si="134"/>
        <v>0.22556390977443608</v>
      </c>
      <c r="P35" s="78">
        <f t="shared" si="134"/>
        <v>0.25939849624060152</v>
      </c>
      <c r="Q35" s="78">
        <f t="shared" si="134"/>
        <v>0.28947368421052633</v>
      </c>
      <c r="R35" s="78">
        <f t="shared" si="134"/>
        <v>0.89849624060150379</v>
      </c>
      <c r="S35" s="78">
        <f t="shared" si="134"/>
        <v>0.24060150375939848</v>
      </c>
      <c r="T35" s="78">
        <f t="shared" si="134"/>
        <v>0.28195488721804512</v>
      </c>
      <c r="U35" s="78">
        <f t="shared" si="134"/>
        <v>0.20300751879699247</v>
      </c>
      <c r="V35" s="78">
        <f t="shared" si="134"/>
        <v>0.23684210526315788</v>
      </c>
      <c r="W35" s="78">
        <f t="shared" si="134"/>
        <v>0.17669172932330826</v>
      </c>
      <c r="X35" s="78">
        <f t="shared" si="134"/>
        <v>0.2932330827067669</v>
      </c>
      <c r="Y35" s="78">
        <f t="shared" si="134"/>
        <v>0.85338345864661658</v>
      </c>
      <c r="Z35" s="78">
        <f t="shared" si="134"/>
        <v>0.26315789473684209</v>
      </c>
      <c r="AA35" s="78">
        <f t="shared" si="134"/>
        <v>0.25563909774436089</v>
      </c>
      <c r="AB35" s="78">
        <f t="shared" si="134"/>
        <v>0.23308270676691728</v>
      </c>
      <c r="AC35" s="78">
        <f t="shared" si="134"/>
        <v>0.22932330827067668</v>
      </c>
      <c r="AD35" s="78">
        <f t="shared" si="134"/>
        <v>0.28947368421052633</v>
      </c>
      <c r="AE35" s="78">
        <f t="shared" si="134"/>
        <v>0.30827067669172931</v>
      </c>
      <c r="AF35" s="78">
        <f t="shared" si="134"/>
        <v>0.40225563909774437</v>
      </c>
      <c r="AG35" s="78">
        <f t="shared" si="134"/>
        <v>0.88345864661654139</v>
      </c>
      <c r="AH35" s="79">
        <f t="shared" si="134"/>
        <v>0.21052631578947367</v>
      </c>
      <c r="AI35" s="86">
        <f t="shared" si="134"/>
        <v>0.18421052631578946</v>
      </c>
      <c r="AJ35" s="86">
        <f t="shared" si="134"/>
        <v>0.19172932330827067</v>
      </c>
      <c r="AK35" s="86">
        <f t="shared" si="134"/>
        <v>0.16165413533834586</v>
      </c>
      <c r="AL35" s="86">
        <f t="shared" si="134"/>
        <v>0.17293233082706766</v>
      </c>
      <c r="AM35" s="86">
        <f t="shared" ref="AM35:BL35" si="135">IF(AM33=0,"NA",($D$33-AM33)/$D$33)</f>
        <v>0.85338345864661658</v>
      </c>
      <c r="AN35" s="86">
        <f t="shared" si="135"/>
        <v>0.25563909774436089</v>
      </c>
      <c r="AO35" s="86">
        <f t="shared" si="135"/>
        <v>0.21804511278195488</v>
      </c>
      <c r="AP35" s="86">
        <f t="shared" si="135"/>
        <v>0.21428571428571427</v>
      </c>
      <c r="AQ35" s="86">
        <f t="shared" si="135"/>
        <v>0.18796992481203006</v>
      </c>
      <c r="AR35" s="86">
        <f t="shared" si="135"/>
        <v>0.16917293233082706</v>
      </c>
      <c r="AS35" s="86">
        <f t="shared" si="135"/>
        <v>0.15789473684210525</v>
      </c>
      <c r="AT35" s="86">
        <f t="shared" si="135"/>
        <v>0.82706766917293228</v>
      </c>
      <c r="AU35" s="86">
        <f t="shared" si="135"/>
        <v>0.19924812030075187</v>
      </c>
      <c r="AV35" s="86">
        <f t="shared" si="135"/>
        <v>0.18045112781954886</v>
      </c>
      <c r="AW35" s="86">
        <f t="shared" si="135"/>
        <v>0.15789473684210525</v>
      </c>
      <c r="AX35" s="86">
        <f t="shared" si="135"/>
        <v>0.15413533834586465</v>
      </c>
      <c r="AY35" s="86">
        <f t="shared" si="135"/>
        <v>0.21052631578947367</v>
      </c>
      <c r="AZ35" s="86">
        <f t="shared" si="135"/>
        <v>0.60150375939849621</v>
      </c>
      <c r="BA35" s="86">
        <f t="shared" si="135"/>
        <v>0.63909774436090228</v>
      </c>
      <c r="BB35" s="86">
        <f t="shared" si="135"/>
        <v>0.23308270676691728</v>
      </c>
      <c r="BC35" s="86">
        <f t="shared" si="135"/>
        <v>0.18045112781954886</v>
      </c>
      <c r="BD35" s="86">
        <f t="shared" si="135"/>
        <v>0.15037593984962405</v>
      </c>
      <c r="BE35" s="86">
        <f t="shared" si="135"/>
        <v>0.19924812030075187</v>
      </c>
      <c r="BF35" s="86">
        <f t="shared" si="135"/>
        <v>0.14285714285714285</v>
      </c>
      <c r="BG35" s="86">
        <f t="shared" si="135"/>
        <v>0.27067669172932329</v>
      </c>
      <c r="BH35" s="86">
        <f t="shared" si="135"/>
        <v>0.74436090225563911</v>
      </c>
      <c r="BI35" s="86">
        <f t="shared" si="135"/>
        <v>0.27067669172932329</v>
      </c>
      <c r="BJ35" s="86">
        <f t="shared" si="135"/>
        <v>0.18045112781954886</v>
      </c>
      <c r="BK35" s="86">
        <f t="shared" si="135"/>
        <v>0.13533834586466165</v>
      </c>
      <c r="BL35" s="86">
        <f t="shared" si="135"/>
        <v>0.21428571428571427</v>
      </c>
      <c r="BM35" s="86">
        <f t="shared" ref="BM35:BN35" si="136">IF(BM33=0,"NA",($D$33-BM33)/$D$33)</f>
        <v>0.15037593984962405</v>
      </c>
      <c r="BN35" s="86">
        <f t="shared" si="136"/>
        <v>0.16165413533834586</v>
      </c>
      <c r="BO35" s="86">
        <f t="shared" ref="BO35:CN35" si="137">IF(BO33=0,"NA",($D$33-BO33)/$D$33)</f>
        <v>0.80451127819548873</v>
      </c>
      <c r="BP35" s="86">
        <f t="shared" si="137"/>
        <v>0.15789473684210525</v>
      </c>
      <c r="BQ35" s="86">
        <f t="shared" si="137"/>
        <v>0.14661654135338345</v>
      </c>
      <c r="BR35" s="86">
        <f t="shared" si="137"/>
        <v>9.3984962406015032E-2</v>
      </c>
      <c r="BS35" s="86">
        <f t="shared" si="137"/>
        <v>0.53759398496240607</v>
      </c>
      <c r="BT35" s="86">
        <f t="shared" si="137"/>
        <v>0.15413533834586465</v>
      </c>
      <c r="BU35" s="86">
        <f t="shared" si="137"/>
        <v>0.12781954887218044</v>
      </c>
      <c r="BV35" s="86">
        <f t="shared" si="137"/>
        <v>0.41353383458646614</v>
      </c>
      <c r="BW35" s="86">
        <f t="shared" si="137"/>
        <v>0.21052631578947367</v>
      </c>
      <c r="BX35" s="86">
        <f t="shared" si="137"/>
        <v>0.19924812030075187</v>
      </c>
      <c r="BY35" s="86">
        <f t="shared" si="137"/>
        <v>0.13909774436090225</v>
      </c>
      <c r="BZ35" s="86">
        <f t="shared" si="137"/>
        <v>0.13157894736842105</v>
      </c>
      <c r="CA35" s="86">
        <f t="shared" si="137"/>
        <v>9.3984962406015032E-2</v>
      </c>
      <c r="CB35" s="86">
        <f t="shared" si="137"/>
        <v>0.95112781954887216</v>
      </c>
      <c r="CC35" s="86">
        <f t="shared" si="137"/>
        <v>0.60150375939849621</v>
      </c>
      <c r="CD35" s="86">
        <f t="shared" si="137"/>
        <v>0.36466165413533835</v>
      </c>
      <c r="CE35" s="86">
        <f t="shared" si="137"/>
        <v>6.3909774436090222E-2</v>
      </c>
      <c r="CF35" s="86">
        <f t="shared" si="137"/>
        <v>7.8947368421052627E-2</v>
      </c>
      <c r="CG35" s="86">
        <f t="shared" si="137"/>
        <v>0.14285714285714285</v>
      </c>
      <c r="CH35" s="86">
        <f t="shared" si="137"/>
        <v>0.13909774436090225</v>
      </c>
      <c r="CI35" s="86">
        <f t="shared" si="137"/>
        <v>0.12406015037593984</v>
      </c>
      <c r="CJ35" s="86">
        <f t="shared" si="137"/>
        <v>0.74060150375939848</v>
      </c>
      <c r="CK35" s="86">
        <f t="shared" si="137"/>
        <v>0.19924812030075187</v>
      </c>
      <c r="CL35" s="86">
        <f t="shared" si="137"/>
        <v>0.13533834586466165</v>
      </c>
      <c r="CM35" s="86">
        <f t="shared" si="137"/>
        <v>0.16917293233082706</v>
      </c>
      <c r="CN35" s="86">
        <f t="shared" si="137"/>
        <v>0.15789473684210525</v>
      </c>
      <c r="CO35" s="86">
        <f t="shared" ref="CO35:CR35" si="138">IF(CO33=0,"NA",($D$33-CO33)/$D$33)</f>
        <v>0.28195488721804512</v>
      </c>
      <c r="CP35" s="86">
        <f t="shared" si="138"/>
        <v>0.28947368421052633</v>
      </c>
      <c r="CQ35" s="86">
        <f t="shared" si="138"/>
        <v>0.81203007518796988</v>
      </c>
      <c r="CR35" s="86">
        <f t="shared" si="138"/>
        <v>0.25187969924812031</v>
      </c>
      <c r="CS35" s="86">
        <f t="shared" ref="CS35:ET35" si="139">IF(CS33=0,"NA",($D$33-CS33)/$D$33)</f>
        <v>0.16165413533834586</v>
      </c>
      <c r="CT35" s="86">
        <f t="shared" si="139"/>
        <v>0.14661654135338345</v>
      </c>
      <c r="CU35" s="86">
        <f t="shared" si="139"/>
        <v>0.16541353383458646</v>
      </c>
      <c r="CV35" s="86">
        <f t="shared" si="139"/>
        <v>0.14661654135338345</v>
      </c>
      <c r="CW35" s="86">
        <f t="shared" si="139"/>
        <v>0.21428571428571427</v>
      </c>
      <c r="CX35" s="86">
        <f t="shared" si="139"/>
        <v>0.71804511278195493</v>
      </c>
      <c r="CY35" s="86">
        <f t="shared" si="139"/>
        <v>0.26315789473684209</v>
      </c>
      <c r="CZ35" s="86">
        <f t="shared" si="139"/>
        <v>0.24436090225563908</v>
      </c>
      <c r="DA35" s="86">
        <f t="shared" si="139"/>
        <v>0.20300751879699247</v>
      </c>
      <c r="DB35" s="86">
        <f t="shared" si="139"/>
        <v>0.19172932330827067</v>
      </c>
      <c r="DC35" s="86">
        <f t="shared" si="139"/>
        <v>0.18421052631578946</v>
      </c>
      <c r="DD35" s="86">
        <f t="shared" si="139"/>
        <v>0.13909774436090225</v>
      </c>
      <c r="DE35" s="86">
        <f t="shared" si="139"/>
        <v>0.63909774436090228</v>
      </c>
      <c r="DF35" s="86">
        <f t="shared" si="139"/>
        <v>0.90977443609022557</v>
      </c>
      <c r="DG35" s="86">
        <f t="shared" si="139"/>
        <v>0.28195488721804512</v>
      </c>
      <c r="DH35" s="86">
        <f t="shared" si="139"/>
        <v>0.19924812030075187</v>
      </c>
      <c r="DI35" s="86">
        <f t="shared" si="139"/>
        <v>0.54135338345864659</v>
      </c>
      <c r="DJ35" s="86">
        <f t="shared" si="139"/>
        <v>0.2781954887218045</v>
      </c>
      <c r="DK35" s="86">
        <f t="shared" si="139"/>
        <v>0.20676691729323307</v>
      </c>
      <c r="DL35" s="86">
        <f t="shared" si="139"/>
        <v>0.64661654135338342</v>
      </c>
      <c r="DM35" s="86">
        <f t="shared" si="139"/>
        <v>0.3007518796992481</v>
      </c>
      <c r="DN35" s="86">
        <f t="shared" si="139"/>
        <v>0.13157894736842105</v>
      </c>
      <c r="DO35" s="86">
        <f t="shared" si="139"/>
        <v>0.11654135338345864</v>
      </c>
      <c r="DP35" s="86">
        <f t="shared" si="139"/>
        <v>0.85338345864661658</v>
      </c>
      <c r="DQ35" s="86">
        <f t="shared" si="139"/>
        <v>0.23308270676691728</v>
      </c>
      <c r="DR35" s="86">
        <f t="shared" si="139"/>
        <v>0.24060150375939848</v>
      </c>
      <c r="DS35" s="86">
        <f t="shared" si="139"/>
        <v>0.47744360902255639</v>
      </c>
      <c r="DT35" s="86">
        <f t="shared" si="139"/>
        <v>0.26315789473684209</v>
      </c>
      <c r="DU35" s="86">
        <f t="shared" si="139"/>
        <v>0.19548872180451127</v>
      </c>
      <c r="DV35" s="86">
        <f t="shared" si="139"/>
        <v>0.16541353383458646</v>
      </c>
      <c r="DW35" s="86">
        <f t="shared" si="139"/>
        <v>0.16541353383458646</v>
      </c>
      <c r="DX35" s="86" t="str">
        <f t="shared" si="139"/>
        <v>NA</v>
      </c>
      <c r="DY35" s="86">
        <f t="shared" si="139"/>
        <v>0.27067669172932329</v>
      </c>
      <c r="DZ35" s="86">
        <f t="shared" si="139"/>
        <v>0.61278195488721809</v>
      </c>
      <c r="EA35" s="86">
        <f t="shared" si="139"/>
        <v>0.26315789473684209</v>
      </c>
      <c r="EB35" s="86">
        <f t="shared" si="139"/>
        <v>0.14661654135338345</v>
      </c>
      <c r="EC35" s="86">
        <f t="shared" si="139"/>
        <v>0.16541353383458646</v>
      </c>
      <c r="ED35" s="86">
        <f t="shared" si="139"/>
        <v>0.41729323308270677</v>
      </c>
      <c r="EE35" s="86">
        <f t="shared" si="139"/>
        <v>0.13157894736842105</v>
      </c>
      <c r="EF35" s="86">
        <f t="shared" si="139"/>
        <v>0.20676691729323307</v>
      </c>
      <c r="EG35" s="86">
        <f t="shared" si="139"/>
        <v>0.65789473684210531</v>
      </c>
      <c r="EH35" s="86">
        <f t="shared" si="139"/>
        <v>0.26691729323308272</v>
      </c>
      <c r="EI35" s="86">
        <f t="shared" si="139"/>
        <v>0.12030075187969924</v>
      </c>
      <c r="EJ35" s="86" t="str">
        <f t="shared" si="139"/>
        <v>NA</v>
      </c>
      <c r="EK35" s="86" t="str">
        <f t="shared" si="139"/>
        <v>NA</v>
      </c>
      <c r="EL35" s="86" t="str">
        <f t="shared" si="139"/>
        <v>NA</v>
      </c>
      <c r="EM35" s="86" t="str">
        <f t="shared" si="139"/>
        <v>NA</v>
      </c>
      <c r="EN35" s="86" t="str">
        <f t="shared" si="139"/>
        <v>NA</v>
      </c>
      <c r="EO35" s="86" t="str">
        <f t="shared" si="139"/>
        <v>NA</v>
      </c>
      <c r="EP35" s="86" t="str">
        <f t="shared" si="139"/>
        <v>NA</v>
      </c>
      <c r="EQ35" s="86" t="str">
        <f t="shared" si="139"/>
        <v>NA</v>
      </c>
      <c r="ER35" s="86" t="str">
        <f t="shared" si="139"/>
        <v>NA</v>
      </c>
      <c r="ES35" s="86" t="str">
        <f t="shared" si="139"/>
        <v>NA</v>
      </c>
      <c r="ET35" s="86" t="str">
        <f t="shared" si="139"/>
        <v>NA</v>
      </c>
      <c r="EU35" s="86" t="str">
        <f t="shared" ref="EU35:FA35" si="140">IF(EU33=0,"NA",($D$33-EU33)/$D$33)</f>
        <v>NA</v>
      </c>
      <c r="EV35" s="86" t="str">
        <f t="shared" si="140"/>
        <v>NA</v>
      </c>
      <c r="EW35" s="86" t="str">
        <f t="shared" si="140"/>
        <v>NA</v>
      </c>
      <c r="EX35" s="86" t="str">
        <f t="shared" si="140"/>
        <v>NA</v>
      </c>
      <c r="EY35" s="86" t="str">
        <f t="shared" si="140"/>
        <v>NA</v>
      </c>
      <c r="EZ35" s="86" t="str">
        <f t="shared" si="140"/>
        <v>NA</v>
      </c>
      <c r="FA35" s="86" t="str">
        <f t="shared" si="140"/>
        <v>NA</v>
      </c>
    </row>
    <row r="36" spans="1:157" ht="21.95" customHeight="1">
      <c r="A36" s="20"/>
      <c r="B36" s="141"/>
      <c r="C36" s="21" t="s">
        <v>82</v>
      </c>
      <c r="D36" s="22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9"/>
      <c r="AI36" s="99">
        <v>1</v>
      </c>
      <c r="AJ36" s="99">
        <v>2</v>
      </c>
      <c r="AK36" s="99">
        <f>2+1</f>
        <v>3</v>
      </c>
      <c r="AL36" s="99">
        <f>1+1</f>
        <v>2</v>
      </c>
      <c r="AM36" s="99"/>
      <c r="AN36" s="99">
        <f>2</f>
        <v>2</v>
      </c>
      <c r="AO36" s="99">
        <f>7</f>
        <v>7</v>
      </c>
      <c r="AP36" s="99">
        <f>4</f>
        <v>4</v>
      </c>
      <c r="AQ36" s="99">
        <f>2</f>
        <v>2</v>
      </c>
      <c r="AR36" s="99">
        <f>4</f>
        <v>4</v>
      </c>
      <c r="AS36" s="99">
        <f>2+2</f>
        <v>4</v>
      </c>
      <c r="AT36" s="99"/>
      <c r="AU36" s="99"/>
      <c r="AV36" s="99">
        <f>3</f>
        <v>3</v>
      </c>
      <c r="AW36" s="99">
        <f>4</f>
        <v>4</v>
      </c>
      <c r="AX36" s="99">
        <f>2</f>
        <v>2</v>
      </c>
      <c r="AY36" s="99">
        <f>2</f>
        <v>2</v>
      </c>
      <c r="AZ36" s="99"/>
      <c r="BA36" s="99"/>
      <c r="BB36" s="99"/>
      <c r="BC36" s="99">
        <f>1+1</f>
        <v>2</v>
      </c>
      <c r="BD36" s="99">
        <v>3</v>
      </c>
      <c r="BE36" s="99">
        <v>2</v>
      </c>
      <c r="BF36" s="99">
        <f>2+1</f>
        <v>3</v>
      </c>
      <c r="BG36" s="99">
        <v>5</v>
      </c>
      <c r="BH36" s="99"/>
      <c r="BI36" s="99">
        <v>2</v>
      </c>
      <c r="BJ36" s="99"/>
      <c r="BK36" s="99">
        <v>2</v>
      </c>
      <c r="BL36" s="99">
        <v>3</v>
      </c>
      <c r="BM36" s="99"/>
      <c r="BN36" s="99"/>
      <c r="BO36" s="99"/>
      <c r="BP36" s="99"/>
      <c r="BQ36" s="99">
        <f>6+1</f>
        <v>7</v>
      </c>
      <c r="BR36" s="99">
        <v>2</v>
      </c>
      <c r="BS36" s="99">
        <v>2</v>
      </c>
      <c r="BT36" s="99">
        <v>1</v>
      </c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>
        <v>4</v>
      </c>
      <c r="CO36" s="99">
        <v>9</v>
      </c>
      <c r="CP36" s="99"/>
      <c r="CQ36" s="99"/>
      <c r="CR36" s="99"/>
      <c r="CS36" s="99"/>
      <c r="CT36" s="99">
        <v>1</v>
      </c>
      <c r="CU36" s="99">
        <v>1</v>
      </c>
      <c r="CV36" s="99">
        <v>1</v>
      </c>
      <c r="CW36" s="99">
        <v>5</v>
      </c>
      <c r="CX36" s="99"/>
      <c r="CY36" s="99">
        <v>1</v>
      </c>
      <c r="CZ36" s="99">
        <v>1</v>
      </c>
      <c r="DA36" s="99">
        <v>2</v>
      </c>
      <c r="DB36" s="99">
        <v>3</v>
      </c>
      <c r="DC36" s="99">
        <v>6</v>
      </c>
      <c r="DD36" s="99"/>
      <c r="DE36" s="99"/>
      <c r="DF36" s="99"/>
      <c r="DG36" s="99"/>
      <c r="DH36" s="99">
        <v>7</v>
      </c>
      <c r="DI36" s="99"/>
      <c r="DJ36" s="99">
        <v>21</v>
      </c>
      <c r="DK36" s="99">
        <v>5</v>
      </c>
      <c r="DL36" s="99"/>
      <c r="DM36" s="99"/>
      <c r="DN36" s="99"/>
      <c r="DO36" s="99"/>
      <c r="DP36" s="99"/>
      <c r="DQ36" s="99"/>
      <c r="DR36" s="99"/>
      <c r="DS36" s="99"/>
      <c r="DT36" s="99">
        <v>5</v>
      </c>
      <c r="DU36" s="99">
        <v>2</v>
      </c>
      <c r="DV36" s="99"/>
      <c r="DW36" s="99">
        <v>3</v>
      </c>
      <c r="DX36" s="99"/>
      <c r="DY36" s="99">
        <v>6</v>
      </c>
      <c r="DZ36" s="99"/>
      <c r="EA36" s="99"/>
      <c r="EB36" s="99"/>
      <c r="EC36" s="99">
        <v>3</v>
      </c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</row>
    <row r="37" spans="1:157">
      <c r="A37" s="20" t="s">
        <v>83</v>
      </c>
      <c r="B37" s="141"/>
      <c r="C37" s="21" t="s">
        <v>84</v>
      </c>
      <c r="D37" s="22"/>
      <c r="E37" s="23">
        <v>8</v>
      </c>
      <c r="F37" s="23">
        <v>28</v>
      </c>
      <c r="G37" s="23">
        <v>12</v>
      </c>
      <c r="H37" s="23">
        <v>32</v>
      </c>
      <c r="I37" s="23">
        <v>23.5</v>
      </c>
      <c r="J37" s="23">
        <v>18</v>
      </c>
      <c r="K37" s="23"/>
      <c r="L37" s="23">
        <v>20</v>
      </c>
      <c r="M37" s="23">
        <v>20</v>
      </c>
      <c r="N37" s="23">
        <v>36</v>
      </c>
      <c r="O37" s="23">
        <v>48</v>
      </c>
      <c r="P37" s="23">
        <v>38</v>
      </c>
      <c r="Q37" s="23">
        <f>24+29.5</f>
        <v>53.5</v>
      </c>
      <c r="R37" s="23">
        <v>23</v>
      </c>
      <c r="S37" s="23">
        <v>67.5</v>
      </c>
      <c r="T37" s="23">
        <v>52</v>
      </c>
      <c r="U37" s="23">
        <v>30</v>
      </c>
      <c r="V37" s="23">
        <v>57</v>
      </c>
      <c r="W37" s="23">
        <v>67.5</v>
      </c>
      <c r="X37" s="23"/>
      <c r="Y37" s="23">
        <v>22.5</v>
      </c>
      <c r="Z37" s="23">
        <v>54</v>
      </c>
      <c r="AA37" s="23">
        <v>55</v>
      </c>
      <c r="AB37" s="23">
        <v>59</v>
      </c>
      <c r="AC37" s="23">
        <v>51.5</v>
      </c>
      <c r="AD37" s="23">
        <v>49</v>
      </c>
      <c r="AE37" s="23">
        <v>58</v>
      </c>
      <c r="AF37" s="23">
        <v>23.5</v>
      </c>
      <c r="AG37" s="23">
        <v>41.5</v>
      </c>
      <c r="AH37" s="96">
        <v>55.5</v>
      </c>
      <c r="AI37" s="85">
        <v>64.5</v>
      </c>
      <c r="AJ37" s="85">
        <f>40+24</f>
        <v>64</v>
      </c>
      <c r="AK37" s="85">
        <v>59</v>
      </c>
      <c r="AL37" s="85">
        <f>30+24</f>
        <v>54</v>
      </c>
      <c r="AM37" s="85">
        <v>22.5</v>
      </c>
      <c r="AN37" s="85">
        <v>47</v>
      </c>
      <c r="AO37" s="85">
        <v>51</v>
      </c>
      <c r="AP37" s="85">
        <v>82.5</v>
      </c>
      <c r="AQ37" s="85">
        <v>60</v>
      </c>
      <c r="AR37" s="85">
        <v>45.5</v>
      </c>
      <c r="AS37" s="85">
        <f>52+35</f>
        <v>87</v>
      </c>
      <c r="AT37" s="85">
        <v>40</v>
      </c>
      <c r="AU37" s="85">
        <v>47.5</v>
      </c>
      <c r="AV37" s="85">
        <v>117.5</v>
      </c>
      <c r="AW37" s="85">
        <f>53+102</f>
        <v>155</v>
      </c>
      <c r="AX37" s="85">
        <f>51.5+99</f>
        <v>150.5</v>
      </c>
      <c r="AY37" s="85">
        <f>39+111</f>
        <v>150</v>
      </c>
      <c r="AZ37" s="85">
        <v>32</v>
      </c>
      <c r="BA37" s="85">
        <f>46+90</f>
        <v>136</v>
      </c>
      <c r="BB37" s="85"/>
      <c r="BC37" s="85">
        <f>23.5+112</f>
        <v>135.5</v>
      </c>
      <c r="BD37" s="85">
        <f>51+136</f>
        <v>187</v>
      </c>
      <c r="BE37" s="85">
        <f>41+152</f>
        <v>193</v>
      </c>
      <c r="BF37" s="85">
        <f>43.5+114</f>
        <v>157.5</v>
      </c>
      <c r="BG37" s="85">
        <f>52+88</f>
        <v>140</v>
      </c>
      <c r="BH37" s="85">
        <f>42.5+44.5</f>
        <v>87</v>
      </c>
      <c r="BI37" s="85">
        <v>30</v>
      </c>
      <c r="BJ37" s="85">
        <f>12+48+52</f>
        <v>112</v>
      </c>
      <c r="BK37" s="85">
        <f>43+48+51</f>
        <v>142</v>
      </c>
      <c r="BL37" s="85">
        <f>68+53</f>
        <v>121</v>
      </c>
      <c r="BM37" s="85">
        <f>30+35+60</f>
        <v>125</v>
      </c>
      <c r="BN37" s="85">
        <f>29+48+64</f>
        <v>141</v>
      </c>
      <c r="BO37" s="85">
        <f>39+51+54</f>
        <v>144</v>
      </c>
      <c r="BP37" s="85">
        <v>19.5</v>
      </c>
      <c r="BQ37" s="85">
        <f>28+20.5+45</f>
        <v>93.5</v>
      </c>
      <c r="BR37" s="85">
        <f>56+28.5+40</f>
        <v>124.5</v>
      </c>
      <c r="BS37" s="85">
        <f>52+52</f>
        <v>104</v>
      </c>
      <c r="BT37" s="85">
        <f>34.5+52</f>
        <v>86.5</v>
      </c>
      <c r="BU37" s="85">
        <f>54+21.5+24</f>
        <v>99.5</v>
      </c>
      <c r="BV37" s="85">
        <f>52+32</f>
        <v>84</v>
      </c>
      <c r="BW37" s="85">
        <f>8+32</f>
        <v>40</v>
      </c>
      <c r="BX37" s="85">
        <f>62.5+3+36</f>
        <v>101.5</v>
      </c>
      <c r="BY37" s="85">
        <f>47+1+36</f>
        <v>84</v>
      </c>
      <c r="BZ37" s="85">
        <f>52+41+38</f>
        <v>131</v>
      </c>
      <c r="CA37" s="85">
        <v>38</v>
      </c>
      <c r="CB37" s="85"/>
      <c r="CC37" s="85"/>
      <c r="CD37" s="85">
        <f>40+44</f>
        <v>84</v>
      </c>
      <c r="CE37" s="85">
        <f>36+41+66</f>
        <v>143</v>
      </c>
      <c r="CF37" s="85">
        <f>48+35</f>
        <v>83</v>
      </c>
      <c r="CG37" s="85">
        <f>11.5+5+40</f>
        <v>56.5</v>
      </c>
      <c r="CH37" s="85">
        <f>32.5+10</f>
        <v>42.5</v>
      </c>
      <c r="CI37" s="85">
        <f>29+34</f>
        <v>63</v>
      </c>
      <c r="CJ37" s="85">
        <f>40.5+32</f>
        <v>72.5</v>
      </c>
      <c r="CK37" s="85">
        <f>32+8</f>
        <v>40</v>
      </c>
      <c r="CL37" s="85">
        <f>28+33</f>
        <v>61</v>
      </c>
      <c r="CM37" s="85">
        <f>24+41</f>
        <v>65</v>
      </c>
      <c r="CN37" s="85">
        <f>41.5+3.5+41</f>
        <v>86</v>
      </c>
      <c r="CO37" s="85">
        <f>45</f>
        <v>45</v>
      </c>
      <c r="CP37" s="85">
        <f>29.5+22</f>
        <v>51.5</v>
      </c>
      <c r="CQ37" s="85">
        <f>27+21</f>
        <v>48</v>
      </c>
      <c r="CR37" s="85">
        <f>5+22</f>
        <v>27</v>
      </c>
      <c r="CS37" s="85">
        <f>25+35</f>
        <v>60</v>
      </c>
      <c r="CT37" s="85">
        <f>36</f>
        <v>36</v>
      </c>
      <c r="CU37" s="85">
        <f>34</f>
        <v>34</v>
      </c>
      <c r="CV37" s="85">
        <f>41</f>
        <v>41</v>
      </c>
      <c r="CW37" s="85">
        <f>11+37</f>
        <v>48</v>
      </c>
      <c r="CX37" s="85">
        <v>41</v>
      </c>
      <c r="CY37" s="85">
        <f>37+6</f>
        <v>43</v>
      </c>
      <c r="CZ37" s="85">
        <f>13+33</f>
        <v>46</v>
      </c>
      <c r="DA37" s="85">
        <f>13+54</f>
        <v>67</v>
      </c>
      <c r="DB37" s="85">
        <f>36+20</f>
        <v>56</v>
      </c>
      <c r="DC37" s="85">
        <v>33</v>
      </c>
      <c r="DD37" s="85">
        <v>32</v>
      </c>
      <c r="DE37" s="85">
        <v>44</v>
      </c>
      <c r="DF37" s="85"/>
      <c r="DG37" s="85"/>
      <c r="DH37" s="85">
        <v>20</v>
      </c>
      <c r="DI37" s="85">
        <v>32</v>
      </c>
      <c r="DJ37" s="85">
        <v>42</v>
      </c>
      <c r="DK37" s="85">
        <v>47</v>
      </c>
      <c r="DL37" s="85"/>
      <c r="DM37" s="85">
        <v>13</v>
      </c>
      <c r="DN37" s="85">
        <f>13+100+45</f>
        <v>158</v>
      </c>
      <c r="DO37" s="85">
        <f>2+100+24</f>
        <v>126</v>
      </c>
      <c r="DP37" s="85"/>
      <c r="DQ37" s="85">
        <v>8</v>
      </c>
      <c r="DR37" s="85">
        <f>4+48+18</f>
        <v>70</v>
      </c>
      <c r="DS37" s="85">
        <f>48+1</f>
        <v>49</v>
      </c>
      <c r="DT37" s="85">
        <f>SUM(DT39:DT42)</f>
        <v>12</v>
      </c>
      <c r="DU37" s="85">
        <f>SUM(DU39:DU42)</f>
        <v>76</v>
      </c>
      <c r="DV37" s="85">
        <f t="shared" ref="DU37:FA37" si="141">SUM(DV39:DV42)</f>
        <v>0</v>
      </c>
      <c r="DW37" s="85">
        <f t="shared" si="141"/>
        <v>103</v>
      </c>
      <c r="DX37" s="85">
        <f t="shared" si="141"/>
        <v>0</v>
      </c>
      <c r="DY37" s="85">
        <f t="shared" si="141"/>
        <v>8</v>
      </c>
      <c r="DZ37" s="85">
        <f>92+48</f>
        <v>140</v>
      </c>
      <c r="EA37" s="85">
        <f t="shared" si="141"/>
        <v>0</v>
      </c>
      <c r="EB37" s="85">
        <f t="shared" si="141"/>
        <v>112</v>
      </c>
      <c r="EC37" s="85">
        <f>4+81</f>
        <v>85</v>
      </c>
      <c r="ED37" s="85">
        <f t="shared" si="141"/>
        <v>92</v>
      </c>
      <c r="EE37" s="85">
        <f t="shared" si="141"/>
        <v>101</v>
      </c>
      <c r="EF37" s="85">
        <f t="shared" si="141"/>
        <v>90</v>
      </c>
      <c r="EG37" s="85">
        <f t="shared" si="141"/>
        <v>96</v>
      </c>
      <c r="EH37" s="85">
        <f t="shared" si="141"/>
        <v>0</v>
      </c>
      <c r="EI37" s="85">
        <f t="shared" si="141"/>
        <v>92</v>
      </c>
      <c r="EJ37" s="85">
        <f t="shared" si="141"/>
        <v>0</v>
      </c>
      <c r="EK37" s="85">
        <f t="shared" si="141"/>
        <v>0</v>
      </c>
      <c r="EL37" s="85">
        <f t="shared" si="141"/>
        <v>0</v>
      </c>
      <c r="EM37" s="85">
        <f t="shared" si="141"/>
        <v>0</v>
      </c>
      <c r="EN37" s="85">
        <f t="shared" si="141"/>
        <v>0</v>
      </c>
      <c r="EO37" s="85">
        <f t="shared" si="141"/>
        <v>0</v>
      </c>
      <c r="EP37" s="85">
        <f t="shared" si="141"/>
        <v>0</v>
      </c>
      <c r="EQ37" s="85">
        <f t="shared" si="141"/>
        <v>0</v>
      </c>
      <c r="ER37" s="85">
        <f t="shared" si="141"/>
        <v>0</v>
      </c>
      <c r="ES37" s="85">
        <f t="shared" si="141"/>
        <v>0</v>
      </c>
      <c r="ET37" s="85">
        <f t="shared" si="141"/>
        <v>0</v>
      </c>
      <c r="EU37" s="85">
        <f t="shared" si="141"/>
        <v>0</v>
      </c>
      <c r="EV37" s="85">
        <f t="shared" si="141"/>
        <v>0</v>
      </c>
      <c r="EW37" s="85">
        <f t="shared" si="141"/>
        <v>0</v>
      </c>
      <c r="EX37" s="85">
        <f t="shared" si="141"/>
        <v>0</v>
      </c>
      <c r="EY37" s="85">
        <f t="shared" si="141"/>
        <v>0</v>
      </c>
      <c r="EZ37" s="85">
        <f t="shared" si="141"/>
        <v>0</v>
      </c>
      <c r="FA37" s="85">
        <f t="shared" si="141"/>
        <v>0</v>
      </c>
    </row>
    <row r="38" spans="1:157" s="38" customFormat="1" ht="81.75" customHeight="1">
      <c r="A38" s="191"/>
      <c r="B38" s="191"/>
      <c r="C38" s="192" t="s">
        <v>72</v>
      </c>
      <c r="D38" s="191"/>
      <c r="E38" s="97" t="str" cm="1">
        <f t="array" ref="E38">IFERROR(_xlfn.TEXTJOIN(", ",TRUE,IF(E3:E13&gt;D3:D13,C3:C13,"")),"")</f>
        <v>C6 - Ghee, C39 - MG batch Making, Supply/ Dispatch (Common), C39 - Jaggery, C39 - Atta</v>
      </c>
      <c r="F38" s="97" t="str" cm="1">
        <f t="array" ref="F38">IFERROR(_xlfn.TEXTJOIN(", ",TRUE,IF(F3:F13&gt;D3:D13,C3:C13,"")),"")</f>
        <v>C6 - Ghee, C39 - MG batch Making, Supply/ Dispatch (Common), Printer (Common), C39 - Jaggery, C39 - Atta</v>
      </c>
      <c r="G38" s="97" t="str" cm="1">
        <f t="array" ref="G38">IFERROR(_xlfn.TEXTJOIN(", ",TRUE,IF(G3:G13&gt;E3:E13,C3:C13,"")),"")</f>
        <v>C6 - Ghee, C39 - MG batch Making, Supply/ Dispatch (Common), Printer (Common), C6 - Raw Agri (Millets), C39 - Honey / all Spices, C39 - Atta, C6 Atta - 2</v>
      </c>
      <c r="H38" s="97" t="str" cm="1">
        <f t="array" ref="H38">IFERROR(_xlfn.TEXTJOIN(", ",TRUE,IF(H3:H13&gt;F3:F13,C3:C13,"")),"")</f>
        <v>C6 - Oil, C6 - Ghee, C6 - Raw Agri (Millets), C39 - Honey / all Spices, C39 - Atta, C6 - Atta - 1, C6 Atta - 2</v>
      </c>
      <c r="I38" s="97" t="str" cm="1">
        <f t="array" ref="I38">IFERROR(_xlfn.TEXTJOIN(", ",TRUE,IF(I3:I13&gt;G3:G13,C3:C13,"")),"")</f>
        <v>C6 - Ghee, C39 - MG batch Making, C39 - Jaggery, C6 Atta - 2</v>
      </c>
      <c r="J38" s="97" t="str" cm="1">
        <f t="array" ref="J38">IFERROR(_xlfn.TEXTJOIN(", ",TRUE,IF(J3:J13&gt;H3:H13,C3:C13,"")),"")</f>
        <v>C6 - Oil</v>
      </c>
      <c r="K38" s="97" t="str" cm="1">
        <f t="array" ref="K38">IFERROR(_xlfn.TEXTJOIN(", ",TRUE,IF(K3:K13&gt;I3:I13,C3:C13,"")),"")</f>
        <v/>
      </c>
      <c r="L38" s="97" t="str" cm="1">
        <f t="array" ref="L38">IFERROR(_xlfn.TEXTJOIN(", ",TRUE,IF(L3:L13&gt;J3:J13,C3:C13,"")),"")</f>
        <v>C39 - MG batch Making, C39 - Honey / all Spices, C6 - Atta - 1, C6 Atta - 2</v>
      </c>
      <c r="M38" s="97" t="str" cm="1">
        <f t="array" ref="M38">IFERROR(_xlfn.TEXTJOIN(", ",TRUE,IF(M3:M13&gt;K3:K13,C3:C13,"")),"")</f>
        <v>C6 - Oil, C6 - Ghee, C39 - MG batch Making, Supply/ Dispatch (Common), Printer (Common), C6 - Raw Agri (Millets), C39 - Honey / all Spices, C39 - Jaggery, C39 - Atta, C6 - Atta - 1, C6 Atta - 2</v>
      </c>
      <c r="N38" s="97" t="str" cm="1">
        <f t="array" ref="N38">IFERROR(_xlfn.TEXTJOIN(", ",TRUE,IF(N3:N13&gt;L3:L13,C3:C13,"")),"")</f>
        <v>C6 - Oil, C6 - Ghee, Printer (Common), C6 - Raw Agri (Millets), C6 - Atta - 1</v>
      </c>
      <c r="O38" s="97" t="str" cm="1">
        <f t="array" ref="O38">IFERROR(_xlfn.TEXTJOIN(", ",TRUE,IF(O3:O13&gt;M3:M13,C3:C13,"")),"")</f>
        <v>C6 - Ghee, C6 - Raw Agri (Millets), C39 - Honey / all Spices, C6 - Atta - 1</v>
      </c>
      <c r="P38" s="97" t="str" cm="1">
        <f t="array" ref="P38">IFERROR(_xlfn.TEXTJOIN(", ",TRUE,IF(P3:P13&gt;N3:N13,C3:C13,"")),"")</f>
        <v>C6 - Oil, C39 - Honey / all Spices, C39 - Atta, C6 - Atta - 1</v>
      </c>
      <c r="Q38" s="97" t="str" cm="1">
        <f t="array" ref="Q38">IFERROR(_xlfn.TEXTJOIN(", ",TRUE,IF(Q3:Q13&gt;O3:O13,C3:C13,"")),"")</f>
        <v>Supply/ Dispatch (Common), C39 - Jaggery, C6 - Atta - 1</v>
      </c>
      <c r="R38" s="97" t="str" cm="1">
        <f t="array" ref="R38">IFERROR(_xlfn.TEXTJOIN(", ",TRUE,IF(R3:R13&gt;P3:P13,C3:C13,"")),"")</f>
        <v/>
      </c>
      <c r="S38" s="97" t="str" cm="1">
        <f t="array" ref="S38">IFERROR(_xlfn.TEXTJOIN(", ",TRUE,IF(S3:S13&gt;Q3:Q13,C3:C13,"")),"")</f>
        <v>C6 - Oil, C39 - MG batch Making, C6 - Raw Agri (Millets), C39 - Jaggery, C39 - Atta, C6 Atta - 2</v>
      </c>
      <c r="T38" s="97" t="str" cm="1">
        <f t="array" ref="T38">IFERROR(_xlfn.TEXTJOIN(", ",TRUE,IF(T3:T13&gt;R3:R13,C3:C13,"")),"")</f>
        <v>C6 - Oil, C6 - Ghee, Supply/ Dispatch (Common), Printer (Common), C6 - Raw Agri (Millets), C39 - Honey / all Spices, C39 - Jaggery, C39 - Atta, C6 - Atta - 1</v>
      </c>
      <c r="U38" s="97" t="str" cm="1">
        <f t="array" ref="U38">IFERROR(_xlfn.TEXTJOIN(", ",TRUE,IF(U3:U13&gt;S3:S13,C3:C13,"")),"")</f>
        <v>C6 - Oil, C6 - Ghee, Printer (Common), C39 - Honey / all Spices, C39 - Jaggery, C39 - Atta, C6 - Atta - 1</v>
      </c>
      <c r="V38" s="97" t="str" cm="1">
        <f t="array" ref="V38">IFERROR(_xlfn.TEXTJOIN(", ",TRUE,IF(V3:V13&gt;T3:T13,C3:C13,"")),"")</f>
        <v>C6 - Oil, C6 - Ghee, C39 - MG batch Making, Supply/ Dispatch (Common), C6 Atta - 2</v>
      </c>
      <c r="W38" s="97" t="str" cm="1">
        <f t="array" ref="W38">IFERROR(_xlfn.TEXTJOIN(", ",TRUE,IF(W3:W13&gt;U3:U13,C3:C13,"")),"")</f>
        <v>C6 - Oil, C6 - Ghee, C39 - MG batch Making, Supply/ Dispatch (Common), Printer (Common), C6 Atta - 2</v>
      </c>
      <c r="X38" s="97" t="str" cm="1">
        <f t="array" ref="X38">IFERROR(_xlfn.TEXTJOIN(", ",TRUE,IF(X3:X13&gt;V3:V13,C3:C13,"")),"")</f>
        <v>C6 - Ghee, C6 - Raw Agri (Millets), C39 - Honey / all Spices, C6 Atta - 2</v>
      </c>
      <c r="Y38" s="97" t="str" cm="1">
        <f t="array" ref="Y38">IFERROR(_xlfn.TEXTJOIN(", ",TRUE,IF(Y3:Y13&gt;W3:W13,C3:C13,"")),"")</f>
        <v/>
      </c>
      <c r="Z38" s="97" t="str" cm="1">
        <f t="array" ref="Z38">IFERROR(_xlfn.TEXTJOIN(", ",TRUE,IF(Z3:Z13&gt;X3:X13,C3:C13,"")),"")</f>
        <v>C6 - Oil, C39 - Jaggery, C39 - Atta</v>
      </c>
      <c r="AA38" s="97" t="str" cm="1">
        <f t="array" ref="AA38">IFERROR(_xlfn.TEXTJOIN(", ",TRUE,IF(AA3:AA13&gt;Y3:Y13,C3:C13,"")),"")</f>
        <v>C6 - Oil, C6 - Ghee, C39 - MG batch Making, Supply/ Dispatch (Common), Printer (Common), C6 - Raw Agri (Millets), C39 - Honey / all Spices, C39 - Jaggery, C39 - Atta, C6 - Atta - 1, C6 Atta - 2</v>
      </c>
      <c r="AB38" s="97" t="str" cm="1">
        <f t="array" ref="AB38">IFERROR(_xlfn.TEXTJOIN(", ",TRUE,IF(AB3:AB13&gt;Z3:Z13,C3:C13,"")),"")</f>
        <v>C6 - Ghee, C39 - MG batch Making, C6 - Raw Agri (Millets), C39 - Honey / all Spices, C6 - Atta - 1</v>
      </c>
      <c r="AC38" s="97" t="str" cm="1">
        <f t="array" ref="AC38">IFERROR(_xlfn.TEXTJOIN(", ",TRUE,IF(AC3:AC13&gt;AA3:AA13,C3:C13,"")),"")</f>
        <v>C6 - Ghee, C6 - Raw Agri (Millets), C39 - Honey / all Spices, C39 - Atta</v>
      </c>
      <c r="AD38" s="97" t="str" cm="1">
        <f t="array" ref="AD38">IFERROR(_xlfn.TEXTJOIN(", ",TRUE,IF(AD3:AD13&gt;AB3:AB13,C3:C13,"")),"")</f>
        <v>C6 - Oil, C6 - Ghee, C39 - MG batch Making, C39 - Honey / all Spices</v>
      </c>
      <c r="AE38" s="97" t="str" cm="1">
        <f t="array" ref="AE38">IFERROR(_xlfn.TEXTJOIN(", ",TRUE,IF(AE3:AE13&gt;AC3:AC13,C3:C13,"")),"")</f>
        <v>C39 - MG batch Making, Printer (Common), C39 - Jaggery, C6 - Atta - 1, C6 Atta - 2</v>
      </c>
      <c r="AF38" s="97" t="str" cm="1">
        <f t="array" ref="AF38">IFERROR(_xlfn.TEXTJOIN(", ",TRUE,IF(AF3:AF13&gt;AD3:AD13,C3:C13,"")),"")</f>
        <v>Printer (Common), C39 - Jaggery, C39 - Atta</v>
      </c>
      <c r="AG38" s="97" t="str" cm="1">
        <f t="array" ref="AG38">IFERROR(_xlfn.TEXTJOIN(", ",TRUE,IF(AG3:AG13&gt;AE3:AE13,C3:C13,"")),"")</f>
        <v/>
      </c>
      <c r="AH38" s="193" t="str" cm="1">
        <f t="array" ref="AH38">IFERROR(_xlfn.TEXTJOIN(", ",TRUE,IF(AH3:AH13&gt;AF3:AF13,C3:C13,"")),"")</f>
        <v>C6 - Ghee, C39 - MG batch Making, Supply/ Dispatch (Common), Printer (Common), C6 - Raw Agri (Millets), C39 - Jaggery, C39 - Atta, C6 Atta - 2</v>
      </c>
      <c r="AI38" s="194" t="str" cm="1">
        <f t="array" ref="AI38">IFERROR(_xlfn.TEXTJOIN(", ",TRUE,IF(AI3:AI13&gt;AG3:AG13,C3:C13,"")),"")</f>
        <v>C6 - Oil, C6 - Ghee, C39 - MG batch Making, Supply/ Dispatch (Common), Printer (Common), C6 - Raw Agri (Millets), C39 - Honey / all Spices, C39 - Jaggery, C39 - Atta, C6 - Atta - 1, C6 Atta - 2</v>
      </c>
      <c r="AJ38" s="194" t="str" cm="1">
        <f t="array" ref="AJ38">IFERROR(_xlfn.TEXTJOIN(", ",TRUE,IF(AJ3:AJ13&gt;AH3:AH13,C3:C13,"")),"")</f>
        <v>C6 - Oil, C39 - Honey / all Spices, C6 - Atta - 1</v>
      </c>
      <c r="AK38" s="194" t="str" cm="1">
        <f t="array" ref="AK38">IFERROR(_xlfn.TEXTJOIN(", ",TRUE,IF(AK3:AK13&gt;AI3:AI13,C3:C13,"")),"")</f>
        <v>C6 - Ghee, C6 - Raw Agri (Millets), C39 - Honey / all Spices, C6 Atta - 2</v>
      </c>
      <c r="AL38" s="194" t="str" cm="1">
        <f t="array" ref="AL38">IFERROR(_xlfn.TEXTJOIN(", ",TRUE,IF(AL3:AL13&gt;AJ3:AJ13,C3:C13,"")),"")</f>
        <v>C6 - Ghee, Printer (Common), C6 - Raw Agri (Millets), C39 - Jaggery, C39 - Atta, C6 Atta - 2</v>
      </c>
      <c r="AM38" s="194" t="str" cm="1">
        <f t="array" ref="AM38">IFERROR(_xlfn.TEXTJOIN(", ",TRUE,IF(AM3:AM13&gt;AK3:AK13,D3:D13,"")),"")</f>
        <v/>
      </c>
      <c r="AN38" s="194" t="str" cm="1">
        <f t="array" ref="AN38">IFERROR(_xlfn.TEXTJOIN(", ",TRUE,IF(AN3:AN13&gt;AL3:AL13,E3:E13,"")),"")</f>
        <v>3, 30, 10</v>
      </c>
      <c r="AO38" s="194" t="str" cm="1">
        <f t="array" ref="AO38">IFERROR(_xlfn.TEXTJOIN(", ",TRUE,IF(AO3:AO13&gt;AM3:AM13,F3:F13,"")),"")</f>
        <v>2, 33, 21, 17, 7, 14, 7, 18, 26, 8, 0</v>
      </c>
      <c r="AP38" s="194" t="str" cm="1">
        <f t="array" ref="AP38">IFERROR(_xlfn.TEXTJOIN(", ",TRUE,IF(AP3:AP13&gt;AN3:AN13,G3:G13,"")),"")</f>
        <v>11, 7, 20, 13, 10, 30</v>
      </c>
      <c r="AQ38" s="194" t="str" cm="1">
        <f t="array" ref="AQ38">IFERROR(_xlfn.TEXTJOIN(", ",TRUE,IF(AQ3:AQ13&gt;AO3:AO13,H3:H13,"")),"")</f>
        <v>39, 16, 7, 16, 14, 10</v>
      </c>
      <c r="AR38" s="194" t="str" cm="1">
        <f t="array" ref="AR38">IFERROR(_xlfn.TEXTJOIN(", ",TRUE,IF(AR3:AR13&gt;AP3:AP13,I3:I13,"")),"")</f>
        <v>1, 36, 8, 13</v>
      </c>
      <c r="AS38" s="194" t="str" cm="1">
        <f t="array" ref="AS38">IFERROR(_xlfn.TEXTJOIN(", ",TRUE,IF(AS3:AS13&gt;AQ3:AQ13,J3:J13,"")),"")</f>
        <v>13, 32, 11, 14, 25, 4</v>
      </c>
      <c r="AT38" s="194" t="str" cm="1">
        <f t="array" ref="AT38">IFERROR(_xlfn.TEXTJOIN(", ",TRUE,IF(AT3:AT13&gt;AR3:AR13,K3:K13,"")),"")</f>
        <v/>
      </c>
      <c r="AU38" s="194" t="str" cm="1">
        <f t="array" ref="AU38">IFERROR(_xlfn.TEXTJOIN(", ",TRUE,IF(AU3:AU13&gt;AS3:AS13,L3:L13,"")),"")</f>
        <v>10</v>
      </c>
      <c r="AV38" s="194" t="str" cm="1">
        <f t="array" ref="AV38">IFERROR(_xlfn.TEXTJOIN(", ",TRUE,IF(AV3:AV13&gt;AT3:AT13,M3:M13,"")),"")</f>
        <v>12, 33, 12, 11, 7, 13, 7, 16, 27, 10, 5</v>
      </c>
      <c r="AW38" s="194" t="str" cm="1">
        <f t="array" ref="AW38">IFERROR(_xlfn.TEXTJOIN(", ",TRUE,IF(AW3:AW13&gt;AU3:AU13,N3:N13,"")),"")</f>
        <v>39, 12, 20, 16, 23</v>
      </c>
      <c r="AX38" s="194" t="str" cm="1">
        <f t="array" ref="AX38">IFERROR(_xlfn.TEXTJOIN(", ",TRUE,IF(AX3:AX13&gt;AV3:AV13,O3:O13,"")),"")</f>
        <v>35, 16, 22, 11</v>
      </c>
      <c r="AY38" s="194" t="str" cm="1">
        <f t="array" ref="AY38">IFERROR(_xlfn.TEXTJOIN(", ",TRUE,IF(AY3:AY13&gt;AW3:AW13,P3:P13,"")),"")</f>
        <v>14, 7, 24, 13</v>
      </c>
      <c r="AZ38" s="194" t="str" cm="1">
        <f t="array" ref="AZ38">IFERROR(_xlfn.TEXTJOIN(", ",TRUE,IF(AZ3:AZ13&gt;AX3:AX13,Q3:Q13,"")),"")</f>
        <v/>
      </c>
      <c r="BA38" s="194" t="str" cm="1">
        <f t="array" ref="BA38">IFERROR(_xlfn.TEXTJOIN(", ",TRUE,IF(BA3:BA13&gt;AY3:AY13,R3:R13,"")),"")</f>
        <v/>
      </c>
      <c r="BB38" s="194" t="str" cm="1">
        <f t="array" ref="BB38">IFERROR(_xlfn.TEXTJOIN(", ",TRUE,IF(BB3:BB13&gt;AZ3:AZ13,S3:S13,"")),"")</f>
        <v>11, 7, 13, 5, 15, 10, 14, 23, 14, 6</v>
      </c>
      <c r="BC38" s="194" t="str" cm="1">
        <f t="array" ref="BC38">IFERROR(_xlfn.TEXTJOIN(", ",TRUE,IF(BC3:BC13&gt;BA3:BA13,T3:T13,"")),"")</f>
        <v>12, 27, 0, 11, 7, 9, 13, 15, 29, 0</v>
      </c>
      <c r="BD38" s="194" t="str" cm="1">
        <f t="array" ref="BD38">IFERROR(_xlfn.TEXTJOIN(", ",TRUE,IF(BD3:BD13&gt;BB3:BB13,U3:U13,"")),"")</f>
        <v>34, 7, 14, 13, 15</v>
      </c>
      <c r="BE38" s="194" t="str" cm="1">
        <f t="array" ref="BE38">IFERROR(_xlfn.TEXTJOIN(", ",TRUE,IF(BE3:BE13&gt;BC3:BC13,V3:V13,"")),"")</f>
        <v>33, 7, 6, 12, 26, 11</v>
      </c>
      <c r="BF38" s="194" t="str" cm="1">
        <f t="array" ref="BF38">IFERROR(_xlfn.TEXTJOIN(", ",TRUE,IF(BF3:BF13&gt;BD3:BD13,W3:W13,"")),"")</f>
        <v>37, 12, 15, 25, 12</v>
      </c>
      <c r="BG38" s="194" t="str" cm="1">
        <f t="array" ref="BG38">IFERROR(_xlfn.TEXTJOIN(", ",TRUE,IF(BG3:BG13&gt;BE3:BE13,X3:X13,"")),"")</f>
        <v>12, 5</v>
      </c>
      <c r="BH38" s="194" t="str" cm="1">
        <f t="array" ref="BH38">IFERROR(_xlfn.TEXTJOIN(", ",TRUE,IF(BH3:BH13&gt;BF3:BF13,Y3:Y13,"")),"")</f>
        <v/>
      </c>
      <c r="BI38" s="194" t="str" cm="1">
        <f t="array" ref="BI38">IFERROR(_xlfn.TEXTJOIN(", ",TRUE,IF(BI3:BI13&gt;BG3:BG13,Z3:Z13,"")),"")</f>
        <v>0, 11, 6, 11, 9</v>
      </c>
      <c r="BJ38" s="194" t="str" cm="1">
        <f t="array" ref="BJ38">IFERROR(_xlfn.TEXTJOIN(", ",TRUE,IF(BJ3:BJ13&gt;BH3:BH13,AA3:AA13,"")),"")</f>
        <v>30, 9, 11, 6, 16, 9, 13, 22, 9, 3</v>
      </c>
      <c r="BK38" s="194" t="str" cm="1">
        <f t="array" ref="BK38">IFERROR(_xlfn.TEXTJOIN(", ",TRUE,IF(BK3:BK13&gt;BI3:BI13,AB3:AB13,"")),"")</f>
        <v>11, 31, 14, 26, 13</v>
      </c>
      <c r="BL38" s="194" t="str" cm="1">
        <f t="array" ref="BL38">IFERROR(_xlfn.TEXTJOIN(", ",TRUE,IF(BL3:BL13&gt;BJ3:BJ13,AC3:AC13,"")),"")</f>
        <v>12, 6, 11, 13</v>
      </c>
      <c r="BM38" s="194" t="str" cm="1">
        <f t="array" ref="BM38">IFERROR(_xlfn.TEXTJOIN(", ",TRUE,IF(BM3:BM13&gt;BK3:BK13,AD3:AD13,"")),"")</f>
        <v>9, 17, 8, 10, 0</v>
      </c>
      <c r="BN38" s="194" t="str" cm="1">
        <f t="array" ref="BN38">IFERROR(_xlfn.TEXTJOIN(", ",TRUE,IF(BN3:BN13&gt;BL3:BL13,AE3:AE13,"")),"")</f>
        <v>10, 9, 7, 16, 10, 18, 7, 2</v>
      </c>
      <c r="BO38" s="194">
        <v>54</v>
      </c>
      <c r="BP38" s="194" t="str" cm="1">
        <f t="array" ref="BP38">IFERROR(_xlfn.TEXTJOIN(", ",TRUE,IF(BP3:BP13&gt;BN3:BN13,AG3:AG13,"")),"")</f>
        <v>19, 0, 0, 0</v>
      </c>
      <c r="BQ38" s="194" t="str" cm="1">
        <f t="array" ref="BQ38">IFERROR(_xlfn.TEXTJOIN(", ",TRUE,IF(BQ3:BQ13&gt;BO3:BO13,AH3:AH13,"")),"")</f>
        <v>12, 37, 12, 11, 7, 18, 6, 17, 26, 8, 2</v>
      </c>
      <c r="BR38" s="194" t="str" cm="1">
        <f t="array" ref="BR38">IFERROR(_xlfn.TEXTJOIN(", ",TRUE,IF(BR3:BR13&gt;BP3:BP13,AI3:AI13,"")),"")</f>
        <v>12, 35, 8, 26, 11, 4</v>
      </c>
      <c r="BS38" s="194" t="str" cm="1">
        <f t="array" ref="BS38">IFERROR(_xlfn.TEXTJOIN(", ",TRUE,IF(BS3:BS13&gt;BQ3:BQ13,AJ3:AJ13,"")),"")</f>
        <v>36, 11</v>
      </c>
      <c r="BT38" s="194" t="str" cm="1">
        <f t="array" ref="BT38">IFERROR(_xlfn.TEXTJOIN(", ",TRUE,IF(BT3:BT13&gt;BR3:BR13,AK3:AK13,"")),"")</f>
        <v>17, 23</v>
      </c>
      <c r="BU38" s="194" t="str" cm="1">
        <f t="array" ref="BU38">IFERROR(_xlfn.TEXTJOIN(", ",TRUE,IF(BU3:BU13&gt;BS3:BS13,AL3:AL13,"")),"")</f>
        <v>12, 8, 7, 18, 10, 19, 27, 11, 6</v>
      </c>
      <c r="BV38" s="194" t="str" cm="1">
        <f t="array" ref="BV38">IFERROR(_xlfn.TEXTJOIN(", ",TRUE,IF(BV3:BV13&gt;BT3:BT13,AM3:AM13,"")),"")</f>
        <v>0</v>
      </c>
      <c r="BW38" s="194" t="str" cm="1">
        <f t="array" ref="BW38">IFERROR(_xlfn.TEXTJOIN(", ",TRUE,IF(BW3:BW13&gt;BU3:BU13,AN3:AN13,"")),"")</f>
        <v>8, 9, 14</v>
      </c>
      <c r="BX38" s="194" t="str" cm="1">
        <f t="array" ref="BX38">IFERROR(_xlfn.TEXTJOIN(", ",TRUE,IF(BX3:BX13&gt;BV3:BV13,AO3:AO13,"")),"")</f>
        <v>18, 36, 12, 11, 27, 8, 5</v>
      </c>
      <c r="BY38" s="194">
        <v>36</v>
      </c>
      <c r="BZ38" s="194" t="str" cm="1">
        <f t="array" ref="BZ38">IFERROR(_xlfn.TEXTJOIN(", ",TRUE,IF(BZ3:BZ13&gt;BX3:BX13,AQ3:AQ13,"")),"")</f>
        <v>37, 8, 14, 13, 16, 21</v>
      </c>
      <c r="CA38" s="194" t="str" cm="1">
        <f t="array" ref="CA38">IFERROR(_xlfn.TEXTJOIN(", ",TRUE,IF(CA3:CA13&gt;BY3:BY13,AR3:AR13,"")),"")</f>
        <v>19, 7, 12, 5</v>
      </c>
      <c r="CB38" s="194" t="str" cm="1">
        <f t="array" ref="CB38">IFERROR(_xlfn.TEXTJOIN(", ",TRUE,IF(CB3:CB13&gt;BZ3:BZ13,AS3:AS13,"")),"")</f>
        <v/>
      </c>
      <c r="CC38" s="194" t="str" cm="1">
        <f t="array" ref="CC38">IFERROR(_xlfn.TEXTJOIN(", ",TRUE,IF(CC3:CC13&gt;CA3:CA13,AT3:AT13,"")),"")</f>
        <v/>
      </c>
      <c r="CD38" s="194" t="str" cm="1">
        <f t="array" ref="CD38">IFERROR(_xlfn.TEXTJOIN(", ",TRUE,IF(CD3:CD13&gt;CB3:CB13,AU3:AU13,"")),"")</f>
        <v>18, 37, 8, 11, 6, 8, 10, 16, 24, 14, 8</v>
      </c>
      <c r="CE38" s="194" t="str" cm="1">
        <f t="array" ref="CE38">IFERROR(_xlfn.TEXTJOIN(", ",TRUE,IF(CE3:CE13&gt;CC3:CC13,AV3:AV13,"")),"")</f>
        <v>18, 35, 8, 11, 7, 10, 12, 17, 30, 12, 2</v>
      </c>
      <c r="CF38" s="194" t="str" cm="1">
        <f t="array" ref="CF38">IFERROR(_xlfn.TEXTJOIN(", ",TRUE,IF(CF3:CF13&gt;CD3:CD13,AW3:AW13,"")),"")</f>
        <v>17, 39, 11, 6, 10, 16, 13, 8</v>
      </c>
      <c r="CG38" s="194" t="str" cm="1">
        <f t="array" ref="CG38">IFERROR(_xlfn.TEXTJOIN(", ",TRUE,IF(CG3:CG13&gt;CE3:CE13,AX3:AX13,"")),"")</f>
        <v>11, 14, 13</v>
      </c>
      <c r="CH38" s="194" t="str" cm="1">
        <f t="array" ref="CH38">IFERROR(_xlfn.TEXTJOIN(", ",TRUE,IF(CH3:CH13&gt;CF3:CF13,AY3:AY13,"")),"")</f>
        <v>7, 15, 17, 3</v>
      </c>
      <c r="CI38" s="194" t="str" cm="1">
        <f t="array" ref="CI38">IFERROR(_xlfn.TEXTJOIN(", ",TRUE,IF(CI3:CI13&gt;CG3:CG13,AZ3:AZ13,"")),"")</f>
        <v>6, 0, 0, 2, 0</v>
      </c>
      <c r="CJ38" s="194" t="str" cm="1">
        <f t="array" ref="CJ38">IFERROR(_xlfn.TEXTJOIN(", ",TRUE,IF(CJ3:CJ13&gt;CH3:CH13,BA3:BA13,"")),"")</f>
        <v/>
      </c>
      <c r="CK38" s="194" t="str" cm="1">
        <f t="array" ref="CK38">IFERROR(_xlfn.TEXTJOIN(", ",TRUE,IF(CK3:CK13&gt;CI3:CI13,BB3:BB13,"")),"")</f>
        <v>10, 19</v>
      </c>
      <c r="CL38" s="194" t="str" cm="1">
        <f t="array" ref="CL38">IFERROR(_xlfn.TEXTJOIN(", ",TRUE,IF(CL3:CL13&gt;CJ3:CJ13,BC3:BC13,"")),"")</f>
        <v>17, 38, 14, 11, 6, 13, 13, 15, 26, 5, 4</v>
      </c>
      <c r="CM38" s="194" t="str" cm="1">
        <f t="array" ref="CM38">IFERROR(_xlfn.TEXTJOIN(", ",TRUE,IF(CM3:CM13&gt;CK3:CK13,BD3:BD13,"")),"")</f>
        <v>13, 41</v>
      </c>
      <c r="CN38" s="194" t="str" cm="1">
        <f t="array" ref="CN38">IFERROR(_xlfn.TEXTJOIN(", ",TRUE,IF(CN3:CN13&gt;CL3:CL13,BE3:BE13,"")),"")</f>
        <v>40, 14, 31, 11</v>
      </c>
      <c r="CO38" s="194" t="str" cm="1">
        <f t="array" ref="CO38">IFERROR(_xlfn.TEXTJOIN(", ",TRUE,IF(CO3:CO13&gt;CM3:CM13,BF3:BF13,"")),"")</f>
        <v>17</v>
      </c>
      <c r="CP38" s="194" t="str" cm="1">
        <f t="array" ref="CP38">IFERROR(_xlfn.TEXTJOIN(", ",TRUE,IF(CP3:CP13&gt;CN3:CN13,BG3:BG13,"")),"")</f>
        <v>12</v>
      </c>
      <c r="CQ38" s="194" t="str" cm="1">
        <f t="array" ref="CQ38">IFERROR(_xlfn.TEXTJOIN(", ",TRUE,IF(CQ3:CQ13&gt;CO3:CO13,BH3:BH13,"")),"")</f>
        <v/>
      </c>
      <c r="CR38" s="194" t="str" cm="1">
        <f t="array" ref="CR38">IFERROR(_xlfn.TEXTJOIN(", ",TRUE,IF(CR3:CR13&gt;CP3:CP13,BI3:BI13,"")),"")</f>
        <v>11, 11, 7, 15, 9, 11, 2</v>
      </c>
      <c r="CS38" s="194" t="str" cm="1">
        <f t="array" ref="CS38">IFERROR(_xlfn.TEXTJOIN(", ",TRUE,IF(CS3:CS13&gt;CQ3:CQ13,BJ3:BJ13,"")),"")</f>
        <v>12, 36, 8, 10, 7, 13, 16, 11, 31, 19, 3</v>
      </c>
      <c r="CT38" s="194" t="str" cm="1">
        <f t="array" ref="CT38">IFERROR(_xlfn.TEXTJOIN(", ",TRUE,IF(CT3:CT13&gt;CR3:CR13,BK3:BK13,"")),"")</f>
        <v>24, 37, 8, 11, 26, 22, 0</v>
      </c>
      <c r="CU38" s="194" t="str" cm="1">
        <f t="array" ref="CU38">IFERROR(_xlfn.TEXTJOIN(", ",TRUE,IF(CU3:CU13&gt;CS3:CS13,BL3:BL13,"")),"")</f>
        <v>9, 5, 12, 20, 0</v>
      </c>
      <c r="CV38" s="194" t="str" cm="1">
        <f t="array" ref="CV38">IFERROR(_xlfn.TEXTJOIN(", ",TRUE,IF(CV3:CV13&gt;CT3:CT13,BM3:BM13,"")),"")</f>
        <v>24, 9, 19, 18</v>
      </c>
      <c r="CW38" s="194" t="str" cm="1">
        <f t="array" ref="CW38">IFERROR(_xlfn.TEXTJOIN(", ",TRUE,IF(CW3:CW13&gt;CU3:CU13,BN3:BN13,"")),"")</f>
        <v>36, 4</v>
      </c>
      <c r="CX38" s="194" t="str" cm="1">
        <f t="array" ref="CX38">IFERROR(_xlfn.TEXTJOIN(", ",TRUE,IF(CX3:CX13&gt;CV3:CV13,BO3:BO13,"")),"")</f>
        <v>13</v>
      </c>
      <c r="CY38" s="194" t="str" cm="1">
        <f t="array" ref="CY38">IFERROR(_xlfn.TEXTJOIN(", ",TRUE,IF(CY3:CY13&gt;CW3:CW13,BP3:BP13,"")),"")</f>
        <v>11, 7, 25, 15, 24</v>
      </c>
      <c r="CZ38" s="194">
        <v>33</v>
      </c>
      <c r="DA38" s="194" t="str" cm="1">
        <f t="array" ref="DA38">IFERROR(_xlfn.TEXTJOIN(", ",TRUE,IF(DA3:DA13&gt;CY3:CY13,BR3:BR13,"")),"")</f>
        <v>29, 37, 11, 7, 15, 4</v>
      </c>
      <c r="DB38" s="194" t="str" cm="1">
        <f t="array" ref="DB38">IFERROR(_xlfn.TEXTJOIN(", ",TRUE,IF(DB3:DB13&gt;CZ3:CZ13,BS3:BS13,"")),"")</f>
        <v>10, 0, 1, 0, 0, 17, 0</v>
      </c>
      <c r="DC38" s="194" t="str" cm="1">
        <f t="array" ref="DC38">IFERROR(_xlfn.TEXTJOIN(", ",TRUE,IF(DC3:DC13&gt;DA3:DA13,BT3:BT13,"")),"")</f>
        <v>19, 37, 11, 32</v>
      </c>
      <c r="DD38" s="194" t="str" cm="1">
        <f t="array" ref="DD38">IFERROR(_xlfn.TEXTJOIN(", ",TRUE,IF(DD3:DD13&gt;DB3:DB13,BU3:BU13,"")),"")</f>
        <v>34, 13, 15, 28, 4</v>
      </c>
      <c r="DE38" s="194" t="str" cm="1">
        <f t="array" ref="DE38">IFERROR(_xlfn.TEXTJOIN(", ",TRUE,IF(DE3:DE13&gt;DC3:DC13,BV3:BV13,"")),"")</f>
        <v/>
      </c>
      <c r="DF38" s="194" t="str" cm="1">
        <f t="array" ref="DF38">IFERROR(_xlfn.TEXTJOIN(", ",TRUE,IF(DF3:DF13&gt;DD3:DD13,BW3:BW13,"")),"")</f>
        <v/>
      </c>
      <c r="DG38" s="194" t="str" cm="1">
        <f t="array" ref="DG38">IFERROR(_xlfn.TEXTJOIN(", ",TRUE,IF(DG3:DG13&gt;DE3:DE13,BX3:BX13,"")),"")</f>
        <v>26, 14, 11, 5, 15, 9, 14, 11, 5</v>
      </c>
      <c r="DH38" s="194" t="str" cm="1">
        <f t="array" ref="DH38">IFERROR(_xlfn.TEXTJOIN(", ",TRUE,IF(DH3:DH13&gt;DF3:DF13,BY3:BY13,"")),"")</f>
        <v>15, 33, 12, 11, 7, 23, 18, 10, 25, 19, 5</v>
      </c>
      <c r="DI38" s="194" t="str" cm="1">
        <f t="array" ref="DI38">IFERROR(_xlfn.TEXTJOIN(", ",TRUE,IF(DI3:DI13&gt;DG3:DG13,BZ3:BZ13,"")),"")</f>
        <v>34, 21</v>
      </c>
      <c r="DJ38" s="194" t="str" cm="1">
        <f t="array" ref="DJ38">IFERROR(_xlfn.TEXTJOIN(", ",TRUE,IF(DJ3:DJ13&gt;DH3:DH13,CA3:CA13,"")),"")</f>
        <v>24</v>
      </c>
      <c r="DK38" s="194" t="str" cm="1">
        <f t="array" ref="DK38">IFERROR(_xlfn.TEXTJOIN(", ",TRUE,IF(DK3:DK13&gt;DI3:DI13,CB3:CB13,"")),"")</f>
        <v>0, 0, 0, 0, 0, 0, 0, 0, 0</v>
      </c>
      <c r="DL38" s="194" t="str" cm="1">
        <f t="array" ref="DL38">IFERROR(_xlfn.TEXTJOIN(", ",TRUE,IF(DL3:DL13&gt;DJ3:DJ13,CC3:CC13,"")),"")</f>
        <v>0, 10, 2</v>
      </c>
      <c r="DM38" s="194" t="str" cm="1">
        <f t="array" ref="DM38">IFERROR(_xlfn.TEXTJOIN(", ",TRUE,IF(DM3:DM13&gt;DK3:DK13,CD3:CD13,"")),"")</f>
        <v>14, 22, 4</v>
      </c>
      <c r="DN38" s="194" t="str" cm="1">
        <f t="array" ref="DN38">IFERROR(_xlfn.TEXTJOIN(", ",TRUE,IF(DN3:DN13&gt;DL3:DL13,CE3:CE13,"")),"")</f>
        <v>31, 12, 10, 8, 26, 11, 15, 12</v>
      </c>
      <c r="DO38" s="194" t="str" cm="1">
        <f t="array" ref="DO38">IFERROR(_xlfn.TEXTJOIN(", ",TRUE,IF(DO3:DO13&gt;DM3:DM13,CF3:CF13,"")),"")</f>
        <v>35, 14, 11, 23, 9, 19, 11, 4</v>
      </c>
      <c r="DP38" s="194" t="str" cm="1">
        <f t="array" ref="DP38">IFERROR(_xlfn.TEXTJOIN(", ",TRUE,IF(DP3:DP13&gt;DN3:DN13,CG3:CG13,"")),"")</f>
        <v>21</v>
      </c>
      <c r="DQ38" s="194" t="str" cm="1">
        <f t="array" ref="DQ38">IFERROR(_xlfn.TEXTJOIN(", ",TRUE,IF(DQ3:DQ13&gt;DO3:DO13,CH3:CH13,"")),"")</f>
        <v>11, 18, 19</v>
      </c>
      <c r="DR38" s="194" t="str" cm="1">
        <f t="array" ref="DR38">IFERROR(_xlfn.TEXTJOIN(", ",TRUE,IF(DR3:DR13&gt;DP3:DP13,CI3:CI13,"")),"")</f>
        <v>30, 38, 13, 11, 8, 8, 13, 18, 19, 15, 9</v>
      </c>
      <c r="DS38" s="194" t="str" cm="1">
        <f t="array" ref="DS38">IFERROR(_xlfn.TEXTJOIN(", ",TRUE,IF(DS3:DS13&gt;DQ3:DQ13,CJ3:CJ13,"")),"")</f>
        <v/>
      </c>
      <c r="DT38" s="194" t="str" cm="1">
        <f t="array" ref="DT38">IFERROR(_xlfn.TEXTJOIN(", ",TRUE,IF(DT3:DT13&gt;DR3:DR13,CK3:CK13,"")),"")</f>
        <v>29, 7, 20, 16, 14</v>
      </c>
      <c r="DU38" s="194" t="str" cm="1">
        <f t="array" ref="DU38">IFERROR(_xlfn.TEXTJOIN(", ",TRUE,IF(DU3:DU13&gt;DS3:DS13,CL3:CL13,"")),"")</f>
        <v>14, 7, 16, 15, 16, 18, 16, 9</v>
      </c>
      <c r="DV38" s="194" t="str" cm="1">
        <f t="array" ref="DV38">IFERROR(_xlfn.TEXTJOIN(", ",TRUE,IF(DV3:DV13&gt;DT3:DT13,CM3:CM13,"")),"")</f>
        <v>7, 14, 5</v>
      </c>
      <c r="DW38" s="194" t="str" cm="1">
        <f t="array" ref="DW38">IFERROR(_xlfn.TEXTJOIN(", ",TRUE,IF(DW3:DW13&gt;DU3:DU13,CN3:CN13,"")),"")</f>
        <v>11, 40, 11, 7, 24, 12, 25</v>
      </c>
      <c r="DX38" s="194" t="str" cm="1">
        <f t="array" ref="DX38">IFERROR(_xlfn.TEXTJOIN(", ",TRUE,IF(DX3:DX13&gt;DV3:DV13,CO3:CO13,"")),"")</f>
        <v/>
      </c>
      <c r="DY38" s="194" t="str" cm="1">
        <f t="array" ref="DY38">IFERROR(_xlfn.TEXTJOIN(", ",TRUE,IF(DY3:DY13&gt;DW3:DW13,CP3:CP13,"")),"")</f>
        <v>18, 17, 14, 22, 3</v>
      </c>
      <c r="DZ38" s="194" t="str" cm="1">
        <f t="array" ref="DZ38">IFERROR(_xlfn.TEXTJOIN(", ",TRUE,IF(DZ3:DZ13&gt;DX3:DX13,CQ3:CQ13,"")),"")</f>
        <v>25, 0, 0, 0, 0, 9</v>
      </c>
      <c r="EA38" s="194" t="str" cm="1">
        <f t="array" ref="EA38">IFERROR(_xlfn.TEXTJOIN(", ",TRUE,IF(EA3:EA13&gt;DY3:DY13,CR3:CR13,"")),"")</f>
        <v>8, 11, 11, 13</v>
      </c>
      <c r="EB38" s="194" t="str" cm="1">
        <f t="array" ref="EB38">IFERROR(_xlfn.TEXTJOIN(", ",TRUE,IF(EB3:EB13&gt;DZ3:DZ13,CS3:CS13,"")),"")</f>
        <v>19, 37, 6, 11, 7, 15, 16, 11, 25, 21, 4</v>
      </c>
      <c r="EC38" s="194" t="str" cm="1">
        <f t="array" ref="EC38">IFERROR(_xlfn.TEXTJOIN(", ",TRUE,IF(EC3:EC13&gt;EA3:EA13,CT3:CT13,"")),"")</f>
        <v>13, 11</v>
      </c>
      <c r="ED38" s="194" t="str" cm="1">
        <f t="array" ref="ED38">IFERROR(_xlfn.TEXTJOIN(", ",TRUE,IF(ED3:ED13&gt;EB3:EB13,CU3:CU13,"")),"")</f>
        <v>36</v>
      </c>
      <c r="EE38" s="194" t="str" cm="1">
        <f t="array" ref="EE38">IFERROR(_xlfn.TEXTJOIN(", ",TRUE,IF(EE3:EE13&gt;EC3:EC13,CV3:CV13,"")),"")</f>
        <v>35, 9, 20, 18, 5</v>
      </c>
      <c r="EF38" s="194" t="str" cm="1">
        <f t="array" ref="EF38">IFERROR(_xlfn.TEXTJOIN(", ",TRUE,IF(EF3:EF13&gt;ED3:ED13,CW3:CW13,"")),"")</f>
        <v>20, 11, 5, 16, 10, 0, 15, 15</v>
      </c>
      <c r="EG38" s="194" t="str" cm="1">
        <f t="array" ref="EG38">IFERROR(_xlfn.TEXTJOIN(", ",TRUE,IF(EG3:EG13&gt;EE3:EE13,CX3:CX13,"")),"")</f>
        <v/>
      </c>
      <c r="EH38" s="194" t="str" cm="1">
        <f t="array" ref="EH38">IFERROR(_xlfn.TEXTJOIN(", ",TRUE,IF(EH3:EH13&gt;EF3:EF13,CY3:CY13,"")),"")</f>
        <v>9, 26, 6, 19, 10</v>
      </c>
      <c r="EI38" s="194" t="str" cm="1">
        <f t="array" ref="EI38">IFERROR(_xlfn.TEXTJOIN(", ",TRUE,IF(EI3:EI13&gt;EG3:EG13,CZ3:CZ13,"")),"")</f>
        <v>16, 32, 10, 11, 5, 17, 14, 16, 16, 4</v>
      </c>
      <c r="EJ38" s="194" t="str" cm="1">
        <f t="array" ref="EJ38">IFERROR(_xlfn.TEXTJOIN(", ",TRUE,IF(EJ3:EJ13&gt;EH3:EH13,DA3:DA13,"")),"")</f>
        <v/>
      </c>
      <c r="EK38" s="194" t="str" cm="1">
        <f t="array" ref="EK38">IFERROR(_xlfn.TEXTJOIN(", ",TRUE,IF(EK3:EK13&gt;EI3:EI13,DB3:DB13,"")),"")</f>
        <v/>
      </c>
      <c r="EL38" s="194" t="str" cm="1">
        <f t="array" ref="EL38">IFERROR(_xlfn.TEXTJOIN(", ",TRUE,IF(EL3:EL13&gt;EJ3:EJ13,DC3:DC13,"")),"")</f>
        <v/>
      </c>
      <c r="EM38" s="194" t="str" cm="1">
        <f t="array" ref="EM38">IFERROR(_xlfn.TEXTJOIN(", ",TRUE,IF(EM3:EM13&gt;EK3:EK13,DD3:DD13,"")),"")</f>
        <v/>
      </c>
      <c r="EN38" s="194" t="str" cm="1">
        <f t="array" ref="EN38">IFERROR(_xlfn.TEXTJOIN(", ",TRUE,IF(EN3:EN13&gt;EL3:EL13,DE3:DE13,"")),"")</f>
        <v/>
      </c>
      <c r="EO38" s="194" t="str" cm="1">
        <f t="array" ref="EO38">IFERROR(_xlfn.TEXTJOIN(", ",TRUE,IF(EO3:EO13&gt;EM3:EM13,DF3:DF13,"")),"")</f>
        <v/>
      </c>
      <c r="EP38" s="194" t="str" cm="1">
        <f t="array" ref="EP38">IFERROR(_xlfn.TEXTJOIN(", ",TRUE,IF(EP3:EP13&gt;EN3:EN13,DG3:DG13,"")),"")</f>
        <v/>
      </c>
      <c r="EQ38" s="194" t="str" cm="1">
        <f t="array" ref="EQ38">IFERROR(_xlfn.TEXTJOIN(", ",TRUE,IF(EQ3:EQ13&gt;EO3:EO13,DH3:DH13,"")),"")</f>
        <v/>
      </c>
      <c r="ER38" s="194" t="str" cm="1">
        <f t="array" ref="ER38">IFERROR(_xlfn.TEXTJOIN(", ",TRUE,IF(ER3:ER13&gt;EP3:EP13,DI3:DI13,"")),"")</f>
        <v/>
      </c>
      <c r="ES38" s="194" t="str" cm="1">
        <f t="array" ref="ES38">IFERROR(_xlfn.TEXTJOIN(", ",TRUE,IF(ES3:ES13&gt;EQ3:EQ13,DJ3:DJ13,"")),"")</f>
        <v/>
      </c>
      <c r="ET38" s="194" t="str" cm="1">
        <f t="array" ref="ET38">IFERROR(_xlfn.TEXTJOIN(", ",TRUE,IF(ET3:ET13&gt;ER3:ER13,DK3:DK13,"")),"")</f>
        <v/>
      </c>
      <c r="EU38" s="194" t="str" cm="1">
        <f t="array" ref="EU38">IFERROR(_xlfn.TEXTJOIN(", ",TRUE,IF(EU3:EU13&gt;ES3:ES13,DL3:DL13,"")),"")</f>
        <v/>
      </c>
      <c r="EV38" s="194" t="str" cm="1">
        <f t="array" ref="EV38">IFERROR(_xlfn.TEXTJOIN(", ",TRUE,IF(EV3:EV13&gt;ET3:ET13,DM3:DM13,"")),"")</f>
        <v/>
      </c>
      <c r="EW38" s="194" t="str" cm="1">
        <f t="array" ref="EW38">IFERROR(_xlfn.TEXTJOIN(", ",TRUE,IF(EW3:EW13&gt;EU3:EU13,DN3:DN13,"")),"")</f>
        <v/>
      </c>
      <c r="EX38" s="194" t="str" cm="1">
        <f t="array" ref="EX38">IFERROR(_xlfn.TEXTJOIN(", ",TRUE,IF(EX3:EX13&gt;EV3:EV13,DO3:DO13,"")),"")</f>
        <v/>
      </c>
      <c r="EY38" s="194" t="str" cm="1">
        <f t="array" ref="EY38">IFERROR(_xlfn.TEXTJOIN(", ",TRUE,IF(EY3:EY13&gt;EW3:EW13,DP3:DP13,"")),"")</f>
        <v/>
      </c>
      <c r="EZ38" s="194" t="str" cm="1">
        <f t="array" ref="EZ38">IFERROR(_xlfn.TEXTJOIN(", ",TRUE,IF(EZ3:EZ13&gt;EX3:EX13,DQ3:DQ13,"")),"")</f>
        <v/>
      </c>
      <c r="FA38" s="194" t="str" cm="1">
        <f t="array" ref="FA38">IFERROR(_xlfn.TEXTJOIN(", ",TRUE,IF(FA3:FA13&gt;EY3:EY13,DR3:DR13,"")),"")</f>
        <v/>
      </c>
    </row>
    <row r="39" spans="1:157" s="143" customFormat="1" ht="21" customHeight="1">
      <c r="A39" s="294" t="s">
        <v>85</v>
      </c>
      <c r="B39" s="294"/>
      <c r="C39" s="294"/>
      <c r="D39" s="294"/>
      <c r="E39" s="196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5"/>
      <c r="BA39" s="195"/>
      <c r="BB39" s="195"/>
      <c r="BC39" s="195"/>
      <c r="BD39" s="195"/>
      <c r="BE39" s="195"/>
      <c r="BF39" s="195"/>
      <c r="BG39" s="195"/>
      <c r="BH39" s="195"/>
      <c r="BI39" s="195"/>
      <c r="BJ39" s="195"/>
      <c r="BK39" s="195"/>
      <c r="BL39" s="195"/>
      <c r="BM39" s="195"/>
      <c r="BN39" s="195"/>
      <c r="BO39" s="195"/>
      <c r="BP39" s="195"/>
      <c r="BQ39" s="195"/>
      <c r="BR39" s="195"/>
      <c r="BS39" s="195"/>
      <c r="BT39" s="195"/>
      <c r="BU39" s="195"/>
      <c r="BV39" s="195"/>
      <c r="BW39" s="195"/>
      <c r="BX39" s="195"/>
      <c r="BY39" s="195"/>
      <c r="BZ39" s="195"/>
      <c r="CA39" s="195"/>
      <c r="CB39" s="195"/>
      <c r="CC39" s="195"/>
      <c r="CD39" s="195"/>
      <c r="CE39" s="195"/>
      <c r="CF39" s="195"/>
      <c r="CG39" s="195"/>
      <c r="CH39" s="195"/>
      <c r="CI39" s="195"/>
      <c r="CJ39" s="195"/>
      <c r="CK39" s="195"/>
      <c r="CL39" s="195"/>
      <c r="CM39" s="195"/>
      <c r="CN39" s="195"/>
      <c r="CO39" s="195"/>
      <c r="CP39" s="195"/>
      <c r="CQ39" s="195"/>
      <c r="CR39" s="195"/>
      <c r="CS39" s="195"/>
      <c r="CT39" s="195"/>
      <c r="CU39" s="195"/>
      <c r="CV39" s="195"/>
      <c r="CW39" s="195"/>
      <c r="CX39" s="195"/>
      <c r="CY39" s="195"/>
      <c r="CZ39" s="195"/>
      <c r="DA39" s="195"/>
      <c r="DB39" s="195"/>
      <c r="DC39" s="195"/>
      <c r="DD39" s="195"/>
      <c r="DE39" s="195"/>
      <c r="DF39" s="195"/>
      <c r="DG39" s="195"/>
      <c r="DH39" s="195"/>
      <c r="DI39" s="195"/>
      <c r="DJ39" s="195"/>
      <c r="DK39" s="195"/>
      <c r="DL39" s="195"/>
      <c r="DM39" s="195"/>
      <c r="DN39" s="195"/>
      <c r="DO39" s="195"/>
      <c r="DP39" s="195"/>
      <c r="DQ39" s="195"/>
      <c r="DR39" s="195"/>
      <c r="DS39" s="195"/>
      <c r="DT39" s="195">
        <v>12</v>
      </c>
      <c r="DU39" s="195"/>
      <c r="DV39" s="195"/>
      <c r="DW39" s="195">
        <v>3</v>
      </c>
      <c r="DX39" s="195"/>
      <c r="DY39" s="195">
        <v>8</v>
      </c>
      <c r="DZ39" s="195"/>
      <c r="EA39" s="195"/>
      <c r="EB39" s="195">
        <v>12</v>
      </c>
      <c r="EC39" s="195"/>
      <c r="ED39" s="195"/>
      <c r="EE39" s="195">
        <v>8</v>
      </c>
      <c r="EF39" s="195"/>
      <c r="EG39" s="195">
        <v>12</v>
      </c>
      <c r="EH39" s="195"/>
      <c r="EI39" s="195"/>
      <c r="EJ39" s="195"/>
      <c r="EK39" s="195"/>
      <c r="EL39" s="195"/>
      <c r="EM39" s="195"/>
      <c r="EN39" s="195"/>
      <c r="EO39" s="195"/>
      <c r="EP39" s="195"/>
      <c r="EQ39" s="195"/>
      <c r="ER39" s="195"/>
      <c r="ES39" s="195"/>
      <c r="ET39" s="195"/>
      <c r="EU39" s="195"/>
      <c r="EV39" s="195"/>
      <c r="EW39" s="195"/>
      <c r="EX39" s="195"/>
      <c r="EY39" s="195"/>
      <c r="EZ39" s="195"/>
      <c r="FA39" s="195"/>
    </row>
    <row r="40" spans="1:157" s="143" customFormat="1" ht="21" customHeight="1">
      <c r="A40" s="294" t="s">
        <v>86</v>
      </c>
      <c r="B40" s="294"/>
      <c r="C40" s="294"/>
      <c r="D40" s="294"/>
      <c r="E40" s="196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  <c r="BG40" s="195"/>
      <c r="BH40" s="195"/>
      <c r="BI40" s="195"/>
      <c r="BJ40" s="195"/>
      <c r="BK40" s="195"/>
      <c r="BL40" s="195"/>
      <c r="BM40" s="195"/>
      <c r="BN40" s="195"/>
      <c r="BO40" s="195"/>
      <c r="BP40" s="195"/>
      <c r="BQ40" s="195"/>
      <c r="BR40" s="195"/>
      <c r="BS40" s="195"/>
      <c r="BT40" s="195"/>
      <c r="BU40" s="195"/>
      <c r="BV40" s="195"/>
      <c r="BW40" s="195"/>
      <c r="BX40" s="195"/>
      <c r="BY40" s="195"/>
      <c r="BZ40" s="195"/>
      <c r="CA40" s="195"/>
      <c r="CB40" s="195"/>
      <c r="CC40" s="195"/>
      <c r="CD40" s="195"/>
      <c r="CE40" s="195"/>
      <c r="CF40" s="195"/>
      <c r="CG40" s="195"/>
      <c r="CH40" s="195"/>
      <c r="CI40" s="195"/>
      <c r="CJ40" s="195"/>
      <c r="CK40" s="195"/>
      <c r="CL40" s="195"/>
      <c r="CM40" s="195"/>
      <c r="CN40" s="195"/>
      <c r="CO40" s="195"/>
      <c r="CP40" s="195"/>
      <c r="CQ40" s="195"/>
      <c r="CR40" s="195"/>
      <c r="CS40" s="195"/>
      <c r="CT40" s="195"/>
      <c r="CU40" s="195"/>
      <c r="CV40" s="195"/>
      <c r="CW40" s="195"/>
      <c r="CX40" s="195"/>
      <c r="CY40" s="195"/>
      <c r="CZ40" s="195"/>
      <c r="DA40" s="195"/>
      <c r="DB40" s="195"/>
      <c r="DC40" s="195"/>
      <c r="DD40" s="195"/>
      <c r="DE40" s="195"/>
      <c r="DF40" s="195"/>
      <c r="DG40" s="195"/>
      <c r="DH40" s="195"/>
      <c r="DI40" s="195"/>
      <c r="DJ40" s="195"/>
      <c r="DK40" s="195"/>
      <c r="DL40" s="195"/>
      <c r="DM40" s="195"/>
      <c r="DN40" s="198"/>
      <c r="DO40" s="198"/>
      <c r="DP40" s="198"/>
      <c r="DQ40" s="198"/>
      <c r="DR40" s="198"/>
      <c r="DS40" s="198"/>
      <c r="DT40" s="198"/>
      <c r="DU40" s="195"/>
      <c r="DV40" s="195"/>
      <c r="DW40" s="195"/>
      <c r="DX40" s="195"/>
      <c r="DY40" s="195"/>
      <c r="DZ40" s="195"/>
      <c r="EA40" s="195"/>
      <c r="EB40" s="195"/>
      <c r="EC40" s="195"/>
      <c r="ED40" s="195"/>
      <c r="EE40" s="195"/>
      <c r="EF40" s="195"/>
      <c r="EG40" s="195"/>
      <c r="EH40" s="195"/>
      <c r="EI40" s="195"/>
      <c r="EJ40" s="195"/>
      <c r="EK40" s="195"/>
      <c r="EL40" s="195"/>
      <c r="EM40" s="195"/>
      <c r="EN40" s="195"/>
      <c r="EO40" s="195"/>
      <c r="EP40" s="195"/>
      <c r="EQ40" s="195"/>
      <c r="ER40" s="195"/>
      <c r="ES40" s="195"/>
      <c r="ET40" s="195"/>
      <c r="EU40" s="195"/>
      <c r="EV40" s="195"/>
      <c r="EW40" s="195"/>
      <c r="EX40" s="195"/>
      <c r="EY40" s="195"/>
      <c r="EZ40" s="195"/>
      <c r="FA40" s="195"/>
    </row>
    <row r="41" spans="1:157" s="143" customFormat="1" ht="21" customHeight="1">
      <c r="A41" s="294" t="s">
        <v>87</v>
      </c>
      <c r="B41" s="294"/>
      <c r="C41" s="294"/>
      <c r="D41" s="294"/>
      <c r="E41" s="196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195"/>
      <c r="BM41" s="195"/>
      <c r="BN41" s="195"/>
      <c r="BO41" s="195"/>
      <c r="BP41" s="195"/>
      <c r="BQ41" s="195"/>
      <c r="BR41" s="195"/>
      <c r="BS41" s="195"/>
      <c r="BT41" s="195"/>
      <c r="BU41" s="195"/>
      <c r="BV41" s="195"/>
      <c r="BW41" s="195"/>
      <c r="BX41" s="195"/>
      <c r="BY41" s="195"/>
      <c r="BZ41" s="195"/>
      <c r="CA41" s="195"/>
      <c r="CB41" s="195"/>
      <c r="CC41" s="195"/>
      <c r="CD41" s="195"/>
      <c r="CE41" s="195"/>
      <c r="CF41" s="195"/>
      <c r="CG41" s="195"/>
      <c r="CH41" s="195"/>
      <c r="CI41" s="195"/>
      <c r="CJ41" s="195"/>
      <c r="CK41" s="195"/>
      <c r="CL41" s="195"/>
      <c r="CM41" s="195"/>
      <c r="CN41" s="195"/>
      <c r="CO41" s="195"/>
      <c r="CP41" s="195"/>
      <c r="CQ41" s="195"/>
      <c r="CR41" s="195"/>
      <c r="CS41" s="195"/>
      <c r="CT41" s="195"/>
      <c r="CU41" s="195"/>
      <c r="CV41" s="195"/>
      <c r="CW41" s="195"/>
      <c r="CX41" s="195"/>
      <c r="CY41" s="195"/>
      <c r="CZ41" s="195"/>
      <c r="DA41" s="195"/>
      <c r="DB41" s="195"/>
      <c r="DC41" s="195"/>
      <c r="DD41" s="195"/>
      <c r="DE41" s="195"/>
      <c r="DF41" s="195"/>
      <c r="DG41" s="195"/>
      <c r="DH41" s="195"/>
      <c r="DI41" s="195"/>
      <c r="DJ41" s="195"/>
      <c r="DK41" s="195"/>
      <c r="DL41" s="195"/>
      <c r="DM41" s="197"/>
      <c r="DN41" s="198"/>
      <c r="DO41" s="198"/>
      <c r="DP41" s="198"/>
      <c r="DQ41" s="198"/>
      <c r="DR41" s="198"/>
      <c r="DS41" s="198"/>
      <c r="DT41" s="198"/>
      <c r="DU41" s="196">
        <f>39+36+1</f>
        <v>76</v>
      </c>
      <c r="DV41" s="195"/>
      <c r="DW41" s="195">
        <v>100</v>
      </c>
      <c r="DX41" s="195"/>
      <c r="DY41" s="195"/>
      <c r="DZ41" s="195">
        <f>92+48</f>
        <v>140</v>
      </c>
      <c r="EA41" s="195"/>
      <c r="EB41" s="195">
        <v>100</v>
      </c>
      <c r="EC41" s="195">
        <f>84+40</f>
        <v>124</v>
      </c>
      <c r="ED41" s="195">
        <v>92</v>
      </c>
      <c r="EE41" s="195">
        <v>92</v>
      </c>
      <c r="EF41" s="195">
        <v>90</v>
      </c>
      <c r="EG41" s="195">
        <v>84</v>
      </c>
      <c r="EH41" s="195"/>
      <c r="EI41" s="195">
        <v>92</v>
      </c>
      <c r="EJ41" s="195"/>
      <c r="EK41" s="195"/>
      <c r="EL41" s="195"/>
      <c r="EM41" s="195"/>
      <c r="EN41" s="195"/>
      <c r="EO41" s="195"/>
      <c r="EP41" s="195"/>
      <c r="EQ41" s="195"/>
      <c r="ER41" s="195"/>
      <c r="ES41" s="195"/>
      <c r="ET41" s="195"/>
      <c r="EU41" s="195"/>
      <c r="EV41" s="195"/>
      <c r="EW41" s="195"/>
      <c r="EX41" s="195"/>
      <c r="EY41" s="195"/>
      <c r="EZ41" s="195"/>
      <c r="FA41" s="195"/>
    </row>
    <row r="42" spans="1:157" s="143" customFormat="1" ht="21" customHeight="1">
      <c r="A42" s="294" t="s">
        <v>88</v>
      </c>
      <c r="B42" s="294"/>
      <c r="C42" s="294"/>
      <c r="D42" s="294"/>
      <c r="E42" s="196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5"/>
      <c r="BN42" s="195"/>
      <c r="BO42" s="195"/>
      <c r="BP42" s="195"/>
      <c r="BQ42" s="195"/>
      <c r="BR42" s="195"/>
      <c r="BS42" s="195"/>
      <c r="BT42" s="195"/>
      <c r="BU42" s="195"/>
      <c r="BV42" s="195"/>
      <c r="BW42" s="195"/>
      <c r="BX42" s="195"/>
      <c r="BY42" s="195"/>
      <c r="BZ42" s="195"/>
      <c r="CA42" s="195"/>
      <c r="CB42" s="195"/>
      <c r="CC42" s="195"/>
      <c r="CD42" s="195"/>
      <c r="CE42" s="195"/>
      <c r="CF42" s="195"/>
      <c r="CG42" s="195"/>
      <c r="CH42" s="195"/>
      <c r="CI42" s="195"/>
      <c r="CJ42" s="195"/>
      <c r="CK42" s="195"/>
      <c r="CL42" s="195"/>
      <c r="CM42" s="195"/>
      <c r="CN42" s="195"/>
      <c r="CO42" s="195"/>
      <c r="CP42" s="195"/>
      <c r="CQ42" s="195"/>
      <c r="CR42" s="195"/>
      <c r="CS42" s="195"/>
      <c r="CT42" s="195"/>
      <c r="CU42" s="195"/>
      <c r="CV42" s="195"/>
      <c r="CW42" s="195"/>
      <c r="CX42" s="195"/>
      <c r="CY42" s="195"/>
      <c r="CZ42" s="195"/>
      <c r="DA42" s="195"/>
      <c r="DB42" s="195"/>
      <c r="DC42" s="195"/>
      <c r="DD42" s="195"/>
      <c r="DE42" s="195"/>
      <c r="DF42" s="195"/>
      <c r="DG42" s="195"/>
      <c r="DH42" s="195"/>
      <c r="DI42" s="195"/>
      <c r="DJ42" s="195"/>
      <c r="DK42" s="195"/>
      <c r="DL42" s="195"/>
      <c r="DM42" s="197"/>
      <c r="DN42" s="199"/>
      <c r="DO42" s="199"/>
      <c r="DP42" s="199"/>
      <c r="DQ42" s="199"/>
      <c r="DR42" s="199"/>
      <c r="DS42" s="199"/>
      <c r="DT42" s="199"/>
      <c r="DU42" s="196"/>
      <c r="DV42" s="195"/>
      <c r="DW42" s="195"/>
      <c r="DX42" s="195"/>
      <c r="DY42" s="195"/>
      <c r="DZ42" s="195"/>
      <c r="EA42" s="195"/>
      <c r="EB42" s="195"/>
      <c r="EC42" s="195"/>
      <c r="ED42" s="195"/>
      <c r="EE42" s="195">
        <v>1</v>
      </c>
      <c r="EF42" s="195"/>
      <c r="EG42" s="195"/>
      <c r="EH42" s="195"/>
      <c r="EI42" s="195"/>
      <c r="EJ42" s="195"/>
      <c r="EK42" s="195"/>
      <c r="EL42" s="195"/>
      <c r="EM42" s="195"/>
      <c r="EN42" s="195"/>
      <c r="EO42" s="195"/>
      <c r="EP42" s="195"/>
      <c r="EQ42" s="195"/>
      <c r="ER42" s="195"/>
      <c r="ES42" s="195"/>
      <c r="ET42" s="195"/>
      <c r="EU42" s="195"/>
      <c r="EV42" s="195"/>
      <c r="EW42" s="195"/>
      <c r="EX42" s="195"/>
      <c r="EY42" s="195"/>
      <c r="EZ42" s="195"/>
      <c r="FA42" s="195"/>
    </row>
    <row r="43" spans="1:157" ht="15">
      <c r="C43" s="117" t="s">
        <v>89</v>
      </c>
      <c r="AI43" s="118" t="str">
        <f t="shared" ref="AI43:AY43" si="142">IF(WEEKDAY(AI2,1)=1,"OFF","W")</f>
        <v>W</v>
      </c>
      <c r="AJ43" s="118" t="str">
        <f t="shared" si="142"/>
        <v>W</v>
      </c>
      <c r="AK43" s="118" t="str">
        <f t="shared" si="142"/>
        <v>W</v>
      </c>
      <c r="AL43" s="118" t="str">
        <f t="shared" si="142"/>
        <v>W</v>
      </c>
      <c r="AM43" s="118" t="str">
        <f t="shared" si="142"/>
        <v>OFF</v>
      </c>
      <c r="AN43" s="118" t="str">
        <f t="shared" si="142"/>
        <v>W</v>
      </c>
      <c r="AO43" s="118" t="str">
        <f t="shared" si="142"/>
        <v>W</v>
      </c>
      <c r="AP43" s="118" t="str">
        <f t="shared" si="142"/>
        <v>W</v>
      </c>
      <c r="AQ43" s="118" t="str">
        <f t="shared" si="142"/>
        <v>W</v>
      </c>
      <c r="AR43" s="118" t="str">
        <f t="shared" si="142"/>
        <v>W</v>
      </c>
      <c r="AS43" s="118" t="str">
        <f t="shared" si="142"/>
        <v>W</v>
      </c>
      <c r="AT43" s="118" t="str">
        <f t="shared" si="142"/>
        <v>OFF</v>
      </c>
      <c r="AU43" s="118" t="str">
        <f t="shared" si="142"/>
        <v>W</v>
      </c>
      <c r="AV43" s="118" t="str">
        <f t="shared" si="142"/>
        <v>W</v>
      </c>
      <c r="AW43" s="118" t="str">
        <f t="shared" si="142"/>
        <v>W</v>
      </c>
      <c r="AX43" s="118" t="str">
        <f t="shared" si="142"/>
        <v>W</v>
      </c>
      <c r="AY43" s="118" t="str">
        <f t="shared" si="142"/>
        <v>W</v>
      </c>
      <c r="AZ43" s="119" t="s">
        <v>90</v>
      </c>
      <c r="BA43" s="118" t="str">
        <f t="shared" ref="BA43:BM43" si="143">IF(WEEKDAY(BA2,1)=1,"OFF","W")</f>
        <v>OFF</v>
      </c>
      <c r="BB43" s="118" t="str">
        <f t="shared" si="143"/>
        <v>W</v>
      </c>
      <c r="BC43" s="118" t="str">
        <f t="shared" si="143"/>
        <v>W</v>
      </c>
      <c r="BD43" s="118" t="str">
        <f t="shared" si="143"/>
        <v>W</v>
      </c>
      <c r="BE43" s="118" t="str">
        <f t="shared" si="143"/>
        <v>W</v>
      </c>
      <c r="BF43" s="118" t="str">
        <f t="shared" si="143"/>
        <v>W</v>
      </c>
      <c r="BG43" s="118" t="str">
        <f t="shared" si="143"/>
        <v>W</v>
      </c>
      <c r="BH43" s="118" t="str">
        <f t="shared" si="143"/>
        <v>OFF</v>
      </c>
      <c r="BI43" s="118" t="str">
        <f t="shared" si="143"/>
        <v>W</v>
      </c>
      <c r="BJ43" s="118" t="str">
        <f t="shared" si="143"/>
        <v>W</v>
      </c>
      <c r="BK43" s="118" t="str">
        <f t="shared" si="143"/>
        <v>W</v>
      </c>
      <c r="BL43" s="118" t="str">
        <f t="shared" si="143"/>
        <v>W</v>
      </c>
      <c r="BM43" s="118" t="str">
        <f t="shared" si="143"/>
        <v>W</v>
      </c>
    </row>
    <row r="44" spans="1:157" s="268" customFormat="1" ht="15">
      <c r="C44" s="268" t="s">
        <v>91</v>
      </c>
      <c r="DR44" s="268">
        <v>19868</v>
      </c>
      <c r="DS44" s="268">
        <v>9633</v>
      </c>
      <c r="DT44" s="268">
        <v>18329</v>
      </c>
      <c r="DU44" s="268">
        <v>14276</v>
      </c>
      <c r="DV44" s="268">
        <v>19133</v>
      </c>
      <c r="DW44" s="268">
        <v>13853</v>
      </c>
      <c r="DX44" s="268">
        <v>2933</v>
      </c>
      <c r="DY44" s="268">
        <v>10548</v>
      </c>
      <c r="DZ44" s="268">
        <v>4066</v>
      </c>
      <c r="EA44" s="268">
        <v>15413</v>
      </c>
      <c r="EB44" s="268">
        <v>19396</v>
      </c>
      <c r="EC44" s="268">
        <v>13057</v>
      </c>
      <c r="ED44" s="268">
        <v>7505</v>
      </c>
      <c r="EE44" s="268">
        <v>29057</v>
      </c>
      <c r="EF44" s="268">
        <v>16699</v>
      </c>
      <c r="EG44" s="268">
        <v>1480</v>
      </c>
      <c r="EH44" s="268">
        <v>11501</v>
      </c>
    </row>
    <row r="45" spans="1:157" s="269" customFormat="1" ht="15">
      <c r="C45" s="269" t="s">
        <v>92</v>
      </c>
      <c r="DR45" s="269">
        <v>2638</v>
      </c>
      <c r="DS45" s="269">
        <v>2854</v>
      </c>
      <c r="DT45" s="269">
        <v>1237</v>
      </c>
      <c r="DU45" s="269">
        <v>2109</v>
      </c>
      <c r="DV45" s="269">
        <v>2326</v>
      </c>
      <c r="DW45" s="269">
        <v>2488</v>
      </c>
      <c r="DX45" s="269">
        <v>0</v>
      </c>
      <c r="DY45" s="269">
        <v>3412</v>
      </c>
      <c r="DZ45" s="269">
        <v>0</v>
      </c>
      <c r="EA45" s="269">
        <v>2855</v>
      </c>
      <c r="EB45" s="269">
        <v>3011</v>
      </c>
      <c r="EC45" s="269">
        <v>2285</v>
      </c>
      <c r="ED45" s="269">
        <v>2370</v>
      </c>
      <c r="EE45" s="269">
        <v>2338</v>
      </c>
      <c r="EF45" s="269">
        <v>2140</v>
      </c>
      <c r="EG45" s="269">
        <v>0</v>
      </c>
      <c r="EH45" s="269">
        <v>2514</v>
      </c>
    </row>
    <row r="48" spans="1:157" ht="15"/>
    <row r="49" spans="59:82">
      <c r="BZ49">
        <v>5956</v>
      </c>
      <c r="CB49">
        <v>4690</v>
      </c>
      <c r="CD49">
        <v>5664</v>
      </c>
    </row>
    <row r="51" spans="59:82">
      <c r="BZ51">
        <f>2554/8</f>
        <v>319.25</v>
      </c>
      <c r="CB51">
        <f>2554/8</f>
        <v>319.25</v>
      </c>
      <c r="CD51">
        <f>2554/8</f>
        <v>319.25</v>
      </c>
    </row>
    <row r="52" spans="59:82">
      <c r="BZ52">
        <f>BZ51+BZ49</f>
        <v>6275.25</v>
      </c>
    </row>
    <row r="54" spans="59:82">
      <c r="BZ54">
        <v>6241</v>
      </c>
      <c r="CB54">
        <v>6241</v>
      </c>
    </row>
    <row r="56" spans="59:82">
      <c r="BG56">
        <v>4690</v>
      </c>
      <c r="BH56" t="s">
        <v>93</v>
      </c>
    </row>
    <row r="57" spans="59:82">
      <c r="BG57">
        <v>612</v>
      </c>
      <c r="BH57" t="s">
        <v>94</v>
      </c>
      <c r="BZ57">
        <f>BZ52-BZ54</f>
        <v>34.25</v>
      </c>
    </row>
    <row r="58" spans="59:82">
      <c r="BG58">
        <f>2554/8</f>
        <v>319.25</v>
      </c>
      <c r="BH58" t="s">
        <v>95</v>
      </c>
    </row>
    <row r="60" spans="59:82">
      <c r="BG60">
        <f>SUM(BG56:BG58)</f>
        <v>5621.25</v>
      </c>
      <c r="BH60" t="s">
        <v>96</v>
      </c>
    </row>
    <row r="61" spans="59:82">
      <c r="BG61" s="182">
        <v>6241</v>
      </c>
      <c r="BH61" t="s">
        <v>97</v>
      </c>
    </row>
    <row r="62" spans="59:82">
      <c r="BG62">
        <f>(56+284)+(36+178)</f>
        <v>554</v>
      </c>
      <c r="BH62" t="s">
        <v>98</v>
      </c>
    </row>
    <row r="64" spans="59:82">
      <c r="BG64" s="182">
        <f>BG62+BG60</f>
        <v>6175.25</v>
      </c>
      <c r="BH64" t="s">
        <v>99</v>
      </c>
    </row>
    <row r="66" spans="59:60">
      <c r="BG66">
        <f>BG61-BG64</f>
        <v>65.75</v>
      </c>
      <c r="BH66" t="s">
        <v>100</v>
      </c>
    </row>
    <row r="67" spans="59:60">
      <c r="BG67">
        <f>31</f>
        <v>31</v>
      </c>
      <c r="BH67" t="s">
        <v>101</v>
      </c>
    </row>
    <row r="69" spans="59:60">
      <c r="BG69">
        <f>BG66-BG67</f>
        <v>34.75</v>
      </c>
      <c r="BH69" t="s">
        <v>102</v>
      </c>
    </row>
  </sheetData>
  <autoFilter ref="A2:CR45" xr:uid="{5431A617-E37A-405C-BE5F-F2C988907BB6}"/>
  <mergeCells count="6">
    <mergeCell ref="A3:A18"/>
    <mergeCell ref="A20:A30"/>
    <mergeCell ref="A42:D42"/>
    <mergeCell ref="A39:D39"/>
    <mergeCell ref="A40:D40"/>
    <mergeCell ref="A41:D41"/>
  </mergeCells>
  <conditionalFormatting sqref="E1:BL1">
    <cfRule type="expression" dxfId="19" priority="7">
      <formula>#REF!="✓ All OK"</formula>
    </cfRule>
  </conditionalFormatting>
  <conditionalFormatting sqref="E38:FA38">
    <cfRule type="expression" dxfId="18" priority="20">
      <formula>#REF!="✓ All OK"</formula>
    </cfRule>
  </conditionalFormatting>
  <conditionalFormatting sqref="AI1:BL1">
    <cfRule type="expression" dxfId="17" priority="1">
      <formula>AI$34&gt;0</formula>
    </cfRule>
    <cfRule type="expression" dxfId="16" priority="2">
      <formula>AI$34&lt;0</formula>
    </cfRule>
    <cfRule type="expression" dxfId="15" priority="3">
      <formula>AND(AI$34=0,COUNT(AI$3:AI$13,AI$20:AI$30)&gt;0)</formula>
    </cfRule>
    <cfRule type="cellIs" dxfId="14" priority="4" operator="greaterThan">
      <formula>0</formula>
    </cfRule>
    <cfRule type="cellIs" dxfId="13" priority="5" operator="lessThan">
      <formula>0</formula>
    </cfRule>
    <cfRule type="cellIs" dxfId="12" priority="6" operator="equal">
      <formula>0</formula>
    </cfRule>
  </conditionalFormatting>
  <conditionalFormatting sqref="AI33:FA33">
    <cfRule type="expression" dxfId="11" priority="17">
      <formula>AI$33&gt;$D$33</formula>
    </cfRule>
    <cfRule type="expression" dxfId="10" priority="18">
      <formula>AND(AI$33&lt;$D$33,AI$33&gt;0)</formula>
    </cfRule>
  </conditionalFormatting>
  <conditionalFormatting sqref="AI34:FA34 AI37:FA38">
    <cfRule type="cellIs" dxfId="9" priority="11" operator="greaterThan">
      <formula>0</formula>
    </cfRule>
    <cfRule type="cellIs" dxfId="8" priority="12" operator="lessThan">
      <formula>0</formula>
    </cfRule>
    <cfRule type="cellIs" dxfId="7" priority="13" operator="equal">
      <formula>0</formula>
    </cfRule>
  </conditionalFormatting>
  <conditionalFormatting sqref="AI37:FA38">
    <cfRule type="expression" dxfId="6" priority="8">
      <formula>AI$34&gt;0</formula>
    </cfRule>
    <cfRule type="expression" dxfId="5" priority="9">
      <formula>AI$34&lt;0</formula>
    </cfRule>
    <cfRule type="expression" dxfId="4" priority="10">
      <formula>AND(AI$34=0,COUNT(AI$3:AI$13,AI$20:AI$30)&gt;0)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4556-865D-4E4C-8E9A-3E6212E5144B}">
  <dimension ref="A1:E28"/>
  <sheetViews>
    <sheetView zoomScale="85" workbookViewId="0">
      <pane ySplit="2" topLeftCell="A3" activePane="bottomLeft" state="frozen"/>
      <selection pane="bottomLeft" activeCell="H37" sqref="H37"/>
    </sheetView>
  </sheetViews>
  <sheetFormatPr defaultColWidth="8.85546875" defaultRowHeight="14.45"/>
  <cols>
    <col min="1" max="1" width="17" customWidth="1"/>
    <col min="2" max="2" width="30" customWidth="1"/>
    <col min="3" max="3" width="16.42578125" customWidth="1"/>
    <col min="4" max="5" width="9.42578125" customWidth="1"/>
  </cols>
  <sheetData>
    <row r="1" spans="1:5" ht="6" customHeight="1" thickBot="1">
      <c r="A1" s="43"/>
      <c r="B1" s="43"/>
      <c r="C1" s="43"/>
      <c r="D1" s="43"/>
      <c r="E1" s="43"/>
    </row>
    <row r="2" spans="1:5" ht="39.950000000000003" customHeight="1" thickBot="1">
      <c r="A2" s="53"/>
      <c r="B2" s="54" t="s">
        <v>1</v>
      </c>
      <c r="C2" s="54" t="s">
        <v>103</v>
      </c>
      <c r="D2" s="54" t="s">
        <v>104</v>
      </c>
      <c r="E2" s="54" t="s">
        <v>105</v>
      </c>
    </row>
    <row r="3" spans="1:5" ht="20.100000000000001" customHeight="1">
      <c r="A3" s="324" t="s">
        <v>13</v>
      </c>
      <c r="B3" s="50" t="s">
        <v>15</v>
      </c>
      <c r="C3" s="51">
        <v>14</v>
      </c>
      <c r="D3" s="52">
        <v>8</v>
      </c>
      <c r="E3" s="52">
        <v>6</v>
      </c>
    </row>
    <row r="4" spans="1:5" ht="20.100000000000001" customHeight="1">
      <c r="A4" s="325"/>
      <c r="B4" s="44" t="s">
        <v>18</v>
      </c>
      <c r="C4" s="45">
        <v>24</v>
      </c>
      <c r="D4" s="46">
        <v>29</v>
      </c>
      <c r="E4" s="46">
        <v>14</v>
      </c>
    </row>
    <row r="5" spans="1:5" ht="20.100000000000001" customHeight="1">
      <c r="A5" s="325"/>
      <c r="B5" s="44" t="s">
        <v>25</v>
      </c>
      <c r="C5" s="45">
        <v>7</v>
      </c>
      <c r="D5" s="46">
        <v>3</v>
      </c>
      <c r="E5" s="46">
        <v>4</v>
      </c>
    </row>
    <row r="6" spans="1:5" ht="20.100000000000001" customHeight="1">
      <c r="A6" s="325"/>
      <c r="B6" s="44" t="s">
        <v>27</v>
      </c>
      <c r="C6" s="45">
        <v>11</v>
      </c>
      <c r="D6" s="46">
        <v>11</v>
      </c>
      <c r="E6" s="46">
        <v>0</v>
      </c>
    </row>
    <row r="7" spans="1:5" ht="20.100000000000001" customHeight="1">
      <c r="A7" s="325"/>
      <c r="B7" s="44" t="s">
        <v>28</v>
      </c>
      <c r="C7" s="45">
        <v>6</v>
      </c>
      <c r="D7" s="46">
        <v>2</v>
      </c>
      <c r="E7" s="46">
        <v>4</v>
      </c>
    </row>
    <row r="8" spans="1:5" ht="20.100000000000001" customHeight="1">
      <c r="A8" s="325"/>
      <c r="B8" s="44" t="s">
        <v>30</v>
      </c>
      <c r="C8" s="45">
        <v>16</v>
      </c>
      <c r="D8" s="46">
        <v>2</v>
      </c>
      <c r="E8" s="46">
        <v>14</v>
      </c>
    </row>
    <row r="9" spans="1:5" ht="20.100000000000001" customHeight="1">
      <c r="A9" s="325"/>
      <c r="B9" s="44" t="s">
        <v>32</v>
      </c>
      <c r="C9" s="45">
        <v>22</v>
      </c>
      <c r="D9" s="46">
        <v>1</v>
      </c>
      <c r="E9" s="46">
        <v>21</v>
      </c>
    </row>
    <row r="10" spans="1:5" ht="20.100000000000001" customHeight="1">
      <c r="A10" s="325"/>
      <c r="B10" s="44" t="s">
        <v>38</v>
      </c>
      <c r="C10" s="45">
        <v>9</v>
      </c>
      <c r="D10" s="46">
        <v>1</v>
      </c>
      <c r="E10" s="46">
        <v>8</v>
      </c>
    </row>
    <row r="11" spans="1:5" ht="20.100000000000001" customHeight="1">
      <c r="A11" s="325"/>
      <c r="B11" s="44" t="s">
        <v>39</v>
      </c>
      <c r="C11" s="45">
        <v>22</v>
      </c>
      <c r="D11" s="46">
        <v>12</v>
      </c>
      <c r="E11" s="46">
        <v>10</v>
      </c>
    </row>
    <row r="12" spans="1:5" ht="20.100000000000001" customHeight="1">
      <c r="A12" s="325"/>
      <c r="B12" s="44" t="s">
        <v>40</v>
      </c>
      <c r="C12" s="45">
        <v>14</v>
      </c>
      <c r="D12" s="46">
        <v>9</v>
      </c>
      <c r="E12" s="46">
        <v>5</v>
      </c>
    </row>
    <row r="13" spans="1:5" ht="20.100000000000001" customHeight="1">
      <c r="A13" s="326"/>
      <c r="B13" s="55" t="s">
        <v>41</v>
      </c>
      <c r="C13" s="56">
        <v>11</v>
      </c>
      <c r="D13" s="57">
        <v>6</v>
      </c>
      <c r="E13" s="57">
        <v>5</v>
      </c>
    </row>
    <row r="14" spans="1:5" ht="20.100000000000001" customHeight="1" thickBot="1">
      <c r="A14" s="58"/>
      <c r="B14" s="59" t="s">
        <v>106</v>
      </c>
      <c r="C14" s="60">
        <f>SUM(C3:C13)</f>
        <v>156</v>
      </c>
      <c r="D14" s="60">
        <f t="shared" ref="D14:E14" si="0">SUM(D3:D13)</f>
        <v>84</v>
      </c>
      <c r="E14" s="60">
        <f t="shared" si="0"/>
        <v>91</v>
      </c>
    </row>
    <row r="15" spans="1:5" ht="20.100000000000001" customHeight="1" thickBot="1">
      <c r="A15" s="64"/>
      <c r="B15" s="65" t="s">
        <v>54</v>
      </c>
      <c r="C15" s="66">
        <v>21</v>
      </c>
      <c r="D15" s="67">
        <v>20</v>
      </c>
      <c r="E15" s="67">
        <v>1</v>
      </c>
    </row>
    <row r="16" spans="1:5" ht="20.100000000000001" customHeight="1">
      <c r="A16" s="327" t="s">
        <v>107</v>
      </c>
      <c r="B16" s="61" t="s">
        <v>55</v>
      </c>
      <c r="C16" s="62">
        <v>5</v>
      </c>
      <c r="D16" s="63">
        <v>1</v>
      </c>
      <c r="E16" s="63">
        <v>4</v>
      </c>
    </row>
    <row r="17" spans="1:5" ht="20.100000000000001" customHeight="1">
      <c r="A17" s="328"/>
      <c r="B17" s="47" t="s">
        <v>56</v>
      </c>
      <c r="C17" s="48">
        <v>9</v>
      </c>
      <c r="D17" s="49">
        <v>3</v>
      </c>
      <c r="E17" s="49">
        <v>6</v>
      </c>
    </row>
    <row r="18" spans="1:5" ht="20.100000000000001" customHeight="1">
      <c r="A18" s="328"/>
      <c r="B18" s="47" t="s">
        <v>57</v>
      </c>
      <c r="C18" s="48">
        <v>6</v>
      </c>
      <c r="D18" s="49">
        <v>6</v>
      </c>
      <c r="E18" s="49">
        <v>0</v>
      </c>
    </row>
    <row r="19" spans="1:5" ht="20.100000000000001" customHeight="1">
      <c r="A19" s="328"/>
      <c r="B19" s="47" t="s">
        <v>58</v>
      </c>
      <c r="C19" s="48">
        <v>4</v>
      </c>
      <c r="D19" s="49">
        <v>3</v>
      </c>
      <c r="E19" s="49">
        <v>1</v>
      </c>
    </row>
    <row r="20" spans="1:5" ht="20.100000000000001" customHeight="1">
      <c r="A20" s="328"/>
      <c r="B20" s="47" t="s">
        <v>59</v>
      </c>
      <c r="C20" s="48">
        <v>1</v>
      </c>
      <c r="D20" s="49">
        <v>0</v>
      </c>
      <c r="E20" s="49">
        <v>1</v>
      </c>
    </row>
    <row r="21" spans="1:5" ht="20.100000000000001" customHeight="1">
      <c r="A21" s="328"/>
      <c r="B21" s="47" t="s">
        <v>60</v>
      </c>
      <c r="C21" s="48">
        <v>2</v>
      </c>
      <c r="D21" s="49">
        <v>2</v>
      </c>
      <c r="E21" s="49">
        <v>0</v>
      </c>
    </row>
    <row r="22" spans="1:5" ht="20.100000000000001" customHeight="1">
      <c r="A22" s="328"/>
      <c r="B22" s="47" t="s">
        <v>61</v>
      </c>
      <c r="C22" s="48">
        <v>2</v>
      </c>
      <c r="D22" s="49">
        <v>1</v>
      </c>
      <c r="E22" s="49">
        <v>1</v>
      </c>
    </row>
    <row r="23" spans="1:5" ht="20.100000000000001" customHeight="1">
      <c r="A23" s="328"/>
      <c r="B23" s="47" t="s">
        <v>62</v>
      </c>
      <c r="C23" s="48">
        <v>2</v>
      </c>
      <c r="D23" s="49">
        <v>2</v>
      </c>
      <c r="E23" s="49">
        <v>0</v>
      </c>
    </row>
    <row r="24" spans="1:5" ht="20.100000000000001" customHeight="1">
      <c r="A24" s="328"/>
      <c r="B24" s="47" t="s">
        <v>63</v>
      </c>
      <c r="C24" s="48">
        <v>9</v>
      </c>
      <c r="D24" s="49">
        <v>7</v>
      </c>
      <c r="E24" s="49">
        <v>2</v>
      </c>
    </row>
    <row r="25" spans="1:5" ht="20.100000000000001" customHeight="1">
      <c r="A25" s="328"/>
      <c r="B25" s="47" t="s">
        <v>26</v>
      </c>
      <c r="C25" s="48">
        <v>2</v>
      </c>
      <c r="D25" s="49">
        <v>2</v>
      </c>
      <c r="E25" s="49">
        <v>0</v>
      </c>
    </row>
    <row r="26" spans="1:5" ht="20.100000000000001" customHeight="1">
      <c r="A26" s="329"/>
      <c r="B26" s="68"/>
      <c r="C26" s="69"/>
      <c r="D26" s="70"/>
      <c r="E26" s="70"/>
    </row>
    <row r="27" spans="1:5" ht="20.100000000000001" customHeight="1" thickBot="1">
      <c r="A27" s="74"/>
      <c r="B27" s="75" t="s">
        <v>106</v>
      </c>
      <c r="C27" s="76">
        <f>SUM(C15:C26)</f>
        <v>63</v>
      </c>
      <c r="D27" s="76">
        <f>SUM(D15:D26)</f>
        <v>47</v>
      </c>
      <c r="E27" s="76">
        <f>SUM(E15:E26)</f>
        <v>16</v>
      </c>
    </row>
    <row r="28" spans="1:5" ht="20.100000000000001" customHeight="1" thickBot="1">
      <c r="A28" s="71"/>
      <c r="B28" s="72" t="s">
        <v>108</v>
      </c>
      <c r="C28" s="73">
        <f>SUM(C27,C14)</f>
        <v>219</v>
      </c>
      <c r="D28" s="73">
        <f>SUM(D27,D14)</f>
        <v>131</v>
      </c>
      <c r="E28" s="73">
        <f>SUM(E27,E14)</f>
        <v>107</v>
      </c>
    </row>
  </sheetData>
  <mergeCells count="2">
    <mergeCell ref="A3:A13"/>
    <mergeCell ref="A16:A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A494-4408-4465-921F-727A632C4247}">
  <dimension ref="A1:G14"/>
  <sheetViews>
    <sheetView workbookViewId="0">
      <pane xSplit="1" topLeftCell="B1" activePane="topRight" state="frozen"/>
      <selection pane="topRight" activeCell="B9" sqref="B9"/>
    </sheetView>
  </sheetViews>
  <sheetFormatPr defaultRowHeight="14.45"/>
  <cols>
    <col min="1" max="1" width="31.85546875" customWidth="1"/>
    <col min="2" max="7" width="14.140625" customWidth="1"/>
  </cols>
  <sheetData>
    <row r="1" spans="1:7" ht="18.600000000000001">
      <c r="A1" s="115" t="s">
        <v>109</v>
      </c>
    </row>
    <row r="2" spans="1:7">
      <c r="A2" s="116"/>
    </row>
    <row r="4" spans="1:7" ht="15" thickBot="1">
      <c r="A4" s="120" t="s">
        <v>110</v>
      </c>
      <c r="B4" s="120" t="s">
        <v>111</v>
      </c>
      <c r="C4" s="120" t="s">
        <v>112</v>
      </c>
      <c r="D4" s="120" t="s">
        <v>113</v>
      </c>
      <c r="E4" s="120" t="s">
        <v>114</v>
      </c>
      <c r="F4" s="120" t="s">
        <v>115</v>
      </c>
      <c r="G4" s="120" t="s">
        <v>116</v>
      </c>
    </row>
    <row r="5" spans="1:7" ht="15" thickTop="1">
      <c r="A5" s="121" t="s">
        <v>117</v>
      </c>
      <c r="B5" s="122">
        <v>46204</v>
      </c>
      <c r="C5" s="122">
        <v>46211</v>
      </c>
      <c r="D5" s="122">
        <v>46218</v>
      </c>
      <c r="E5" s="122">
        <v>46225</v>
      </c>
      <c r="F5" s="122">
        <v>46232</v>
      </c>
      <c r="G5" s="123">
        <f>B5</f>
        <v>46204</v>
      </c>
    </row>
    <row r="6" spans="1:7">
      <c r="A6" s="124" t="s">
        <v>118</v>
      </c>
      <c r="B6" s="125">
        <v>46210</v>
      </c>
      <c r="C6" s="125">
        <v>46217</v>
      </c>
      <c r="D6" s="125">
        <v>46224</v>
      </c>
      <c r="E6" s="125">
        <v>46231</v>
      </c>
      <c r="F6" s="125">
        <v>46234</v>
      </c>
      <c r="G6" s="126">
        <f>F6</f>
        <v>46234</v>
      </c>
    </row>
    <row r="7" spans="1:7">
      <c r="A7" s="124" t="s">
        <v>119</v>
      </c>
      <c r="B7" s="127">
        <f>COUNTIFS('Daily Tracker'!$AI$2:$BM$2,"&gt;="&amp;B$5,'Daily Tracker'!$AI$2:$BM$2,"&lt;="&amp;B$6,'Daily Tracker'!$AI$43:$BM$43,"W",'Daily Tracker'!$AI$19:$BM$19,"&gt;0")</f>
        <v>6</v>
      </c>
      <c r="C7" s="127">
        <f>COUNTIFS('Daily Tracker'!$AI$2:$BM$2,"&gt;="&amp;C$5,'Daily Tracker'!$AI$2:$BM$2,"&lt;="&amp;C$6,'Daily Tracker'!$AI$43:$BM$43,"W",'Daily Tracker'!$AI$19:$BM$19,"&gt;0")</f>
        <v>6</v>
      </c>
      <c r="D7" s="127">
        <f>COUNTIFS('Daily Tracker'!$AI$2:$BM$2,"&gt;="&amp;D$5,'Daily Tracker'!$AI$2:$BM$2,"&lt;="&amp;D$6,'Daily Tracker'!$AI$43:$BM$43,"W",'Daily Tracker'!$AI$19:$BM$19,"&gt;0")</f>
        <v>5</v>
      </c>
      <c r="E7" s="127">
        <f>COUNTIFS('Daily Tracker'!$AI$2:$BM$2,"&gt;="&amp;E$5,'Daily Tracker'!$AI$2:$BM$2,"&lt;="&amp;E$6,'Daily Tracker'!$AI$43:$BM$43,"W",'Daily Tracker'!$AI$19:$BM$19,"&gt;0")</f>
        <v>6</v>
      </c>
      <c r="F7" s="127">
        <f>COUNTIFS('Daily Tracker'!$AI$2:$BM$2,"&gt;="&amp;F$5,'Daily Tracker'!$AI$2:$BM$2,"&lt;="&amp;F$6,'Daily Tracker'!$AI$43:$BM$43,"W",'Daily Tracker'!$AI$19:$BM$19,"&gt;0")</f>
        <v>3</v>
      </c>
      <c r="G7" s="127">
        <f>COUNTIFS('Daily Tracker'!$AI$2:$BM$2,"&gt;="&amp;G$5,'Daily Tracker'!$AI$2:$BM$2,"&lt;="&amp;G$6,'Daily Tracker'!$AI$43:$BM$43,"W",'Daily Tracker'!$AI$19:$BM$19,"&gt;0")</f>
        <v>26</v>
      </c>
    </row>
    <row r="8" spans="1:7">
      <c r="A8" s="124" t="s">
        <v>120</v>
      </c>
      <c r="B8" s="128">
        <f>'Daily Tracker'!$D$19</f>
        <v>203</v>
      </c>
      <c r="C8" s="128">
        <f>'Daily Tracker'!$D$19</f>
        <v>203</v>
      </c>
      <c r="D8" s="128">
        <f>'Daily Tracker'!$D$19</f>
        <v>203</v>
      </c>
      <c r="E8" s="128">
        <f>'Daily Tracker'!$D$19</f>
        <v>203</v>
      </c>
      <c r="F8" s="128">
        <f>'Daily Tracker'!$D$19</f>
        <v>203</v>
      </c>
      <c r="G8" s="128">
        <f>'Daily Tracker'!$D$19</f>
        <v>203</v>
      </c>
    </row>
    <row r="9" spans="1:7">
      <c r="A9" s="129" t="s">
        <v>121</v>
      </c>
      <c r="B9" s="130">
        <f>IFERROR(AVERAGEIFS('Daily Tracker'!$AI$19:$BM$19,'Daily Tracker'!$AI$2:$BM$2,"&gt;="&amp;B$5,'Daily Tracker'!$AI$2:$BM$2,"&lt;="&amp;B$6,'Daily Tracker'!$AI$43:$BM$43,"W",'Daily Tracker'!$AI$19:$BM$19,"&gt;0"),"-")</f>
        <v>161.66666666666666</v>
      </c>
      <c r="C9" s="130">
        <f>IFERROR(AVERAGEIFS('Daily Tracker'!$AI$19:$BM$19,'Daily Tracker'!$AI$2:$BM$2,"&gt;="&amp;C$5,'Daily Tracker'!$AI$2:$BM$2,"&lt;="&amp;C$6,'Daily Tracker'!$AI$43:$BM$43,"W",'Daily Tracker'!$AI$19:$BM$19,"&gt;0"),"-")</f>
        <v>166</v>
      </c>
      <c r="D9" s="130">
        <f>IFERROR(AVERAGEIFS('Daily Tracker'!$AI$19:$BM$19,'Daily Tracker'!$AI$2:$BM$2,"&gt;="&amp;D$5,'Daily Tracker'!$AI$2:$BM$2,"&lt;="&amp;D$6,'Daily Tracker'!$AI$43:$BM$43,"W",'Daily Tracker'!$AI$19:$BM$19,"&gt;0"),"-")</f>
        <v>163.6</v>
      </c>
      <c r="E9" s="130">
        <f>IFERROR(AVERAGEIFS('Daily Tracker'!$AI$19:$BM$19,'Daily Tracker'!$AI$2:$BM$2,"&gt;="&amp;E$5,'Daily Tracker'!$AI$2:$BM$2,"&lt;="&amp;E$6,'Daily Tracker'!$AI$43:$BM$43,"W",'Daily Tracker'!$AI$19:$BM$19,"&gt;0"),"-")</f>
        <v>168.66666666666666</v>
      </c>
      <c r="F9" s="130">
        <f>IFERROR(AVERAGEIFS('Daily Tracker'!$AI$19:$BM$19,'Daily Tracker'!$AI$2:$BM$2,"&gt;="&amp;F$5,'Daily Tracker'!$AI$2:$BM$2,"&lt;="&amp;F$6,'Daily Tracker'!$AI$43:$BM$43,"W",'Daily Tracker'!$AI$19:$BM$19,"&gt;0"),"-")</f>
        <v>176</v>
      </c>
      <c r="G9" s="130">
        <f>IFERROR(AVERAGEIFS('Daily Tracker'!$AI$19:$BM$19,'Daily Tracker'!$AI$2:$BM$2,"&gt;="&amp;G$5,'Daily Tracker'!$AI$2:$BM$2,"&lt;="&amp;G$6,'Daily Tracker'!$AI$43:$BM$43,"W",'Daily Tracker'!$AI$19:$BM$19,"&gt;0"),"-")</f>
        <v>166.30769230769232</v>
      </c>
    </row>
    <row r="10" spans="1:7">
      <c r="A10" s="129" t="s">
        <v>122</v>
      </c>
      <c r="B10" s="130">
        <f>IF(B7=0,"-",B8-B9)</f>
        <v>41.333333333333343</v>
      </c>
      <c r="C10" s="130">
        <f t="shared" ref="C10:G10" si="0">IF(C7=0,"-",C8-C9)</f>
        <v>37</v>
      </c>
      <c r="D10" s="130">
        <f t="shared" si="0"/>
        <v>39.400000000000006</v>
      </c>
      <c r="E10" s="130">
        <f t="shared" si="0"/>
        <v>34.333333333333343</v>
      </c>
      <c r="F10" s="130">
        <f t="shared" si="0"/>
        <v>27</v>
      </c>
      <c r="G10" s="130">
        <f t="shared" si="0"/>
        <v>36.692307692307679</v>
      </c>
    </row>
    <row r="11" spans="1:7">
      <c r="A11" s="131" t="s">
        <v>123</v>
      </c>
      <c r="B11" s="132">
        <f>IF(B7=0,"-",B10/B8)</f>
        <v>0.2036124794745485</v>
      </c>
      <c r="C11" s="132">
        <f t="shared" ref="C11:G11" si="1">IF(C7=0,"-",C10/C8)</f>
        <v>0.18226600985221675</v>
      </c>
      <c r="D11" s="132">
        <f t="shared" si="1"/>
        <v>0.19408866995073895</v>
      </c>
      <c r="E11" s="132">
        <f t="shared" si="1"/>
        <v>0.16912972085385883</v>
      </c>
      <c r="F11" s="132">
        <f t="shared" si="1"/>
        <v>0.13300492610837439</v>
      </c>
      <c r="G11" s="132">
        <f t="shared" si="1"/>
        <v>0.18075028419855999</v>
      </c>
    </row>
    <row r="12" spans="1:7">
      <c r="A12" s="124" t="s">
        <v>124</v>
      </c>
      <c r="B12" s="133">
        <f>AVERAGEIFS('Daily Tracker'!$AI$36:$BM$36,'Daily Tracker'!$AI$2:$BM$2,"&gt;="&amp;B$5,'Daily Tracker'!$AI$2:$BM$2,"&lt;="&amp;B$6)</f>
        <v>2.8333333333333335</v>
      </c>
      <c r="C12" s="133">
        <f>AVERAGEIFS('Daily Tracker'!$AI$36:$BM$36,'Daily Tracker'!$AI$2:$BM$2,"&gt;="&amp;C$5,'Daily Tracker'!$AI$2:$BM$2,"&lt;="&amp;C$6)</f>
        <v>3.4</v>
      </c>
      <c r="D12" s="133">
        <f>AVERAGEIFS('Daily Tracker'!$AI$36:$BM$36,'Daily Tracker'!$AI$2:$BM$2,"&gt;="&amp;D$5,'Daily Tracker'!$AI$2:$BM$2,"&lt;="&amp;D$6)</f>
        <v>2.5</v>
      </c>
      <c r="E12" s="133">
        <f>AVERAGEIFS('Daily Tracker'!$AI$36:$BM$36,'Daily Tracker'!$AI$2:$BM$2,"&gt;="&amp;E$5,'Daily Tracker'!$AI$2:$BM$2,"&lt;="&amp;E$6)</f>
        <v>3</v>
      </c>
      <c r="F12" s="133">
        <f>SUMIFS('Daily Tracker'!$AI$36:$BM$36,'Daily Tracker'!$AI$2:$BM$2,"&gt;="&amp;F$5,'Daily Tracker'!$AI$2:$BM$2,"&lt;="&amp;F$6)</f>
        <v>5</v>
      </c>
      <c r="G12" s="133">
        <f>AVERAGEIFS('Daily Tracker'!$AI$36:$BM$36,'Daily Tracker'!$AI$2:$BM$2,"&gt;="&amp;G$5,'Daily Tracker'!$AI$2:$BM$2,"&lt;="&amp;G$6)</f>
        <v>2.9090909090909092</v>
      </c>
    </row>
    <row r="13" spans="1:7">
      <c r="A13" s="124" t="s">
        <v>125</v>
      </c>
      <c r="B13" s="134">
        <f>(AVERAGEIFS('Daily Tracker'!$AI$37:$BM$37,'Daily Tracker'!$AI$2:$BM$2,"&gt;="&amp;B$5,'Daily Tracker'!$AI$2:$BM$2,"&lt;="&amp;B$6))/8</f>
        <v>6.4642857142857144</v>
      </c>
      <c r="C13" s="134">
        <f>(AVERAGEIFS('Daily Tracker'!$AI$37:$BM$37,'Daily Tracker'!$AI$2:$BM$2,"&gt;="&amp;C$5,'Daily Tracker'!$AI$2:$BM$2,"&lt;="&amp;C$6))/8</f>
        <v>8.5714285714285712</v>
      </c>
      <c r="D13" s="134">
        <f>(AVERAGEIFS('Daily Tracker'!$AI$37:$BM$37,'Daily Tracker'!$AI$2:$BM$2,"&gt;="&amp;D$5,'Daily Tracker'!$AI$2:$BM$2,"&lt;="&amp;D$6))/8</f>
        <v>15.8125</v>
      </c>
      <c r="E13" s="134">
        <f>(AVERAGEIFS('Daily Tracker'!$AI$37:$BM$37,'Daily Tracker'!$AI$2:$BM$2,"&gt;="&amp;E$5,'Daily Tracker'!$AI$2:$BM$2,"&lt;="&amp;E$6))/8</f>
        <v>16.1875</v>
      </c>
      <c r="F13" s="134">
        <f>(SUMIFS('Daily Tracker'!$AI$37:$BM$37,'Daily Tracker'!$AI$2:$BM$2,"&gt;="&amp;F$5,'Daily Tracker'!$AI$2:$BM$2,"&lt;="&amp;F$6))/8</f>
        <v>48.5</v>
      </c>
      <c r="G13" s="134">
        <f>AVERAGEIFS('Daily Tracker'!$AI$37:$BM$37,'Daily Tracker'!$AI$2:$BM$2,"&gt;="&amp;G$5,'Daily Tracker'!$AI$2:$BM$2,"&lt;="&amp;G$6)/8</f>
        <v>12.064583333333333</v>
      </c>
    </row>
    <row r="14" spans="1:7">
      <c r="A14" s="135" t="s">
        <v>126</v>
      </c>
      <c r="B14" s="136">
        <f>COUNTIFS('Daily Tracker'!$AI$2:$BM$2,"&gt;="&amp;B$5,'Daily Tracker'!$AI$2:$BM$2,"&lt;="&amp;B$6,'Daily Tracker'!$AI$43:$BM$43,"OFF")</f>
        <v>1</v>
      </c>
      <c r="C14" s="136">
        <f>COUNTIFS('Daily Tracker'!$AI$2:$BM$2,"&gt;="&amp;C$5,'Daily Tracker'!$AI$2:$BM$2,"&lt;="&amp;C$6,'Daily Tracker'!$AI$43:$BM$43,"OFF")</f>
        <v>1</v>
      </c>
      <c r="D14" s="136">
        <f>COUNTIFS('Daily Tracker'!$AI$2:$BM$2,"&gt;="&amp;D$5,'Daily Tracker'!$AI$2:$BM$2,"&lt;="&amp;D$6,'Daily Tracker'!$AI$43:$BM$43,"OFF")</f>
        <v>2</v>
      </c>
      <c r="E14" s="136">
        <f>COUNTIFS('Daily Tracker'!$AI$2:$BM$2,"&gt;="&amp;E$5,'Daily Tracker'!$AI$2:$BM$2,"&lt;="&amp;E$6,'Daily Tracker'!$AI$43:$BM$43,"OFF")</f>
        <v>1</v>
      </c>
      <c r="F14" s="136">
        <f>COUNTIFS('Daily Tracker'!$AI$2:$BM$2,"&gt;="&amp;F$5,'Daily Tracker'!$AI$2:$BM$2,"&lt;="&amp;F$6,'Daily Tracker'!$AI$43:$BM$43,"OFF")</f>
        <v>0</v>
      </c>
      <c r="G14" s="136">
        <f>COUNTIFS('Daily Tracker'!$AI$2:$BM$2,"&gt;="&amp;G$5,'Daily Tracker'!$AI$2:$BM$2,"&lt;="&amp;G$6,'Daily Tracker'!$AI$43:$BM$43,"OFF")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353A-EA13-429D-BB50-FFD521B902F4}">
  <dimension ref="A1:BI30"/>
  <sheetViews>
    <sheetView zoomScale="85" zoomScaleNormal="85" workbookViewId="0">
      <selection activeCell="B8" sqref="B8"/>
    </sheetView>
  </sheetViews>
  <sheetFormatPr defaultRowHeight="14.45" outlineLevelRow="2"/>
  <cols>
    <col min="1" max="1" width="23.5703125" customWidth="1"/>
    <col min="2" max="5" width="16.42578125" customWidth="1"/>
  </cols>
  <sheetData>
    <row r="1" spans="1:5" ht="18.600000000000001">
      <c r="A1" s="115" t="s">
        <v>127</v>
      </c>
    </row>
    <row r="3" spans="1:5">
      <c r="A3" s="143" t="s">
        <v>128</v>
      </c>
      <c r="B3" s="146">
        <v>46233</v>
      </c>
    </row>
    <row r="5" spans="1:5">
      <c r="A5" s="342" t="s">
        <v>129</v>
      </c>
      <c r="B5" s="342"/>
      <c r="C5" s="342"/>
      <c r="D5" s="342"/>
      <c r="E5" s="342"/>
    </row>
    <row r="6" spans="1:5">
      <c r="A6" s="147" t="s">
        <v>45</v>
      </c>
      <c r="B6" s="148" t="s">
        <v>130</v>
      </c>
      <c r="C6" s="148" t="s">
        <v>47</v>
      </c>
      <c r="D6" s="148" t="s">
        <v>131</v>
      </c>
      <c r="E6" s="148" t="s">
        <v>132</v>
      </c>
    </row>
    <row r="7" spans="1:5">
      <c r="A7" t="s">
        <v>14</v>
      </c>
      <c r="B7">
        <f>SUMIF('Daily Tracker'!$B$3:$B$14,$A7,'Daily Tracker'!$D$3:$D$14)</f>
        <v>55</v>
      </c>
      <c r="C7" cm="1">
        <f t="array" ref="C7">SUMPRODUCT(('Daily Tracker'!$B$3:$B$14=$A7)*INDEX('Daily Tracker'!$E$3:$BL$14,0,MATCH($B$3,'Daily Tracker'!$E$2:$BL$2,0)))</f>
        <v>44</v>
      </c>
      <c r="D7" s="149">
        <f>C7-B7</f>
        <v>-11</v>
      </c>
      <c r="E7" s="150">
        <f>IFERROR(C7/B7,"")</f>
        <v>0.8</v>
      </c>
    </row>
    <row r="8" spans="1:5">
      <c r="A8" t="s">
        <v>17</v>
      </c>
      <c r="B8">
        <f>SUMIF('Daily Tracker'!$B$3:$B$14,$A8,'Daily Tracker'!$D$3:$D$14)</f>
        <v>60</v>
      </c>
      <c r="C8" cm="1">
        <f t="array" ref="C8">SUMPRODUCT(('Daily Tracker'!$B$3:$B$14=$A8)*INDEX('Daily Tracker'!$E$3:$BL$14,0,MATCH($B$3,'Daily Tracker'!$E$2:$BL$2,0)))</f>
        <v>64</v>
      </c>
      <c r="D8" s="149">
        <f t="shared" ref="D8:D9" si="0">C8-B8</f>
        <v>4</v>
      </c>
      <c r="E8" s="150">
        <f t="shared" ref="E8:E9" si="1">IFERROR(C8/B8,"")</f>
        <v>1.0666666666666667</v>
      </c>
    </row>
    <row r="9" spans="1:5">
      <c r="A9" t="s">
        <v>133</v>
      </c>
      <c r="B9">
        <f>SUMIF('Daily Tracker'!$B$3:$B$14,$A9,'Daily Tracker'!$D$3:$D$14)</f>
        <v>0</v>
      </c>
      <c r="C9" cm="1">
        <f t="array" ref="C9">SUMPRODUCT(('Daily Tracker'!$B$3:$B$14=$A9)*INDEX('Daily Tracker'!$E$3:$BL$14,0,MATCH($B$3,'Daily Tracker'!$E$2:$BL$2,0)))</f>
        <v>0</v>
      </c>
      <c r="D9" s="149">
        <f t="shared" si="0"/>
        <v>0</v>
      </c>
      <c r="E9" s="150" t="str">
        <f t="shared" si="1"/>
        <v/>
      </c>
    </row>
    <row r="10" spans="1:5">
      <c r="A10" t="s">
        <v>26</v>
      </c>
      <c r="B10">
        <f>SUMIF('Daily Tracker'!$B$3:$B$14,$A10,'Daily Tracker'!$D$3:$D$14)</f>
        <v>0</v>
      </c>
      <c r="C10" cm="1">
        <f t="array" ref="C10">SUMPRODUCT(('Daily Tracker'!$B$3:$B$14=$A10)*INDEX('Daily Tracker'!$E$3:$BL$14,0,MATCH($B$3,'Daily Tracker'!$E$2:$BL$2,0)))</f>
        <v>5</v>
      </c>
      <c r="D10" s="149">
        <f>C10-B10</f>
        <v>5</v>
      </c>
      <c r="E10" s="150" t="str">
        <f>IFERROR(C10/B10,"")</f>
        <v/>
      </c>
    </row>
    <row r="11" spans="1:5">
      <c r="A11" s="143" t="s">
        <v>108</v>
      </c>
      <c r="B11" s="143">
        <f>SUM(B7:B10)</f>
        <v>115</v>
      </c>
      <c r="C11" s="143">
        <f>SUM(C7:C10)</f>
        <v>113</v>
      </c>
      <c r="D11" s="151">
        <f>C11-B11</f>
        <v>-2</v>
      </c>
      <c r="E11" s="152">
        <f>IFERROR(C11/B11,"")</f>
        <v>0.9826086956521739</v>
      </c>
    </row>
    <row r="13" spans="1:5">
      <c r="A13" s="143" t="s">
        <v>134</v>
      </c>
      <c r="B13" s="153">
        <v>46204</v>
      </c>
      <c r="C13" s="154" t="s">
        <v>135</v>
      </c>
      <c r="D13" s="149">
        <f>SUM($B$30:$BI$30)</f>
        <v>30</v>
      </c>
    </row>
    <row r="15" spans="1:5">
      <c r="A15" s="342" t="s">
        <v>136</v>
      </c>
      <c r="B15" s="342"/>
      <c r="C15" s="342"/>
      <c r="D15" s="342"/>
      <c r="E15" s="342"/>
    </row>
    <row r="16" spans="1:5">
      <c r="A16" s="147" t="s">
        <v>45</v>
      </c>
      <c r="B16" s="148" t="s">
        <v>130</v>
      </c>
      <c r="C16" s="148" t="s">
        <v>137</v>
      </c>
      <c r="D16" s="148" t="s">
        <v>131</v>
      </c>
      <c r="E16" s="148" t="s">
        <v>132</v>
      </c>
    </row>
    <row r="17" spans="1:61">
      <c r="A17" t="s">
        <v>14</v>
      </c>
      <c r="B17">
        <f>SUMIF('Daily Tracker'!$B$3:$B$14,$A17,'Daily Tracker'!$D$3:$D$14)</f>
        <v>55</v>
      </c>
      <c r="C17" s="137">
        <f t="shared" ref="C17:C19" si="2">IFERROR(SUMPRODUCT(INDEX($B$25:$BI$28,MATCH($A17,$A$25:$A$28,0),0),$B$30:$BI$30)/SUM($B$30:$BI$30),"")</f>
        <v>36.466666666666669</v>
      </c>
      <c r="D17" s="155">
        <f>C17-B17</f>
        <v>-18.533333333333331</v>
      </c>
      <c r="E17" s="150">
        <f>IFERROR(C17/B17,"")</f>
        <v>0.66303030303030308</v>
      </c>
    </row>
    <row r="18" spans="1:61">
      <c r="A18" t="s">
        <v>17</v>
      </c>
      <c r="B18">
        <f>SUMIF('Daily Tracker'!$B$3:$B$14,$A18,'Daily Tracker'!$D$3:$D$14)</f>
        <v>60</v>
      </c>
      <c r="C18" s="137">
        <f t="shared" si="2"/>
        <v>57</v>
      </c>
      <c r="D18" s="155">
        <f t="shared" ref="D18:D19" si="3">C18-B18</f>
        <v>-3</v>
      </c>
      <c r="E18" s="150">
        <f t="shared" ref="E18:E19" si="4">IFERROR(C18/B18,"")</f>
        <v>0.95</v>
      </c>
    </row>
    <row r="19" spans="1:61">
      <c r="A19" t="s">
        <v>133</v>
      </c>
      <c r="B19">
        <f>SUMIF('Daily Tracker'!$B$3:$B$14,$A19,'Daily Tracker'!$D$3:$D$14)</f>
        <v>0</v>
      </c>
      <c r="C19" s="137">
        <f t="shared" si="2"/>
        <v>0</v>
      </c>
      <c r="D19" s="155">
        <f t="shared" si="3"/>
        <v>0</v>
      </c>
      <c r="E19" s="150" t="str">
        <f t="shared" si="4"/>
        <v/>
      </c>
    </row>
    <row r="20" spans="1:61">
      <c r="A20" t="s">
        <v>26</v>
      </c>
      <c r="B20">
        <f>SUMIF('Daily Tracker'!$B$3:$B$14,$A20,'Daily Tracker'!$D$3:$D$14)</f>
        <v>0</v>
      </c>
      <c r="C20" s="137">
        <f>IFERROR(SUMPRODUCT(INDEX($B$25:$BI$28,MATCH($A20,$A$25:$A$28,0),0),$B$30:$BI$30)/SUM($B$30:$BI$30),"")</f>
        <v>2.9666666666666668</v>
      </c>
      <c r="D20" s="155">
        <f>C20-B20</f>
        <v>2.9666666666666668</v>
      </c>
      <c r="E20" s="150" t="str">
        <f>IFERROR(C20/B20,"")</f>
        <v/>
      </c>
    </row>
    <row r="21" spans="1:61">
      <c r="A21" s="143" t="s">
        <v>108</v>
      </c>
      <c r="B21" s="143">
        <f>SUM(B17:B20)</f>
        <v>115</v>
      </c>
      <c r="C21" s="156">
        <f>SUM(C17:C20)</f>
        <v>96.433333333333337</v>
      </c>
      <c r="D21" s="157">
        <f>C21-B21</f>
        <v>-18.566666666666663</v>
      </c>
      <c r="E21" s="152">
        <f>IFERROR(C21/B21,"")</f>
        <v>0.83855072463768121</v>
      </c>
    </row>
    <row r="23" spans="1:61" hidden="1">
      <c r="A23" s="142" t="s">
        <v>138</v>
      </c>
    </row>
    <row r="24" spans="1:61" hidden="1" outlineLevel="2">
      <c r="A24" s="143" t="s">
        <v>3</v>
      </c>
      <c r="B24" s="145">
        <f>'Daily Tracker'!E$2</f>
        <v>46174</v>
      </c>
      <c r="C24" s="145">
        <f>'Daily Tracker'!F$2</f>
        <v>46175</v>
      </c>
      <c r="D24" s="145">
        <f>'Daily Tracker'!G$2</f>
        <v>46176</v>
      </c>
      <c r="E24" s="145">
        <f>'Daily Tracker'!H$2</f>
        <v>46177</v>
      </c>
      <c r="F24" s="145">
        <f>'Daily Tracker'!I$2</f>
        <v>46178</v>
      </c>
      <c r="G24" s="145">
        <f>'Daily Tracker'!J$2</f>
        <v>46179</v>
      </c>
      <c r="H24" s="145">
        <f>'Daily Tracker'!K$2</f>
        <v>46180</v>
      </c>
      <c r="I24" s="145">
        <f>'Daily Tracker'!L$2</f>
        <v>46181</v>
      </c>
      <c r="J24" s="145">
        <f>'Daily Tracker'!M$2</f>
        <v>46182</v>
      </c>
      <c r="K24" s="145">
        <f>'Daily Tracker'!N$2</f>
        <v>46183</v>
      </c>
      <c r="L24" s="145">
        <f>'Daily Tracker'!O$2</f>
        <v>46184</v>
      </c>
      <c r="M24" s="145">
        <f>'Daily Tracker'!P$2</f>
        <v>46185</v>
      </c>
      <c r="N24" s="145">
        <f>'Daily Tracker'!Q$2</f>
        <v>46186</v>
      </c>
      <c r="O24" s="145">
        <f>'Daily Tracker'!R$2</f>
        <v>46187</v>
      </c>
      <c r="P24" s="145">
        <f>'Daily Tracker'!S$2</f>
        <v>46188</v>
      </c>
      <c r="Q24" s="145">
        <f>'Daily Tracker'!T$2</f>
        <v>46189</v>
      </c>
      <c r="R24" s="145">
        <f>'Daily Tracker'!U$2</f>
        <v>46190</v>
      </c>
      <c r="S24" s="145">
        <f>'Daily Tracker'!V$2</f>
        <v>46191</v>
      </c>
      <c r="T24" s="145">
        <f>'Daily Tracker'!W$2</f>
        <v>46192</v>
      </c>
      <c r="U24" s="145">
        <f>'Daily Tracker'!X$2</f>
        <v>46193</v>
      </c>
      <c r="V24" s="145">
        <f>'Daily Tracker'!Y$2</f>
        <v>46194</v>
      </c>
      <c r="W24" s="145">
        <f>'Daily Tracker'!Z$2</f>
        <v>46195</v>
      </c>
      <c r="X24" s="145">
        <f>'Daily Tracker'!AA$2</f>
        <v>46196</v>
      </c>
      <c r="Y24" s="145">
        <f>'Daily Tracker'!AB$2</f>
        <v>46197</v>
      </c>
      <c r="Z24" s="145">
        <f>'Daily Tracker'!AC$2</f>
        <v>46198</v>
      </c>
      <c r="AA24" s="145">
        <f>'Daily Tracker'!AD$2</f>
        <v>46199</v>
      </c>
      <c r="AB24" s="145">
        <f>'Daily Tracker'!AE$2</f>
        <v>46200</v>
      </c>
      <c r="AC24" s="145">
        <f>'Daily Tracker'!AF$2</f>
        <v>46201</v>
      </c>
      <c r="AD24" s="145">
        <f>'Daily Tracker'!AG$2</f>
        <v>46202</v>
      </c>
      <c r="AE24" s="145">
        <f>'Daily Tracker'!AH$2</f>
        <v>46203</v>
      </c>
      <c r="AF24" s="145">
        <f>'Daily Tracker'!AI$2</f>
        <v>46204</v>
      </c>
      <c r="AG24" s="145">
        <f>'Daily Tracker'!AJ$2</f>
        <v>46205</v>
      </c>
      <c r="AH24" s="145">
        <f>'Daily Tracker'!AK$2</f>
        <v>46206</v>
      </c>
      <c r="AI24" s="145">
        <f>'Daily Tracker'!AL$2</f>
        <v>46207</v>
      </c>
      <c r="AJ24" s="145">
        <f>'Daily Tracker'!AM$2</f>
        <v>46208</v>
      </c>
      <c r="AK24" s="145">
        <f>'Daily Tracker'!AN$2</f>
        <v>46209</v>
      </c>
      <c r="AL24" s="145">
        <f>'Daily Tracker'!AO$2</f>
        <v>46210</v>
      </c>
      <c r="AM24" s="145">
        <f>'Daily Tracker'!AP$2</f>
        <v>46211</v>
      </c>
      <c r="AN24" s="145">
        <f>'Daily Tracker'!AQ$2</f>
        <v>46212</v>
      </c>
      <c r="AO24" s="145">
        <f>'Daily Tracker'!AR$2</f>
        <v>46213</v>
      </c>
      <c r="AP24" s="145">
        <f>'Daily Tracker'!AS$2</f>
        <v>46214</v>
      </c>
      <c r="AQ24" s="145">
        <f>'Daily Tracker'!AT$2</f>
        <v>46215</v>
      </c>
      <c r="AR24" s="145">
        <f>'Daily Tracker'!AU$2</f>
        <v>46216</v>
      </c>
      <c r="AS24" s="145">
        <f>'Daily Tracker'!AV$2</f>
        <v>46217</v>
      </c>
      <c r="AT24" s="145">
        <f>'Daily Tracker'!AW$2</f>
        <v>46218</v>
      </c>
      <c r="AU24" s="145">
        <f>'Daily Tracker'!AX$2</f>
        <v>46219</v>
      </c>
      <c r="AV24" s="145">
        <f>'Daily Tracker'!AY$2</f>
        <v>46220</v>
      </c>
      <c r="AW24" s="145">
        <f>'Daily Tracker'!AZ$2</f>
        <v>46221</v>
      </c>
      <c r="AX24" s="145">
        <f>'Daily Tracker'!BA$2</f>
        <v>46222</v>
      </c>
      <c r="AY24" s="145">
        <f>'Daily Tracker'!BB$2</f>
        <v>46223</v>
      </c>
      <c r="AZ24" s="145">
        <f>'Daily Tracker'!BC$2</f>
        <v>46224</v>
      </c>
      <c r="BA24" s="145">
        <f>'Daily Tracker'!BD$2</f>
        <v>46225</v>
      </c>
      <c r="BB24" s="145">
        <f>'Daily Tracker'!BE$2</f>
        <v>46226</v>
      </c>
      <c r="BC24" s="145">
        <f>'Daily Tracker'!BF$2</f>
        <v>46227</v>
      </c>
      <c r="BD24" s="145">
        <f>'Daily Tracker'!BG$2</f>
        <v>46228</v>
      </c>
      <c r="BE24" s="145">
        <f>'Daily Tracker'!BH$2</f>
        <v>46229</v>
      </c>
      <c r="BF24" s="145">
        <f>'Daily Tracker'!BI$2</f>
        <v>46230</v>
      </c>
      <c r="BG24" s="145">
        <f>'Daily Tracker'!BJ$2</f>
        <v>46231</v>
      </c>
      <c r="BH24" s="145">
        <f>'Daily Tracker'!BK$2</f>
        <v>46232</v>
      </c>
      <c r="BI24" s="145">
        <f>'Daily Tracker'!BL$2</f>
        <v>46233</v>
      </c>
    </row>
    <row r="25" spans="1:61" hidden="1" outlineLevel="2">
      <c r="A25" t="s">
        <v>14</v>
      </c>
      <c r="B25" s="144">
        <f>SUMIF('Daily Tracker'!$B$3:$B$14,$A25,'Daily Tracker'!E$3:E$14)</f>
        <v>29</v>
      </c>
      <c r="C25" s="144">
        <f>SUMIF('Daily Tracker'!$B$3:$B$14,$A25,'Daily Tracker'!F$3:F$14)</f>
        <v>24</v>
      </c>
      <c r="D25" s="144">
        <f>SUMIF('Daily Tracker'!$B$3:$B$14,$A25,'Daily Tracker'!G$3:G$14)</f>
        <v>38</v>
      </c>
      <c r="E25" s="144">
        <f>SUMIF('Daily Tracker'!$B$3:$B$14,$A25,'Daily Tracker'!H$3:H$14)</f>
        <v>40</v>
      </c>
      <c r="F25" s="144">
        <f>SUMIF('Daily Tracker'!$B$3:$B$14,$A25,'Daily Tracker'!I$3:I$14)</f>
        <v>32</v>
      </c>
      <c r="G25" s="144">
        <f>SUMIF('Daily Tracker'!$B$3:$B$14,$A25,'Daily Tracker'!J$3:J$14)</f>
        <v>40</v>
      </c>
      <c r="H25" s="144">
        <f>SUMIF('Daily Tracker'!$B$3:$B$14,$A25,'Daily Tracker'!K$3:K$14)</f>
        <v>0</v>
      </c>
      <c r="I25" s="144">
        <f>SUMIF('Daily Tracker'!$B$3:$B$14,$A25,'Daily Tracker'!L$3:L$14)</f>
        <v>32</v>
      </c>
      <c r="J25" s="144">
        <f>SUMIF('Daily Tracker'!$B$3:$B$14,$A25,'Daily Tracker'!M$3:M$14)</f>
        <v>40</v>
      </c>
      <c r="K25" s="144">
        <f>SUMIF('Daily Tracker'!$B$3:$B$14,$A25,'Daily Tracker'!N$3:N$14)</f>
        <v>41</v>
      </c>
      <c r="L25" s="144">
        <f>SUMIF('Daily Tracker'!$B$3:$B$14,$A25,'Daily Tracker'!O$3:O$14)</f>
        <v>43</v>
      </c>
      <c r="M25" s="144">
        <f>SUMIF('Daily Tracker'!$B$3:$B$14,$A25,'Daily Tracker'!P$3:P$14)</f>
        <v>42</v>
      </c>
      <c r="N25" s="144">
        <f>SUMIF('Daily Tracker'!$B$3:$B$14,$A25,'Daily Tracker'!Q$3:Q$14)</f>
        <v>42</v>
      </c>
      <c r="O25" s="144">
        <f>SUMIF('Daily Tracker'!$B$3:$B$14,$A25,'Daily Tracker'!R$3:R$14)</f>
        <v>0</v>
      </c>
      <c r="P25" s="144">
        <f>SUMIF('Daily Tracker'!$B$3:$B$14,$A25,'Daily Tracker'!S$3:S$14)</f>
        <v>46</v>
      </c>
      <c r="Q25" s="144">
        <f>SUMIF('Daily Tracker'!$B$3:$B$14,$A25,'Daily Tracker'!T$3:T$14)</f>
        <v>37</v>
      </c>
      <c r="R25" s="144">
        <f>SUMIF('Daily Tracker'!$B$3:$B$14,$A25,'Daily Tracker'!U$3:U$14)</f>
        <v>41</v>
      </c>
      <c r="S25" s="144">
        <f>SUMIF('Daily Tracker'!$B$3:$B$14,$A25,'Daily Tracker'!V$3:V$14)</f>
        <v>38</v>
      </c>
      <c r="T25" s="144">
        <f>SUMIF('Daily Tracker'!$B$3:$B$14,$A25,'Daily Tracker'!W$3:W$14)</f>
        <v>47</v>
      </c>
      <c r="U25" s="144">
        <f>SUMIF('Daily Tracker'!$B$3:$B$14,$A25,'Daily Tracker'!X$3:X$14)</f>
        <v>41</v>
      </c>
      <c r="V25" s="144">
        <f>SUMIF('Daily Tracker'!$B$3:$B$14,$A25,'Daily Tracker'!Y$3:Y$14)</f>
        <v>0</v>
      </c>
      <c r="W25" s="144">
        <f>SUMIF('Daily Tracker'!$B$3:$B$14,$A25,'Daily Tracker'!Z$3:Z$14)</f>
        <v>44</v>
      </c>
      <c r="X25" s="144">
        <f>SUMIF('Daily Tracker'!$B$3:$B$14,$A25,'Daily Tracker'!AA$3:AA$14)</f>
        <v>46</v>
      </c>
      <c r="Y25" s="144">
        <f>SUMIF('Daily Tracker'!$B$3:$B$14,$A25,'Daily Tracker'!AB$3:AB$14)</f>
        <v>44</v>
      </c>
      <c r="Z25" s="144">
        <f>SUMIF('Daily Tracker'!$B$3:$B$14,$A25,'Daily Tracker'!AC$3:AC$14)</f>
        <v>39</v>
      </c>
      <c r="AA25" s="144">
        <f>SUMIF('Daily Tracker'!$B$3:$B$14,$A25,'Daily Tracker'!AD$3:AD$14)</f>
        <v>40</v>
      </c>
      <c r="AB25" s="144">
        <f>SUMIF('Daily Tracker'!$B$3:$B$14,$A25,'Daily Tracker'!AE$3:AE$14)</f>
        <v>35</v>
      </c>
      <c r="AC25" s="144">
        <f>SUMIF('Daily Tracker'!$B$3:$B$14,$A25,'Daily Tracker'!AF$3:AF$14)</f>
        <v>35</v>
      </c>
      <c r="AD25" s="144">
        <f>SUMIF('Daily Tracker'!$B$3:$B$14,$A25,'Daily Tracker'!AG$3:AG$14)</f>
        <v>0</v>
      </c>
      <c r="AE25" s="144">
        <f>SUMIF('Daily Tracker'!$B$3:$B$14,$A25,'Daily Tracker'!AH$3:AH$14)</f>
        <v>40</v>
      </c>
      <c r="AF25" s="144">
        <f>SUMIF('Daily Tracker'!$B$3:$B$14,$A25,'Daily Tracker'!AI$3:AI$14)</f>
        <v>44</v>
      </c>
      <c r="AG25" s="144">
        <f>SUMIF('Daily Tracker'!$B$3:$B$14,$A25,'Daily Tracker'!AJ$3:AJ$14)</f>
        <v>42</v>
      </c>
      <c r="AH25" s="144">
        <f>SUMIF('Daily Tracker'!$B$3:$B$14,$A25,'Daily Tracker'!AK$3:AK$14)</f>
        <v>45</v>
      </c>
      <c r="AI25" s="144">
        <f>SUMIF('Daily Tracker'!$B$3:$B$14,$A25,'Daily Tracker'!AL$3:AL$14)</f>
        <v>47</v>
      </c>
      <c r="AJ25" s="144">
        <f>SUMIF('Daily Tracker'!$B$3:$B$14,$A25,'Daily Tracker'!AM$3:AM$14)</f>
        <v>2</v>
      </c>
      <c r="AK25" s="144">
        <f>SUMIF('Daily Tracker'!$B$3:$B$14,$A25,'Daily Tracker'!AN$3:AN$14)</f>
        <v>39</v>
      </c>
      <c r="AL25" s="144">
        <f>SUMIF('Daily Tracker'!$B$3:$B$14,$A25,'Daily Tracker'!AO$3:AO$14)</f>
        <v>36</v>
      </c>
      <c r="AM25" s="144">
        <f>SUMIF('Daily Tracker'!$B$3:$B$14,$A25,'Daily Tracker'!AP$3:AP$14)</f>
        <v>38</v>
      </c>
      <c r="AN25" s="144">
        <f>SUMIF('Daily Tracker'!$B$3:$B$14,$A25,'Daily Tracker'!AQ$3:AQ$14)</f>
        <v>48</v>
      </c>
      <c r="AO25" s="144">
        <f>SUMIF('Daily Tracker'!$B$3:$B$14,$A25,'Daily Tracker'!AR$3:AR$14)</f>
        <v>47</v>
      </c>
      <c r="AP25" s="144">
        <f>SUMIF('Daily Tracker'!$B$3:$B$14,$A25,'Daily Tracker'!AS$3:AS$14)</f>
        <v>42</v>
      </c>
      <c r="AQ25" s="144">
        <f>SUMIF('Daily Tracker'!$B$3:$B$14,$A25,'Daily Tracker'!AT$3:AT$14)</f>
        <v>0</v>
      </c>
      <c r="AR25" s="144">
        <f>SUMIF('Daily Tracker'!$B$3:$B$14,$A25,'Daily Tracker'!AU$3:AU$14)</f>
        <v>48</v>
      </c>
      <c r="AS25" s="144">
        <f>SUMIF('Daily Tracker'!$B$3:$B$14,$A25,'Daily Tracker'!AV$3:AV$14)</f>
        <v>42</v>
      </c>
      <c r="AT25" s="144">
        <f>SUMIF('Daily Tracker'!$B$3:$B$14,$A25,'Daily Tracker'!AW$3:AW$14)</f>
        <v>40</v>
      </c>
      <c r="AU25" s="144">
        <f>SUMIF('Daily Tracker'!$B$3:$B$14,$A25,'Daily Tracker'!AX$3:AX$14)</f>
        <v>40</v>
      </c>
      <c r="AV25" s="144">
        <f>SUMIF('Daily Tracker'!$B$3:$B$14,$A25,'Daily Tracker'!AY$3:AY$14)</f>
        <v>45</v>
      </c>
      <c r="AW25" s="144">
        <f>SUMIF('Daily Tracker'!$B$3:$B$14,$A25,'Daily Tracker'!AZ$3:AZ$14)</f>
        <v>10</v>
      </c>
      <c r="AX25" s="144">
        <f>SUMIF('Daily Tracker'!$B$3:$B$14,$A25,'Daily Tracker'!BA$3:BA$14)</f>
        <v>15</v>
      </c>
      <c r="AY25" s="144">
        <f>SUMIF('Daily Tracker'!$B$3:$B$14,$A25,'Daily Tracker'!BB$3:BB$14)</f>
        <v>37</v>
      </c>
      <c r="AZ25" s="144">
        <f>SUMIF('Daily Tracker'!$B$3:$B$14,$A25,'Daily Tracker'!BC$3:BC$14)</f>
        <v>39</v>
      </c>
      <c r="BA25" s="144">
        <f>SUMIF('Daily Tracker'!$B$3:$B$14,$A25,'Daily Tracker'!BD$3:BD$14)</f>
        <v>37</v>
      </c>
      <c r="BB25" s="144">
        <f>SUMIF('Daily Tracker'!$B$3:$B$14,$A25,'Daily Tracker'!BE$3:BE$14)</f>
        <v>39</v>
      </c>
      <c r="BC25" s="144">
        <f>SUMIF('Daily Tracker'!$B$3:$B$14,$A25,'Daily Tracker'!BF$3:BF$14)</f>
        <v>37</v>
      </c>
      <c r="BD25" s="144">
        <f>SUMIF('Daily Tracker'!$B$3:$B$14,$A25,'Daily Tracker'!BG$3:BG$14)</f>
        <v>36</v>
      </c>
      <c r="BE25" s="144">
        <f>SUMIF('Daily Tracker'!$B$3:$B$14,$A25,'Daily Tracker'!BH$3:BH$14)</f>
        <v>12</v>
      </c>
      <c r="BF25" s="144">
        <f>SUMIF('Daily Tracker'!$B$3:$B$14,$A25,'Daily Tracker'!BI$3:BI$14)</f>
        <v>38</v>
      </c>
      <c r="BG25" s="144">
        <f>SUMIF('Daily Tracker'!$B$3:$B$14,$A25,'Daily Tracker'!BJ$3:BJ$14)</f>
        <v>47</v>
      </c>
      <c r="BH25" s="144">
        <f>SUMIF('Daily Tracker'!$B$3:$B$14,$A25,'Daily Tracker'!BK$3:BK$14)</f>
        <v>58</v>
      </c>
      <c r="BI25" s="144">
        <f>SUMIF('Daily Tracker'!$B$3:$B$14,$A25,'Daily Tracker'!BL$3:BL$14)</f>
        <v>44</v>
      </c>
    </row>
    <row r="26" spans="1:61" hidden="1" outlineLevel="2">
      <c r="A26" t="s">
        <v>17</v>
      </c>
      <c r="B26" s="144">
        <f>SUMIF('Daily Tracker'!$B$3:$B$14,$A26,'Daily Tracker'!E$3:E$14)</f>
        <v>65</v>
      </c>
      <c r="C26" s="144">
        <f>SUMIF('Daily Tracker'!$B$3:$B$14,$A26,'Daily Tracker'!F$3:F$14)</f>
        <v>72</v>
      </c>
      <c r="D26" s="144">
        <f>SUMIF('Daily Tracker'!$B$3:$B$14,$A26,'Daily Tracker'!G$3:G$14)</f>
        <v>64</v>
      </c>
      <c r="E26" s="144">
        <f>SUMIF('Daily Tracker'!$B$3:$B$14,$A26,'Daily Tracker'!H$3:H$14)</f>
        <v>70</v>
      </c>
      <c r="F26" s="144">
        <f>SUMIF('Daily Tracker'!$B$3:$B$14,$A26,'Daily Tracker'!I$3:I$14)</f>
        <v>63</v>
      </c>
      <c r="G26" s="144">
        <f>SUMIF('Daily Tracker'!$B$3:$B$14,$A26,'Daily Tracker'!J$3:J$14)</f>
        <v>63</v>
      </c>
      <c r="H26" s="144">
        <f>SUMIF('Daily Tracker'!$B$3:$B$14,$A26,'Daily Tracker'!K$3:K$14)</f>
        <v>0</v>
      </c>
      <c r="I26" s="144">
        <f>SUMIF('Daily Tracker'!$B$3:$B$14,$A26,'Daily Tracker'!L$3:L$14)</f>
        <v>67</v>
      </c>
      <c r="J26" s="144">
        <f>SUMIF('Daily Tracker'!$B$3:$B$14,$A26,'Daily Tracker'!M$3:M$14)</f>
        <v>62</v>
      </c>
      <c r="K26" s="144">
        <f>SUMIF('Daily Tracker'!$B$3:$B$14,$A26,'Daily Tracker'!N$3:N$14)</f>
        <v>60</v>
      </c>
      <c r="L26" s="144">
        <f>SUMIF('Daily Tracker'!$B$3:$B$14,$A26,'Daily Tracker'!O$3:O$14)</f>
        <v>58</v>
      </c>
      <c r="M26" s="144">
        <f>SUMIF('Daily Tracker'!$B$3:$B$14,$A26,'Daily Tracker'!P$3:P$14)</f>
        <v>51</v>
      </c>
      <c r="N26" s="144">
        <f>SUMIF('Daily Tracker'!$B$3:$B$14,$A26,'Daily Tracker'!Q$3:Q$14)</f>
        <v>44</v>
      </c>
      <c r="O26" s="144">
        <f>SUMIF('Daily Tracker'!$B$3:$B$14,$A26,'Daily Tracker'!R$3:R$14)</f>
        <v>0</v>
      </c>
      <c r="P26" s="144">
        <f>SUMIF('Daily Tracker'!$B$3:$B$14,$A26,'Daily Tracker'!S$3:S$14)</f>
        <v>54</v>
      </c>
      <c r="Q26" s="144">
        <f>SUMIF('Daily Tracker'!$B$3:$B$14,$A26,'Daily Tracker'!T$3:T$14)</f>
        <v>57</v>
      </c>
      <c r="R26" s="144">
        <f>SUMIF('Daily Tracker'!$B$3:$B$14,$A26,'Daily Tracker'!U$3:U$14)</f>
        <v>65</v>
      </c>
      <c r="S26" s="144">
        <f>SUMIF('Daily Tracker'!$B$3:$B$14,$A26,'Daily Tracker'!V$3:V$14)</f>
        <v>58</v>
      </c>
      <c r="T26" s="144">
        <f>SUMIF('Daily Tracker'!$B$3:$B$14,$A26,'Daily Tracker'!W$3:W$14)</f>
        <v>59</v>
      </c>
      <c r="U26" s="144">
        <f>SUMIF('Daily Tracker'!$B$3:$B$14,$A26,'Daily Tracker'!X$3:X$14)</f>
        <v>34</v>
      </c>
      <c r="V26" s="144">
        <f>SUMIF('Daily Tracker'!$B$3:$B$14,$A26,'Daily Tracker'!Y$3:Y$14)</f>
        <v>0</v>
      </c>
      <c r="W26" s="144">
        <f>SUMIF('Daily Tracker'!$B$3:$B$14,$A26,'Daily Tracker'!Z$3:Z$14)</f>
        <v>55</v>
      </c>
      <c r="X26" s="144">
        <f>SUMIF('Daily Tracker'!$B$3:$B$14,$A26,'Daily Tracker'!AA$3:AA$14)</f>
        <v>53</v>
      </c>
      <c r="Y26" s="144">
        <f>SUMIF('Daily Tracker'!$B$3:$B$14,$A26,'Daily Tracker'!AB$3:AB$14)</f>
        <v>59</v>
      </c>
      <c r="Z26" s="144">
        <f>SUMIF('Daily Tracker'!$B$3:$B$14,$A26,'Daily Tracker'!AC$3:AC$14)</f>
        <v>54</v>
      </c>
      <c r="AA26" s="144">
        <f>SUMIF('Daily Tracker'!$B$3:$B$14,$A26,'Daily Tracker'!AD$3:AD$14)</f>
        <v>53</v>
      </c>
      <c r="AB26" s="144">
        <f>SUMIF('Daily Tracker'!$B$3:$B$14,$A26,'Daily Tracker'!AE$3:AE$14)</f>
        <v>52</v>
      </c>
      <c r="AC26" s="144">
        <f>SUMIF('Daily Tracker'!$B$3:$B$14,$A26,'Daily Tracker'!AF$3:AF$14)</f>
        <v>53</v>
      </c>
      <c r="AD26" s="144">
        <f>SUMIF('Daily Tracker'!$B$3:$B$14,$A26,'Daily Tracker'!AG$3:AG$14)</f>
        <v>3</v>
      </c>
      <c r="AE26" s="144">
        <f>SUMIF('Daily Tracker'!$B$3:$B$14,$A26,'Daily Tracker'!AH$3:AH$14)</f>
        <v>61</v>
      </c>
      <c r="AF26" s="144">
        <f>SUMIF('Daily Tracker'!$B$3:$B$14,$A26,'Daily Tracker'!AI$3:AI$14)</f>
        <v>68</v>
      </c>
      <c r="AG26" s="144">
        <f>SUMIF('Daily Tracker'!$B$3:$B$14,$A26,'Daily Tracker'!AJ$3:AJ$14)</f>
        <v>68</v>
      </c>
      <c r="AH26" s="144">
        <f>SUMIF('Daily Tracker'!$B$3:$B$14,$A26,'Daily Tracker'!AK$3:AK$14)</f>
        <v>67</v>
      </c>
      <c r="AI26" s="144">
        <f>SUMIF('Daily Tracker'!$B$3:$B$14,$A26,'Daily Tracker'!AL$3:AL$14)</f>
        <v>64</v>
      </c>
      <c r="AJ26" s="144">
        <f>SUMIF('Daily Tracker'!$B$3:$B$14,$A26,'Daily Tracker'!AM$3:AM$14)</f>
        <v>0</v>
      </c>
      <c r="AK26" s="144">
        <f>SUMIF('Daily Tracker'!$B$3:$B$14,$A26,'Daily Tracker'!AN$3:AN$14)</f>
        <v>59</v>
      </c>
      <c r="AL26" s="144">
        <f>SUMIF('Daily Tracker'!$B$3:$B$14,$A26,'Daily Tracker'!AO$3:AO$14)</f>
        <v>66</v>
      </c>
      <c r="AM26" s="144">
        <f>SUMIF('Daily Tracker'!$B$3:$B$14,$A26,'Daily Tracker'!AP$3:AP$14)</f>
        <v>67</v>
      </c>
      <c r="AN26" s="144">
        <f>SUMIF('Daily Tracker'!$B$3:$B$14,$A26,'Daily Tracker'!AQ$3:AQ$14)</f>
        <v>59</v>
      </c>
      <c r="AO26" s="144">
        <f>SUMIF('Daily Tracker'!$B$3:$B$14,$A26,'Daily Tracker'!AR$3:AR$14)</f>
        <v>57</v>
      </c>
      <c r="AP26" s="144">
        <f>SUMIF('Daily Tracker'!$B$3:$B$14,$A26,'Daily Tracker'!AS$3:AS$14)</f>
        <v>81</v>
      </c>
      <c r="AQ26" s="144">
        <f>SUMIF('Daily Tracker'!$B$3:$B$14,$A26,'Daily Tracker'!AT$3:AT$14)</f>
        <v>9</v>
      </c>
      <c r="AR26" s="144">
        <f>SUMIF('Daily Tracker'!$B$3:$B$14,$A26,'Daily Tracker'!AU$3:AU$14)</f>
        <v>58</v>
      </c>
      <c r="AS26" s="144">
        <f>SUMIF('Daily Tracker'!$B$3:$B$14,$A26,'Daily Tracker'!AV$3:AV$14)</f>
        <v>67</v>
      </c>
      <c r="AT26" s="144">
        <f>SUMIF('Daily Tracker'!$B$3:$B$14,$A26,'Daily Tracker'!AW$3:AW$14)</f>
        <v>67</v>
      </c>
      <c r="AU26" s="144">
        <f>SUMIF('Daily Tracker'!$B$3:$B$14,$A26,'Daily Tracker'!AX$3:AX$14)</f>
        <v>68</v>
      </c>
      <c r="AV26" s="144">
        <f>SUMIF('Daily Tracker'!$B$3:$B$14,$A26,'Daily Tracker'!AY$3:AY$14)</f>
        <v>57</v>
      </c>
      <c r="AW26" s="144">
        <f>SUMIF('Daily Tracker'!$B$3:$B$14,$A26,'Daily Tracker'!AZ$3:AZ$14)</f>
        <v>22</v>
      </c>
      <c r="AX26" s="144">
        <f>SUMIF('Daily Tracker'!$B$3:$B$14,$A26,'Daily Tracker'!BA$3:BA$14)</f>
        <v>21</v>
      </c>
      <c r="AY26" s="144">
        <f>SUMIF('Daily Tracker'!$B$3:$B$14,$A26,'Daily Tracker'!BB$3:BB$14)</f>
        <v>66</v>
      </c>
      <c r="AZ26" s="144">
        <f>SUMIF('Daily Tracker'!$B$3:$B$14,$A26,'Daily Tracker'!BC$3:BC$14)</f>
        <v>68</v>
      </c>
      <c r="BA26" s="144">
        <f>SUMIF('Daily Tracker'!$B$3:$B$14,$A26,'Daily Tracker'!BD$3:BD$14)</f>
        <v>87</v>
      </c>
      <c r="BB26" s="144">
        <f>SUMIF('Daily Tracker'!$B$3:$B$14,$A26,'Daily Tracker'!BE$3:BE$14)</f>
        <v>68</v>
      </c>
      <c r="BC26" s="144">
        <f>SUMIF('Daily Tracker'!$B$3:$B$14,$A26,'Daily Tracker'!BF$3:BF$14)</f>
        <v>71</v>
      </c>
      <c r="BD26" s="144">
        <f>SUMIF('Daily Tracker'!$B$3:$B$14,$A26,'Daily Tracker'!BG$3:BG$14)</f>
        <v>66</v>
      </c>
      <c r="BE26" s="144">
        <f>SUMIF('Daily Tracker'!$B$3:$B$14,$A26,'Daily Tracker'!BH$3:BH$14)</f>
        <v>9</v>
      </c>
      <c r="BF26" s="144">
        <f>SUMIF('Daily Tracker'!$B$3:$B$14,$A26,'Daily Tracker'!BI$3:BI$14)</f>
        <v>58</v>
      </c>
      <c r="BG26" s="144">
        <f>SUMIF('Daily Tracker'!$B$3:$B$14,$A26,'Daily Tracker'!BJ$3:BJ$14)</f>
        <v>66</v>
      </c>
      <c r="BH26" s="144">
        <f>SUMIF('Daily Tracker'!$B$3:$B$14,$A26,'Daily Tracker'!BK$3:BK$14)</f>
        <v>62</v>
      </c>
      <c r="BI26" s="144">
        <f>SUMIF('Daily Tracker'!$B$3:$B$14,$A26,'Daily Tracker'!BL$3:BL$14)</f>
        <v>64</v>
      </c>
    </row>
    <row r="27" spans="1:61" hidden="1" outlineLevel="2">
      <c r="A27" t="s">
        <v>133</v>
      </c>
      <c r="B27" s="144">
        <f>SUMIF('Daily Tracker'!$B$3:$B$14,$A27,'Daily Tracker'!E$3:E$14)</f>
        <v>0</v>
      </c>
      <c r="C27" s="144">
        <f>SUMIF('Daily Tracker'!$B$3:$B$14,$A27,'Daily Tracker'!F$3:F$14)</f>
        <v>0</v>
      </c>
      <c r="D27" s="144">
        <f>SUMIF('Daily Tracker'!$B$3:$B$14,$A27,'Daily Tracker'!G$3:G$14)</f>
        <v>0</v>
      </c>
      <c r="E27" s="144">
        <f>SUMIF('Daily Tracker'!$B$3:$B$14,$A27,'Daily Tracker'!H$3:H$14)</f>
        <v>0</v>
      </c>
      <c r="F27" s="144">
        <f>SUMIF('Daily Tracker'!$B$3:$B$14,$A27,'Daily Tracker'!I$3:I$14)</f>
        <v>0</v>
      </c>
      <c r="G27" s="144">
        <f>SUMIF('Daily Tracker'!$B$3:$B$14,$A27,'Daily Tracker'!J$3:J$14)</f>
        <v>0</v>
      </c>
      <c r="H27" s="144">
        <f>SUMIF('Daily Tracker'!$B$3:$B$14,$A27,'Daily Tracker'!K$3:K$14)</f>
        <v>0</v>
      </c>
      <c r="I27" s="144">
        <f>SUMIF('Daily Tracker'!$B$3:$B$14,$A27,'Daily Tracker'!L$3:L$14)</f>
        <v>0</v>
      </c>
      <c r="J27" s="144">
        <f>SUMIF('Daily Tracker'!$B$3:$B$14,$A27,'Daily Tracker'!M$3:M$14)</f>
        <v>0</v>
      </c>
      <c r="K27" s="144">
        <f>SUMIF('Daily Tracker'!$B$3:$B$14,$A27,'Daily Tracker'!N$3:N$14)</f>
        <v>0</v>
      </c>
      <c r="L27" s="144">
        <f>SUMIF('Daily Tracker'!$B$3:$B$14,$A27,'Daily Tracker'!O$3:O$14)</f>
        <v>0</v>
      </c>
      <c r="M27" s="144">
        <f>SUMIF('Daily Tracker'!$B$3:$B$14,$A27,'Daily Tracker'!P$3:P$14)</f>
        <v>0</v>
      </c>
      <c r="N27" s="144">
        <f>SUMIF('Daily Tracker'!$B$3:$B$14,$A27,'Daily Tracker'!Q$3:Q$14)</f>
        <v>0</v>
      </c>
      <c r="O27" s="144">
        <f>SUMIF('Daily Tracker'!$B$3:$B$14,$A27,'Daily Tracker'!R$3:R$14)</f>
        <v>0</v>
      </c>
      <c r="P27" s="144">
        <f>SUMIF('Daily Tracker'!$B$3:$B$14,$A27,'Daily Tracker'!S$3:S$14)</f>
        <v>0</v>
      </c>
      <c r="Q27" s="144">
        <f>SUMIF('Daily Tracker'!$B$3:$B$14,$A27,'Daily Tracker'!T$3:T$14)</f>
        <v>0</v>
      </c>
      <c r="R27" s="144">
        <f>SUMIF('Daily Tracker'!$B$3:$B$14,$A27,'Daily Tracker'!U$3:U$14)</f>
        <v>0</v>
      </c>
      <c r="S27" s="144">
        <f>SUMIF('Daily Tracker'!$B$3:$B$14,$A27,'Daily Tracker'!V$3:V$14)</f>
        <v>0</v>
      </c>
      <c r="T27" s="144">
        <f>SUMIF('Daily Tracker'!$B$3:$B$14,$A27,'Daily Tracker'!W$3:W$14)</f>
        <v>0</v>
      </c>
      <c r="U27" s="144">
        <f>SUMIF('Daily Tracker'!$B$3:$B$14,$A27,'Daily Tracker'!X$3:X$14)</f>
        <v>0</v>
      </c>
      <c r="V27" s="144">
        <f>SUMIF('Daily Tracker'!$B$3:$B$14,$A27,'Daily Tracker'!Y$3:Y$14)</f>
        <v>0</v>
      </c>
      <c r="W27" s="144">
        <f>SUMIF('Daily Tracker'!$B$3:$B$14,$A27,'Daily Tracker'!Z$3:Z$14)</f>
        <v>0</v>
      </c>
      <c r="X27" s="144">
        <f>SUMIF('Daily Tracker'!$B$3:$B$14,$A27,'Daily Tracker'!AA$3:AA$14)</f>
        <v>0</v>
      </c>
      <c r="Y27" s="144">
        <f>SUMIF('Daily Tracker'!$B$3:$B$14,$A27,'Daily Tracker'!AB$3:AB$14)</f>
        <v>0</v>
      </c>
      <c r="Z27" s="144">
        <f>SUMIF('Daily Tracker'!$B$3:$B$14,$A27,'Daily Tracker'!AC$3:AC$14)</f>
        <v>0</v>
      </c>
      <c r="AA27" s="144">
        <f>SUMIF('Daily Tracker'!$B$3:$B$14,$A27,'Daily Tracker'!AD$3:AD$14)</f>
        <v>0</v>
      </c>
      <c r="AB27" s="144">
        <f>SUMIF('Daily Tracker'!$B$3:$B$14,$A27,'Daily Tracker'!AE$3:AE$14)</f>
        <v>0</v>
      </c>
      <c r="AC27" s="144">
        <f>SUMIF('Daily Tracker'!$B$3:$B$14,$A27,'Daily Tracker'!AF$3:AF$14)</f>
        <v>0</v>
      </c>
      <c r="AD27" s="144">
        <f>SUMIF('Daily Tracker'!$B$3:$B$14,$A27,'Daily Tracker'!AG$3:AG$14)</f>
        <v>0</v>
      </c>
      <c r="AE27" s="144">
        <f>SUMIF('Daily Tracker'!$B$3:$B$14,$A27,'Daily Tracker'!AH$3:AH$14)</f>
        <v>0</v>
      </c>
      <c r="AF27" s="144">
        <f>SUMIF('Daily Tracker'!$B$3:$B$14,$A27,'Daily Tracker'!AI$3:AI$14)</f>
        <v>0</v>
      </c>
      <c r="AG27" s="144">
        <f>SUMIF('Daily Tracker'!$B$3:$B$14,$A27,'Daily Tracker'!AJ$3:AJ$14)</f>
        <v>0</v>
      </c>
      <c r="AH27" s="144">
        <f>SUMIF('Daily Tracker'!$B$3:$B$14,$A27,'Daily Tracker'!AK$3:AK$14)</f>
        <v>0</v>
      </c>
      <c r="AI27" s="144">
        <f>SUMIF('Daily Tracker'!$B$3:$B$14,$A27,'Daily Tracker'!AL$3:AL$14)</f>
        <v>0</v>
      </c>
      <c r="AJ27" s="144">
        <f>SUMIF('Daily Tracker'!$B$3:$B$14,$A27,'Daily Tracker'!AM$3:AM$14)</f>
        <v>0</v>
      </c>
      <c r="AK27" s="144">
        <f>SUMIF('Daily Tracker'!$B$3:$B$14,$A27,'Daily Tracker'!AN$3:AN$14)</f>
        <v>0</v>
      </c>
      <c r="AL27" s="144">
        <f>SUMIF('Daily Tracker'!$B$3:$B$14,$A27,'Daily Tracker'!AO$3:AO$14)</f>
        <v>0</v>
      </c>
      <c r="AM27" s="144">
        <f>SUMIF('Daily Tracker'!$B$3:$B$14,$A27,'Daily Tracker'!AP$3:AP$14)</f>
        <v>0</v>
      </c>
      <c r="AN27" s="144">
        <f>SUMIF('Daily Tracker'!$B$3:$B$14,$A27,'Daily Tracker'!AQ$3:AQ$14)</f>
        <v>0</v>
      </c>
      <c r="AO27" s="144">
        <f>SUMIF('Daily Tracker'!$B$3:$B$14,$A27,'Daily Tracker'!AR$3:AR$14)</f>
        <v>0</v>
      </c>
      <c r="AP27" s="144">
        <f>SUMIF('Daily Tracker'!$B$3:$B$14,$A27,'Daily Tracker'!AS$3:AS$14)</f>
        <v>0</v>
      </c>
      <c r="AQ27" s="144">
        <f>SUMIF('Daily Tracker'!$B$3:$B$14,$A27,'Daily Tracker'!AT$3:AT$14)</f>
        <v>0</v>
      </c>
      <c r="AR27" s="144">
        <f>SUMIF('Daily Tracker'!$B$3:$B$14,$A27,'Daily Tracker'!AU$3:AU$14)</f>
        <v>0</v>
      </c>
      <c r="AS27" s="144">
        <f>SUMIF('Daily Tracker'!$B$3:$B$14,$A27,'Daily Tracker'!AV$3:AV$14)</f>
        <v>0</v>
      </c>
      <c r="AT27" s="144">
        <f>SUMIF('Daily Tracker'!$B$3:$B$14,$A27,'Daily Tracker'!AW$3:AW$14)</f>
        <v>0</v>
      </c>
      <c r="AU27" s="144">
        <f>SUMIF('Daily Tracker'!$B$3:$B$14,$A27,'Daily Tracker'!AX$3:AX$14)</f>
        <v>0</v>
      </c>
      <c r="AV27" s="144">
        <f>SUMIF('Daily Tracker'!$B$3:$B$14,$A27,'Daily Tracker'!AY$3:AY$14)</f>
        <v>0</v>
      </c>
      <c r="AW27" s="144">
        <f>SUMIF('Daily Tracker'!$B$3:$B$14,$A27,'Daily Tracker'!AZ$3:AZ$14)</f>
        <v>0</v>
      </c>
      <c r="AX27" s="144">
        <f>SUMIF('Daily Tracker'!$B$3:$B$14,$A27,'Daily Tracker'!BA$3:BA$14)</f>
        <v>0</v>
      </c>
      <c r="AY27" s="144">
        <f>SUMIF('Daily Tracker'!$B$3:$B$14,$A27,'Daily Tracker'!BB$3:BB$14)</f>
        <v>0</v>
      </c>
      <c r="AZ27" s="144">
        <f>SUMIF('Daily Tracker'!$B$3:$B$14,$A27,'Daily Tracker'!BC$3:BC$14)</f>
        <v>0</v>
      </c>
      <c r="BA27" s="144">
        <f>SUMIF('Daily Tracker'!$B$3:$B$14,$A27,'Daily Tracker'!BD$3:BD$14)</f>
        <v>0</v>
      </c>
      <c r="BB27" s="144">
        <f>SUMIF('Daily Tracker'!$B$3:$B$14,$A27,'Daily Tracker'!BE$3:BE$14)</f>
        <v>0</v>
      </c>
      <c r="BC27" s="144">
        <f>SUMIF('Daily Tracker'!$B$3:$B$14,$A27,'Daily Tracker'!BF$3:BF$14)</f>
        <v>0</v>
      </c>
      <c r="BD27" s="144">
        <f>SUMIF('Daily Tracker'!$B$3:$B$14,$A27,'Daily Tracker'!BG$3:BG$14)</f>
        <v>0</v>
      </c>
      <c r="BE27" s="144">
        <f>SUMIF('Daily Tracker'!$B$3:$B$14,$A27,'Daily Tracker'!BH$3:BH$14)</f>
        <v>0</v>
      </c>
      <c r="BF27" s="144">
        <f>SUMIF('Daily Tracker'!$B$3:$B$14,$A27,'Daily Tracker'!BI$3:BI$14)</f>
        <v>0</v>
      </c>
      <c r="BG27" s="144">
        <f>SUMIF('Daily Tracker'!$B$3:$B$14,$A27,'Daily Tracker'!BJ$3:BJ$14)</f>
        <v>0</v>
      </c>
      <c r="BH27" s="144">
        <f>SUMIF('Daily Tracker'!$B$3:$B$14,$A27,'Daily Tracker'!BK$3:BK$14)</f>
        <v>0</v>
      </c>
      <c r="BI27" s="144">
        <f>SUMIF('Daily Tracker'!$B$3:$B$14,$A27,'Daily Tracker'!BL$3:BL$14)</f>
        <v>0</v>
      </c>
    </row>
    <row r="28" spans="1:61" outlineLevel="2">
      <c r="A28" t="s">
        <v>26</v>
      </c>
      <c r="B28" s="144">
        <f>SUMIF('Daily Tracker'!$B$3:$B$14,$A28,'Daily Tracker'!E$3:E$14)</f>
        <v>0</v>
      </c>
      <c r="C28" s="144">
        <f>SUMIF('Daily Tracker'!$B$3:$B$14,$A28,'Daily Tracker'!F$3:F$14)</f>
        <v>0</v>
      </c>
      <c r="D28" s="144">
        <f>SUMIF('Daily Tracker'!$B$3:$B$14,$A28,'Daily Tracker'!G$3:G$14)</f>
        <v>0</v>
      </c>
      <c r="E28" s="144">
        <f>SUMIF('Daily Tracker'!$B$3:$B$14,$A28,'Daily Tracker'!H$3:H$14)</f>
        <v>0</v>
      </c>
      <c r="F28" s="144">
        <f>SUMIF('Daily Tracker'!$B$3:$B$14,$A28,'Daily Tracker'!I$3:I$14)</f>
        <v>0</v>
      </c>
      <c r="G28" s="144">
        <f>SUMIF('Daily Tracker'!$B$3:$B$14,$A28,'Daily Tracker'!J$3:J$14)</f>
        <v>0</v>
      </c>
      <c r="H28" s="144">
        <f>SUMIF('Daily Tracker'!$B$3:$B$14,$A28,'Daily Tracker'!K$3:K$14)</f>
        <v>0</v>
      </c>
      <c r="I28" s="144">
        <f>SUMIF('Daily Tracker'!$B$3:$B$14,$A28,'Daily Tracker'!L$3:L$14)</f>
        <v>0</v>
      </c>
      <c r="J28" s="144">
        <f>SUMIF('Daily Tracker'!$B$3:$B$14,$A28,'Daily Tracker'!M$3:M$14)</f>
        <v>0</v>
      </c>
      <c r="K28" s="144">
        <f>SUMIF('Daily Tracker'!$B$3:$B$14,$A28,'Daily Tracker'!N$3:N$14)</f>
        <v>0</v>
      </c>
      <c r="L28" s="144">
        <f>SUMIF('Daily Tracker'!$B$3:$B$14,$A28,'Daily Tracker'!O$3:O$14)</f>
        <v>0</v>
      </c>
      <c r="M28" s="144">
        <f>SUMIF('Daily Tracker'!$B$3:$B$14,$A28,'Daily Tracker'!P$3:P$14)</f>
        <v>0</v>
      </c>
      <c r="N28" s="144">
        <f>SUMIF('Daily Tracker'!$B$3:$B$14,$A28,'Daily Tracker'!Q$3:Q$14)</f>
        <v>0</v>
      </c>
      <c r="O28" s="144">
        <f>SUMIF('Daily Tracker'!$B$3:$B$14,$A28,'Daily Tracker'!R$3:R$14)</f>
        <v>0</v>
      </c>
      <c r="P28" s="144">
        <f>SUMIF('Daily Tracker'!$B$3:$B$14,$A28,'Daily Tracker'!S$3:S$14)</f>
        <v>0</v>
      </c>
      <c r="Q28" s="144">
        <f>SUMIF('Daily Tracker'!$B$3:$B$14,$A28,'Daily Tracker'!T$3:T$14)</f>
        <v>0</v>
      </c>
      <c r="R28" s="144">
        <f>SUMIF('Daily Tracker'!$B$3:$B$14,$A28,'Daily Tracker'!U$3:U$14)</f>
        <v>0</v>
      </c>
      <c r="S28" s="144">
        <f>SUMIF('Daily Tracker'!$B$3:$B$14,$A28,'Daily Tracker'!V$3:V$14)</f>
        <v>0</v>
      </c>
      <c r="T28" s="144">
        <f>SUMIF('Daily Tracker'!$B$3:$B$14,$A28,'Daily Tracker'!W$3:W$14)</f>
        <v>0</v>
      </c>
      <c r="U28" s="144">
        <f>SUMIF('Daily Tracker'!$B$3:$B$14,$A28,'Daily Tracker'!X$3:X$14)</f>
        <v>0</v>
      </c>
      <c r="V28" s="144">
        <f>SUMIF('Daily Tracker'!$B$3:$B$14,$A28,'Daily Tracker'!Y$3:Y$14)</f>
        <v>0</v>
      </c>
      <c r="W28" s="144">
        <f>SUMIF('Daily Tracker'!$B$3:$B$14,$A28,'Daily Tracker'!Z$3:Z$14)</f>
        <v>0</v>
      </c>
      <c r="X28" s="144">
        <f>SUMIF('Daily Tracker'!$B$3:$B$14,$A28,'Daily Tracker'!AA$3:AA$14)</f>
        <v>0</v>
      </c>
      <c r="Y28" s="144">
        <f>SUMIF('Daily Tracker'!$B$3:$B$14,$A28,'Daily Tracker'!AB$3:AB$14)</f>
        <v>0</v>
      </c>
      <c r="Z28" s="144">
        <f>SUMIF('Daily Tracker'!$B$3:$B$14,$A28,'Daily Tracker'!AC$3:AC$14)</f>
        <v>0</v>
      </c>
      <c r="AA28" s="144">
        <f>SUMIF('Daily Tracker'!$B$3:$B$14,$A28,'Daily Tracker'!AD$3:AD$14)</f>
        <v>0</v>
      </c>
      <c r="AB28" s="144">
        <f>SUMIF('Daily Tracker'!$B$3:$B$14,$A28,'Daily Tracker'!AE$3:AE$14)</f>
        <v>0</v>
      </c>
      <c r="AC28" s="144">
        <f>SUMIF('Daily Tracker'!$B$3:$B$14,$A28,'Daily Tracker'!AF$3:AF$14)</f>
        <v>0</v>
      </c>
      <c r="AD28" s="144">
        <f>SUMIF('Daily Tracker'!$B$3:$B$14,$A28,'Daily Tracker'!AG$3:AG$14)</f>
        <v>0</v>
      </c>
      <c r="AE28" s="144">
        <f>SUMIF('Daily Tracker'!$B$3:$B$14,$A28,'Daily Tracker'!AH$3:AH$14)</f>
        <v>0</v>
      </c>
      <c r="AF28" s="144">
        <f>SUMIF('Daily Tracker'!$B$3:$B$14,$A28,'Daily Tracker'!AI$3:AI$14)</f>
        <v>0</v>
      </c>
      <c r="AG28" s="144">
        <f>SUMIF('Daily Tracker'!$B$3:$B$14,$A28,'Daily Tracker'!AJ$3:AJ$14)</f>
        <v>0</v>
      </c>
      <c r="AH28" s="144">
        <f>SUMIF('Daily Tracker'!$B$3:$B$14,$A28,'Daily Tracker'!AK$3:AK$14)</f>
        <v>0</v>
      </c>
      <c r="AI28" s="144">
        <f>SUMIF('Daily Tracker'!$B$3:$B$14,$A28,'Daily Tracker'!AL$3:AL$14)</f>
        <v>0</v>
      </c>
      <c r="AJ28" s="144">
        <f>SUMIF('Daily Tracker'!$B$3:$B$14,$A28,'Daily Tracker'!AM$3:AM$14)</f>
        <v>0</v>
      </c>
      <c r="AK28" s="144">
        <f>SUMIF('Daily Tracker'!$B$3:$B$14,$A28,'Daily Tracker'!AN$3:AN$14)</f>
        <v>0</v>
      </c>
      <c r="AL28" s="144">
        <f>SUMIF('Daily Tracker'!$B$3:$B$14,$A28,'Daily Tracker'!AO$3:AO$14)</f>
        <v>0</v>
      </c>
      <c r="AM28" s="144">
        <f>SUMIF('Daily Tracker'!$B$3:$B$14,$A28,'Daily Tracker'!AP$3:AP$14)</f>
        <v>6</v>
      </c>
      <c r="AN28" s="144">
        <f>SUMIF('Daily Tracker'!$B$3:$B$14,$A28,'Daily Tracker'!AQ$3:AQ$14)</f>
        <v>3</v>
      </c>
      <c r="AO28" s="144">
        <f>SUMIF('Daily Tracker'!$B$3:$B$14,$A28,'Daily Tracker'!AR$3:AR$14)</f>
        <v>3</v>
      </c>
      <c r="AP28" s="144">
        <f>SUMIF('Daily Tracker'!$B$3:$B$14,$A28,'Daily Tracker'!AS$3:AS$14)</f>
        <v>0</v>
      </c>
      <c r="AQ28" s="144">
        <f>SUMIF('Daily Tracker'!$B$3:$B$14,$A28,'Daily Tracker'!AT$3:AT$14)</f>
        <v>0</v>
      </c>
      <c r="AR28" s="144">
        <f>SUMIF('Daily Tracker'!$B$3:$B$14,$A28,'Daily Tracker'!AU$3:AU$14)</f>
        <v>6</v>
      </c>
      <c r="AS28" s="144">
        <f>SUMIF('Daily Tracker'!$B$3:$B$14,$A28,'Daily Tracker'!AV$3:AV$14)</f>
        <v>3</v>
      </c>
      <c r="AT28" s="144">
        <f>SUMIF('Daily Tracker'!$B$3:$B$14,$A28,'Daily Tracker'!AW$3:AW$14)</f>
        <v>6</v>
      </c>
      <c r="AU28" s="144">
        <f>SUMIF('Daily Tracker'!$B$3:$B$14,$A28,'Daily Tracker'!AX$3:AX$14)</f>
        <v>6</v>
      </c>
      <c r="AV28" s="144">
        <f>SUMIF('Daily Tracker'!$B$3:$B$14,$A28,'Daily Tracker'!AY$3:AY$14)</f>
        <v>6</v>
      </c>
      <c r="AW28" s="144">
        <f>SUMIF('Daily Tracker'!$B$3:$B$14,$A28,'Daily Tracker'!AZ$3:AZ$14)</f>
        <v>0</v>
      </c>
      <c r="AX28" s="144">
        <f>SUMIF('Daily Tracker'!$B$3:$B$14,$A28,'Daily Tracker'!BA$3:BA$14)</f>
        <v>0</v>
      </c>
      <c r="AY28" s="144">
        <f>SUMIF('Daily Tracker'!$B$3:$B$14,$A28,'Daily Tracker'!BB$3:BB$14)</f>
        <v>6</v>
      </c>
      <c r="AZ28" s="144">
        <f>SUMIF('Daily Tracker'!$B$3:$B$14,$A28,'Daily Tracker'!BC$3:BC$14)</f>
        <v>5</v>
      </c>
      <c r="BA28" s="144">
        <f>SUMIF('Daily Tracker'!$B$3:$B$14,$A28,'Daily Tracker'!BD$3:BD$14)</f>
        <v>4</v>
      </c>
      <c r="BB28" s="144">
        <f>SUMIF('Daily Tracker'!$B$3:$B$14,$A28,'Daily Tracker'!BE$3:BE$14)</f>
        <v>5</v>
      </c>
      <c r="BC28" s="144">
        <f>SUMIF('Daily Tracker'!$B$3:$B$14,$A28,'Daily Tracker'!BF$3:BF$14)</f>
        <v>6</v>
      </c>
      <c r="BD28" s="144">
        <f>SUMIF('Daily Tracker'!$B$3:$B$14,$A28,'Daily Tracker'!BG$3:BG$14)</f>
        <v>4</v>
      </c>
      <c r="BE28" s="144">
        <f>SUMIF('Daily Tracker'!$B$3:$B$14,$A28,'Daily Tracker'!BH$3:BH$14)</f>
        <v>0</v>
      </c>
      <c r="BF28" s="144">
        <f>SUMIF('Daily Tracker'!$B$3:$B$14,$A28,'Daily Tracker'!BI$3:BI$14)</f>
        <v>4</v>
      </c>
      <c r="BG28" s="144">
        <f>SUMIF('Daily Tracker'!$B$3:$B$14,$A28,'Daily Tracker'!BJ$3:BJ$14)</f>
        <v>6</v>
      </c>
      <c r="BH28" s="144">
        <f>SUMIF('Daily Tracker'!$B$3:$B$14,$A28,'Daily Tracker'!BK$3:BK$14)</f>
        <v>5</v>
      </c>
      <c r="BI28" s="144">
        <f>SUMIF('Daily Tracker'!$B$3:$B$14,$A28,'Daily Tracker'!BL$3:BL$14)</f>
        <v>5</v>
      </c>
    </row>
    <row r="29" spans="1:61" hidden="1" outlineLevel="2">
      <c r="A29" t="s">
        <v>139</v>
      </c>
      <c r="B29" s="144">
        <f>'Daily Tracker'!E$33</f>
        <v>191</v>
      </c>
      <c r="C29" s="144">
        <f>'Daily Tracker'!F$33</f>
        <v>204</v>
      </c>
      <c r="D29" s="144">
        <f>'Daily Tracker'!G$33</f>
        <v>210</v>
      </c>
      <c r="E29" s="144">
        <f>'Daily Tracker'!H$33</f>
        <v>217</v>
      </c>
      <c r="F29" s="144">
        <f>'Daily Tracker'!I$33</f>
        <v>200</v>
      </c>
      <c r="G29" s="144">
        <f>'Daily Tracker'!J$33</f>
        <v>203</v>
      </c>
      <c r="H29" s="144">
        <f>'Daily Tracker'!K$33</f>
        <v>0</v>
      </c>
      <c r="I29" s="144">
        <f>'Daily Tracker'!L$33</f>
        <v>191</v>
      </c>
      <c r="J29" s="144">
        <f>'Daily Tracker'!M$33</f>
        <v>202</v>
      </c>
      <c r="K29" s="144">
        <f>'Daily Tracker'!N$33</f>
        <v>207</v>
      </c>
      <c r="L29" s="144">
        <f>'Daily Tracker'!O$33</f>
        <v>206</v>
      </c>
      <c r="M29" s="144">
        <f>'Daily Tracker'!P$33</f>
        <v>197</v>
      </c>
      <c r="N29" s="144">
        <f>'Daily Tracker'!Q$33</f>
        <v>189</v>
      </c>
      <c r="O29" s="144">
        <f>'Daily Tracker'!R$33</f>
        <v>27</v>
      </c>
      <c r="P29" s="144">
        <f>'Daily Tracker'!S$33</f>
        <v>202</v>
      </c>
      <c r="Q29" s="144">
        <f>'Daily Tracker'!T$33</f>
        <v>191</v>
      </c>
      <c r="R29" s="144">
        <f>'Daily Tracker'!U$33</f>
        <v>212</v>
      </c>
      <c r="S29" s="144">
        <f>'Daily Tracker'!V$33</f>
        <v>203</v>
      </c>
      <c r="T29" s="144">
        <f>'Daily Tracker'!W$33</f>
        <v>219</v>
      </c>
      <c r="U29" s="144">
        <f>'Daily Tracker'!X$33</f>
        <v>188</v>
      </c>
      <c r="V29" s="144">
        <f>'Daily Tracker'!Y$33</f>
        <v>39</v>
      </c>
      <c r="W29" s="144">
        <f>'Daily Tracker'!Z$33</f>
        <v>196</v>
      </c>
      <c r="X29" s="144">
        <f>'Daily Tracker'!AA$33</f>
        <v>198</v>
      </c>
      <c r="Y29" s="144">
        <f>'Daily Tracker'!AB$33</f>
        <v>204</v>
      </c>
      <c r="Z29" s="144">
        <f>'Daily Tracker'!AC$33</f>
        <v>205</v>
      </c>
      <c r="AA29" s="144">
        <f>'Daily Tracker'!AD$33</f>
        <v>189</v>
      </c>
      <c r="AB29" s="144">
        <f>'Daily Tracker'!AE$33</f>
        <v>184</v>
      </c>
      <c r="AC29" s="144">
        <f>'Daily Tracker'!AF$33</f>
        <v>159</v>
      </c>
      <c r="AD29" s="144">
        <f>'Daily Tracker'!AG$33</f>
        <v>31</v>
      </c>
      <c r="AE29" s="144">
        <f>'Daily Tracker'!AH$33</f>
        <v>210</v>
      </c>
      <c r="AF29" s="144">
        <f>'Daily Tracker'!AI$33</f>
        <v>217</v>
      </c>
      <c r="AG29" s="144">
        <f>'Daily Tracker'!AJ$33</f>
        <v>215</v>
      </c>
      <c r="AH29" s="144">
        <f>'Daily Tracker'!AK$33</f>
        <v>223</v>
      </c>
      <c r="AI29" s="144">
        <f>'Daily Tracker'!AL$33</f>
        <v>220</v>
      </c>
      <c r="AJ29" s="144">
        <f>'Daily Tracker'!AM$33</f>
        <v>39</v>
      </c>
      <c r="AK29" s="144">
        <f>'Daily Tracker'!AN$33</f>
        <v>198</v>
      </c>
      <c r="AL29" s="144">
        <f>'Daily Tracker'!AO$33</f>
        <v>208</v>
      </c>
      <c r="AM29" s="144">
        <f>'Daily Tracker'!AP$33</f>
        <v>209</v>
      </c>
      <c r="AN29" s="144">
        <f>'Daily Tracker'!AQ$33</f>
        <v>216</v>
      </c>
      <c r="AO29" s="144">
        <f>'Daily Tracker'!AR$33</f>
        <v>221</v>
      </c>
      <c r="AP29" s="144">
        <f>'Daily Tracker'!AS$33</f>
        <v>224</v>
      </c>
      <c r="AQ29" s="144">
        <f>'Daily Tracker'!AT$33</f>
        <v>46</v>
      </c>
      <c r="AR29" s="144">
        <f>'Daily Tracker'!AU$33</f>
        <v>213</v>
      </c>
      <c r="AS29" s="144">
        <f>'Daily Tracker'!AV$33</f>
        <v>218</v>
      </c>
      <c r="AT29" s="144">
        <f>'Daily Tracker'!AW$33</f>
        <v>224</v>
      </c>
      <c r="AU29" s="144">
        <f>'Daily Tracker'!AX$33</f>
        <v>225</v>
      </c>
      <c r="AV29" s="144">
        <f>'Daily Tracker'!AY$33</f>
        <v>210</v>
      </c>
      <c r="AW29" s="144">
        <f>'Daily Tracker'!AZ$33</f>
        <v>106</v>
      </c>
      <c r="AX29" s="144">
        <f>'Daily Tracker'!BA$33</f>
        <v>96</v>
      </c>
      <c r="AY29" s="144">
        <f>'Daily Tracker'!BB$33</f>
        <v>204</v>
      </c>
      <c r="AZ29" s="144">
        <f>'Daily Tracker'!BC$33</f>
        <v>218</v>
      </c>
      <c r="BA29" s="144">
        <f>'Daily Tracker'!BD$33</f>
        <v>226</v>
      </c>
      <c r="BB29" s="144">
        <f>'Daily Tracker'!BE$33</f>
        <v>213</v>
      </c>
      <c r="BC29" s="144">
        <f>'Daily Tracker'!BF$33</f>
        <v>228</v>
      </c>
      <c r="BD29" s="144">
        <f>'Daily Tracker'!BG$33</f>
        <v>194</v>
      </c>
      <c r="BE29" s="144">
        <f>'Daily Tracker'!BH$33</f>
        <v>68</v>
      </c>
      <c r="BF29" s="144">
        <f>'Daily Tracker'!BI$33</f>
        <v>194</v>
      </c>
      <c r="BG29" s="144">
        <f>'Daily Tracker'!BJ$33</f>
        <v>218</v>
      </c>
      <c r="BH29" s="144">
        <f>'Daily Tracker'!BK$33</f>
        <v>230</v>
      </c>
      <c r="BI29" s="144">
        <f>'Daily Tracker'!BL$33</f>
        <v>209</v>
      </c>
    </row>
    <row r="30" spans="1:61" hidden="1" outlineLevel="2">
      <c r="A30" t="s">
        <v>140</v>
      </c>
      <c r="B30">
        <f>IF(AND(B$29&gt;0,TEXT(B$24,"yyyy-mm")=TEXT($B$13,"yyyy-mm")),1,0)</f>
        <v>0</v>
      </c>
      <c r="C30">
        <f t="shared" ref="C30:BI30" si="5">IF(AND(C$29&gt;0,TEXT(C$24,"yyyy-mm")=TEXT($B$13,"yyyy-mm")),1,0)</f>
        <v>0</v>
      </c>
      <c r="D30">
        <f t="shared" si="5"/>
        <v>0</v>
      </c>
      <c r="E30">
        <f t="shared" si="5"/>
        <v>0</v>
      </c>
      <c r="F30">
        <f t="shared" si="5"/>
        <v>0</v>
      </c>
      <c r="G30">
        <f t="shared" si="5"/>
        <v>0</v>
      </c>
      <c r="H30">
        <f t="shared" si="5"/>
        <v>0</v>
      </c>
      <c r="I30">
        <f t="shared" si="5"/>
        <v>0</v>
      </c>
      <c r="J30">
        <f t="shared" si="5"/>
        <v>0</v>
      </c>
      <c r="K30">
        <f t="shared" si="5"/>
        <v>0</v>
      </c>
      <c r="L30">
        <f t="shared" si="5"/>
        <v>0</v>
      </c>
      <c r="M30">
        <f t="shared" si="5"/>
        <v>0</v>
      </c>
      <c r="N30">
        <f t="shared" si="5"/>
        <v>0</v>
      </c>
      <c r="O30">
        <f t="shared" si="5"/>
        <v>0</v>
      </c>
      <c r="P30">
        <f t="shared" si="5"/>
        <v>0</v>
      </c>
      <c r="Q30">
        <f t="shared" si="5"/>
        <v>0</v>
      </c>
      <c r="R30">
        <f t="shared" si="5"/>
        <v>0</v>
      </c>
      <c r="S30">
        <f t="shared" si="5"/>
        <v>0</v>
      </c>
      <c r="T30">
        <f t="shared" si="5"/>
        <v>0</v>
      </c>
      <c r="U30">
        <f t="shared" si="5"/>
        <v>0</v>
      </c>
      <c r="V30">
        <f t="shared" si="5"/>
        <v>0</v>
      </c>
      <c r="W30">
        <f t="shared" si="5"/>
        <v>0</v>
      </c>
      <c r="X30">
        <f t="shared" si="5"/>
        <v>0</v>
      </c>
      <c r="Y30">
        <f t="shared" si="5"/>
        <v>0</v>
      </c>
      <c r="Z30">
        <f t="shared" si="5"/>
        <v>0</v>
      </c>
      <c r="AA30">
        <f t="shared" si="5"/>
        <v>0</v>
      </c>
      <c r="AB30">
        <f t="shared" si="5"/>
        <v>0</v>
      </c>
      <c r="AC30">
        <f t="shared" si="5"/>
        <v>0</v>
      </c>
      <c r="AD30">
        <f t="shared" si="5"/>
        <v>0</v>
      </c>
      <c r="AE30">
        <f t="shared" si="5"/>
        <v>0</v>
      </c>
      <c r="AF30">
        <f t="shared" si="5"/>
        <v>1</v>
      </c>
      <c r="AG30">
        <f t="shared" si="5"/>
        <v>1</v>
      </c>
      <c r="AH30">
        <f t="shared" si="5"/>
        <v>1</v>
      </c>
      <c r="AI30">
        <f t="shared" si="5"/>
        <v>1</v>
      </c>
      <c r="AJ30">
        <f t="shared" si="5"/>
        <v>1</v>
      </c>
      <c r="AK30">
        <f t="shared" si="5"/>
        <v>1</v>
      </c>
      <c r="AL30">
        <f t="shared" si="5"/>
        <v>1</v>
      </c>
      <c r="AM30">
        <f t="shared" si="5"/>
        <v>1</v>
      </c>
      <c r="AN30">
        <f t="shared" si="5"/>
        <v>1</v>
      </c>
      <c r="AO30">
        <f t="shared" si="5"/>
        <v>1</v>
      </c>
      <c r="AP30">
        <f t="shared" si="5"/>
        <v>1</v>
      </c>
      <c r="AQ30">
        <f t="shared" si="5"/>
        <v>1</v>
      </c>
      <c r="AR30">
        <f t="shared" si="5"/>
        <v>1</v>
      </c>
      <c r="AS30">
        <f t="shared" si="5"/>
        <v>1</v>
      </c>
      <c r="AT30">
        <f t="shared" si="5"/>
        <v>1</v>
      </c>
      <c r="AU30">
        <f t="shared" si="5"/>
        <v>1</v>
      </c>
      <c r="AV30">
        <f t="shared" si="5"/>
        <v>1</v>
      </c>
      <c r="AW30">
        <f t="shared" si="5"/>
        <v>1</v>
      </c>
      <c r="AX30">
        <f t="shared" si="5"/>
        <v>1</v>
      </c>
      <c r="AY30">
        <f t="shared" si="5"/>
        <v>1</v>
      </c>
      <c r="AZ30">
        <f t="shared" si="5"/>
        <v>1</v>
      </c>
      <c r="BA30">
        <f t="shared" si="5"/>
        <v>1</v>
      </c>
      <c r="BB30">
        <f t="shared" si="5"/>
        <v>1</v>
      </c>
      <c r="BC30">
        <f t="shared" si="5"/>
        <v>1</v>
      </c>
      <c r="BD30">
        <f t="shared" si="5"/>
        <v>1</v>
      </c>
      <c r="BE30">
        <f t="shared" si="5"/>
        <v>1</v>
      </c>
      <c r="BF30">
        <f t="shared" si="5"/>
        <v>1</v>
      </c>
      <c r="BG30">
        <f t="shared" si="5"/>
        <v>1</v>
      </c>
      <c r="BH30">
        <f t="shared" si="5"/>
        <v>1</v>
      </c>
      <c r="BI30">
        <f t="shared" si="5"/>
        <v>1</v>
      </c>
    </row>
  </sheetData>
  <mergeCells count="2">
    <mergeCell ref="A5:E5"/>
    <mergeCell ref="A15:E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3A17-C9DC-47F2-8939-404288FB6BB3}">
  <dimension ref="A1:K22"/>
  <sheetViews>
    <sheetView workbookViewId="0">
      <selection activeCell="B21" sqref="B21"/>
    </sheetView>
  </sheetViews>
  <sheetFormatPr defaultRowHeight="14.45"/>
  <cols>
    <col min="1" max="1" width="21.5703125" bestFit="1" customWidth="1"/>
    <col min="2" max="2" width="20.28515625" bestFit="1" customWidth="1"/>
    <col min="3" max="3" width="20.28515625" customWidth="1"/>
    <col min="4" max="8" width="10.5703125" hidden="1" customWidth="1"/>
    <col min="9" max="9" width="11.5703125" hidden="1" customWidth="1"/>
    <col min="10" max="10" width="10.5703125" hidden="1" customWidth="1"/>
  </cols>
  <sheetData>
    <row r="1" spans="1:11" ht="29.1">
      <c r="A1" s="33" t="s">
        <v>141</v>
      </c>
      <c r="B1" s="33" t="s">
        <v>142</v>
      </c>
      <c r="C1" s="33" t="s">
        <v>143</v>
      </c>
      <c r="D1" s="34" t="s">
        <v>144</v>
      </c>
      <c r="E1" s="34" t="s">
        <v>145</v>
      </c>
      <c r="F1" s="34" t="s">
        <v>146</v>
      </c>
      <c r="G1" s="34" t="s">
        <v>147</v>
      </c>
      <c r="H1" s="34" t="s">
        <v>148</v>
      </c>
      <c r="I1" s="34" t="s">
        <v>149</v>
      </c>
      <c r="J1" s="34" t="s">
        <v>150</v>
      </c>
    </row>
    <row r="2" spans="1:11">
      <c r="A2" s="77" t="s">
        <v>151</v>
      </c>
      <c r="B2" s="32" t="s">
        <v>152</v>
      </c>
      <c r="C2" s="32" t="s">
        <v>17</v>
      </c>
      <c r="D2" s="32" t="s">
        <v>153</v>
      </c>
      <c r="E2" s="32" t="s">
        <v>153</v>
      </c>
      <c r="F2" s="32" t="s">
        <v>153</v>
      </c>
      <c r="G2" s="32" t="s">
        <v>153</v>
      </c>
      <c r="H2" s="32" t="s">
        <v>153</v>
      </c>
      <c r="I2" s="32" t="s">
        <v>153</v>
      </c>
      <c r="J2" s="32" t="s">
        <v>154</v>
      </c>
    </row>
    <row r="3" spans="1:11">
      <c r="A3" s="77" t="s">
        <v>155</v>
      </c>
      <c r="B3" s="32" t="s">
        <v>152</v>
      </c>
      <c r="C3" s="32" t="s">
        <v>17</v>
      </c>
      <c r="D3" s="32" t="s">
        <v>153</v>
      </c>
      <c r="E3" s="32" t="s">
        <v>153</v>
      </c>
      <c r="F3" s="32" t="s">
        <v>153</v>
      </c>
      <c r="G3" s="32" t="s">
        <v>153</v>
      </c>
      <c r="H3" s="32" t="s">
        <v>153</v>
      </c>
      <c r="I3" s="32" t="s">
        <v>153</v>
      </c>
      <c r="J3" s="32" t="s">
        <v>154</v>
      </c>
      <c r="K3" s="42"/>
    </row>
    <row r="4" spans="1:11">
      <c r="A4" s="77" t="s">
        <v>156</v>
      </c>
      <c r="B4" s="32" t="s">
        <v>152</v>
      </c>
      <c r="C4" s="32" t="s">
        <v>17</v>
      </c>
      <c r="D4" s="32" t="s">
        <v>153</v>
      </c>
      <c r="E4" s="32" t="s">
        <v>153</v>
      </c>
      <c r="F4" s="32" t="s">
        <v>153</v>
      </c>
      <c r="G4" s="32" t="s">
        <v>153</v>
      </c>
      <c r="H4" s="32" t="s">
        <v>153</v>
      </c>
      <c r="I4" s="32" t="s">
        <v>153</v>
      </c>
      <c r="J4" s="32" t="s">
        <v>154</v>
      </c>
    </row>
    <row r="5" spans="1:11">
      <c r="A5" s="32" t="s">
        <v>157</v>
      </c>
      <c r="B5" s="32" t="s">
        <v>158</v>
      </c>
      <c r="C5" s="32" t="s">
        <v>17</v>
      </c>
      <c r="D5" s="32" t="s">
        <v>153</v>
      </c>
      <c r="E5" s="32" t="s">
        <v>153</v>
      </c>
      <c r="F5" s="32" t="s">
        <v>153</v>
      </c>
      <c r="G5" s="32" t="s">
        <v>153</v>
      </c>
      <c r="H5" s="32" t="s">
        <v>153</v>
      </c>
      <c r="I5" s="32" t="s">
        <v>153</v>
      </c>
      <c r="J5" s="32" t="s">
        <v>154</v>
      </c>
    </row>
    <row r="6" spans="1:11">
      <c r="A6" s="32" t="s">
        <v>159</v>
      </c>
      <c r="B6" s="32" t="s">
        <v>158</v>
      </c>
      <c r="C6" s="32" t="s">
        <v>17</v>
      </c>
      <c r="D6" s="32" t="s">
        <v>153</v>
      </c>
      <c r="E6" s="32" t="s">
        <v>153</v>
      </c>
      <c r="F6" s="32" t="s">
        <v>153</v>
      </c>
      <c r="G6" s="32" t="s">
        <v>153</v>
      </c>
      <c r="H6" s="32" t="s">
        <v>153</v>
      </c>
      <c r="I6" s="32" t="s">
        <v>153</v>
      </c>
      <c r="J6" s="32" t="s">
        <v>154</v>
      </c>
    </row>
    <row r="7" spans="1:11">
      <c r="A7" s="77" t="s">
        <v>160</v>
      </c>
      <c r="B7" s="32" t="s">
        <v>152</v>
      </c>
      <c r="C7" s="32" t="s">
        <v>14</v>
      </c>
      <c r="D7" s="32" t="s">
        <v>153</v>
      </c>
      <c r="E7" s="32" t="s">
        <v>153</v>
      </c>
      <c r="F7" s="32" t="s">
        <v>153</v>
      </c>
      <c r="G7" s="32" t="s">
        <v>153</v>
      </c>
      <c r="H7" s="32" t="s">
        <v>153</v>
      </c>
      <c r="I7" s="32" t="s">
        <v>153</v>
      </c>
      <c r="J7" s="32" t="s">
        <v>154</v>
      </c>
      <c r="K7" s="42"/>
    </row>
    <row r="8" spans="1:11">
      <c r="A8" s="77" t="s">
        <v>161</v>
      </c>
      <c r="B8" s="32" t="s">
        <v>152</v>
      </c>
      <c r="C8" s="32" t="s">
        <v>14</v>
      </c>
      <c r="D8" s="32" t="s">
        <v>153</v>
      </c>
      <c r="E8" s="32" t="s">
        <v>153</v>
      </c>
      <c r="F8" s="32" t="s">
        <v>153</v>
      </c>
      <c r="G8" s="32" t="s">
        <v>153</v>
      </c>
      <c r="H8" s="32" t="s">
        <v>153</v>
      </c>
      <c r="I8" s="32" t="s">
        <v>153</v>
      </c>
      <c r="J8" s="32" t="s">
        <v>154</v>
      </c>
    </row>
    <row r="9" spans="1:11">
      <c r="A9" s="77" t="s">
        <v>162</v>
      </c>
      <c r="B9" s="32" t="s">
        <v>163</v>
      </c>
      <c r="C9" s="32" t="s">
        <v>14</v>
      </c>
      <c r="D9" s="32" t="s">
        <v>153</v>
      </c>
      <c r="E9" s="32" t="s">
        <v>153</v>
      </c>
      <c r="F9" s="32" t="s">
        <v>153</v>
      </c>
      <c r="G9" s="32" t="s">
        <v>153</v>
      </c>
      <c r="H9" s="32" t="s">
        <v>153</v>
      </c>
      <c r="I9" s="32" t="s">
        <v>153</v>
      </c>
      <c r="J9" s="32" t="s">
        <v>154</v>
      </c>
    </row>
    <row r="10" spans="1:11">
      <c r="A10" s="32" t="s">
        <v>164</v>
      </c>
      <c r="B10" s="32" t="s">
        <v>158</v>
      </c>
      <c r="C10" s="32" t="s">
        <v>14</v>
      </c>
      <c r="D10" s="32" t="s">
        <v>153</v>
      </c>
      <c r="E10" s="32" t="s">
        <v>153</v>
      </c>
      <c r="F10" s="32" t="s">
        <v>153</v>
      </c>
      <c r="G10" s="32" t="s">
        <v>153</v>
      </c>
      <c r="H10" s="32" t="s">
        <v>153</v>
      </c>
      <c r="I10" s="32" t="s">
        <v>153</v>
      </c>
      <c r="J10" s="32" t="s">
        <v>154</v>
      </c>
    </row>
    <row r="11" spans="1:11">
      <c r="A11" s="77" t="s">
        <v>165</v>
      </c>
      <c r="B11" s="32" t="s">
        <v>152</v>
      </c>
      <c r="C11" s="32" t="s">
        <v>166</v>
      </c>
      <c r="D11" s="32" t="s">
        <v>153</v>
      </c>
      <c r="E11" s="32" t="s">
        <v>153</v>
      </c>
      <c r="F11" s="32" t="s">
        <v>153</v>
      </c>
      <c r="G11" s="32" t="s">
        <v>153</v>
      </c>
      <c r="H11" s="32" t="s">
        <v>153</v>
      </c>
      <c r="I11" s="32" t="s">
        <v>153</v>
      </c>
      <c r="J11" s="32" t="s">
        <v>154</v>
      </c>
    </row>
    <row r="12" spans="1:11">
      <c r="A12" s="77" t="s">
        <v>167</v>
      </c>
      <c r="B12" s="32" t="s">
        <v>152</v>
      </c>
      <c r="C12" s="32" t="s">
        <v>166</v>
      </c>
      <c r="D12" s="32" t="s">
        <v>153</v>
      </c>
      <c r="E12" s="32" t="s">
        <v>153</v>
      </c>
      <c r="F12" s="32" t="s">
        <v>153</v>
      </c>
      <c r="G12" s="32" t="s">
        <v>153</v>
      </c>
      <c r="H12" s="32" t="s">
        <v>153</v>
      </c>
      <c r="I12" s="32" t="s">
        <v>153</v>
      </c>
      <c r="J12" s="32" t="s">
        <v>154</v>
      </c>
    </row>
    <row r="13" spans="1:11">
      <c r="A13" s="77" t="s">
        <v>168</v>
      </c>
      <c r="B13" s="32" t="s">
        <v>152</v>
      </c>
      <c r="C13" s="32" t="s">
        <v>166</v>
      </c>
      <c r="D13" s="32" t="s">
        <v>153</v>
      </c>
      <c r="E13" s="32" t="s">
        <v>153</v>
      </c>
      <c r="F13" s="32" t="s">
        <v>153</v>
      </c>
      <c r="G13" s="32" t="s">
        <v>153</v>
      </c>
      <c r="H13" s="32" t="s">
        <v>153</v>
      </c>
      <c r="I13" s="32" t="s">
        <v>154</v>
      </c>
      <c r="J13" s="32" t="s">
        <v>153</v>
      </c>
    </row>
    <row r="14" spans="1:11">
      <c r="A14" s="77" t="s">
        <v>169</v>
      </c>
      <c r="B14" s="32" t="s">
        <v>152</v>
      </c>
      <c r="C14" s="32" t="s">
        <v>166</v>
      </c>
      <c r="D14" s="32" t="s">
        <v>153</v>
      </c>
      <c r="E14" s="32" t="s">
        <v>153</v>
      </c>
      <c r="F14" s="32" t="s">
        <v>153</v>
      </c>
      <c r="G14" s="32" t="s">
        <v>153</v>
      </c>
      <c r="H14" s="32" t="s">
        <v>153</v>
      </c>
      <c r="I14" s="32" t="s">
        <v>154</v>
      </c>
      <c r="J14" s="32" t="s">
        <v>153</v>
      </c>
    </row>
    <row r="15" spans="1:11">
      <c r="A15" s="32" t="s">
        <v>170</v>
      </c>
      <c r="B15" s="32" t="s">
        <v>171</v>
      </c>
      <c r="C15" s="32" t="s">
        <v>166</v>
      </c>
      <c r="D15" s="32" t="s">
        <v>153</v>
      </c>
      <c r="E15" s="32" t="s">
        <v>153</v>
      </c>
      <c r="F15" s="32" t="s">
        <v>153</v>
      </c>
      <c r="G15" s="32" t="s">
        <v>153</v>
      </c>
      <c r="H15" s="32" t="s">
        <v>153</v>
      </c>
      <c r="I15" s="32" t="s">
        <v>153</v>
      </c>
      <c r="J15" s="32" t="s">
        <v>154</v>
      </c>
    </row>
    <row r="16" spans="1:11">
      <c r="A16" s="32" t="s">
        <v>172</v>
      </c>
      <c r="B16" s="32" t="s">
        <v>152</v>
      </c>
      <c r="C16" s="32" t="s">
        <v>166</v>
      </c>
      <c r="D16" s="32" t="s">
        <v>153</v>
      </c>
      <c r="E16" s="32" t="s">
        <v>153</v>
      </c>
      <c r="F16" s="32" t="s">
        <v>153</v>
      </c>
      <c r="G16" s="32" t="s">
        <v>153</v>
      </c>
      <c r="H16" s="32" t="s">
        <v>153</v>
      </c>
      <c r="I16" s="32" t="s">
        <v>153</v>
      </c>
      <c r="J16" s="32" t="s">
        <v>154</v>
      </c>
    </row>
    <row r="17" spans="1:11">
      <c r="A17" s="77" t="s">
        <v>173</v>
      </c>
      <c r="B17" s="32" t="s">
        <v>174</v>
      </c>
      <c r="C17" s="32" t="s">
        <v>175</v>
      </c>
      <c r="D17" s="32" t="s">
        <v>153</v>
      </c>
      <c r="E17" s="32" t="s">
        <v>153</v>
      </c>
      <c r="F17" s="32" t="s">
        <v>153</v>
      </c>
      <c r="G17" s="32" t="s">
        <v>153</v>
      </c>
      <c r="H17" s="32" t="s">
        <v>153</v>
      </c>
      <c r="I17" s="32" t="s">
        <v>153</v>
      </c>
      <c r="J17" s="32" t="s">
        <v>154</v>
      </c>
      <c r="K17" s="42"/>
    </row>
    <row r="18" spans="1:11">
      <c r="A18" s="77" t="s">
        <v>176</v>
      </c>
      <c r="B18" s="32" t="s">
        <v>177</v>
      </c>
      <c r="C18" s="32" t="s">
        <v>175</v>
      </c>
      <c r="D18" s="32" t="s">
        <v>153</v>
      </c>
      <c r="E18" s="32" t="s">
        <v>153</v>
      </c>
      <c r="F18" s="32" t="s">
        <v>153</v>
      </c>
      <c r="G18" s="32" t="s">
        <v>153</v>
      </c>
      <c r="H18" s="32" t="s">
        <v>153</v>
      </c>
      <c r="I18" s="32" t="s">
        <v>153</v>
      </c>
      <c r="J18" s="32" t="s">
        <v>154</v>
      </c>
    </row>
    <row r="19" spans="1:11">
      <c r="A19" s="32" t="s">
        <v>178</v>
      </c>
      <c r="B19" s="32" t="s">
        <v>179</v>
      </c>
      <c r="C19" s="32" t="s">
        <v>175</v>
      </c>
      <c r="D19" s="32" t="s">
        <v>153</v>
      </c>
      <c r="E19" s="32" t="s">
        <v>153</v>
      </c>
      <c r="F19" s="32" t="s">
        <v>153</v>
      </c>
      <c r="G19" s="32" t="s">
        <v>153</v>
      </c>
      <c r="H19" s="32" t="s">
        <v>153</v>
      </c>
      <c r="I19" s="32" t="s">
        <v>153</v>
      </c>
      <c r="J19" s="32" t="s">
        <v>154</v>
      </c>
    </row>
    <row r="20" spans="1:11">
      <c r="A20" s="32" t="s">
        <v>180</v>
      </c>
      <c r="B20" s="32" t="s">
        <v>179</v>
      </c>
      <c r="C20" s="32" t="s">
        <v>175</v>
      </c>
      <c r="D20" s="32" t="s">
        <v>153</v>
      </c>
      <c r="E20" s="32" t="s">
        <v>153</v>
      </c>
      <c r="F20" s="32" t="s">
        <v>153</v>
      </c>
      <c r="G20" s="32" t="s">
        <v>153</v>
      </c>
      <c r="H20" s="32" t="s">
        <v>153</v>
      </c>
      <c r="I20" s="32" t="s">
        <v>153</v>
      </c>
      <c r="J20" s="32" t="s">
        <v>154</v>
      </c>
    </row>
    <row r="21" spans="1:11">
      <c r="A21" s="32" t="s">
        <v>181</v>
      </c>
      <c r="B21" s="32" t="s">
        <v>182</v>
      </c>
      <c r="C21" s="32" t="s">
        <v>175</v>
      </c>
      <c r="D21" s="32" t="s">
        <v>153</v>
      </c>
      <c r="E21" s="32" t="s">
        <v>153</v>
      </c>
      <c r="F21" s="32" t="s">
        <v>153</v>
      </c>
      <c r="G21" s="32" t="s">
        <v>153</v>
      </c>
      <c r="H21" s="32" t="s">
        <v>153</v>
      </c>
      <c r="I21" s="32" t="s">
        <v>153</v>
      </c>
      <c r="J21" s="32" t="s">
        <v>154</v>
      </c>
    </row>
    <row r="22" spans="1:11">
      <c r="A22" s="32" t="s">
        <v>183</v>
      </c>
      <c r="B22" s="32" t="s">
        <v>171</v>
      </c>
      <c r="C22" s="32" t="s">
        <v>184</v>
      </c>
      <c r="D22" s="32" t="s">
        <v>153</v>
      </c>
      <c r="E22" s="32" t="s">
        <v>153</v>
      </c>
      <c r="F22" s="32" t="s">
        <v>153</v>
      </c>
      <c r="G22" s="32" t="s">
        <v>153</v>
      </c>
      <c r="H22" s="32" t="s">
        <v>153</v>
      </c>
      <c r="I22" s="32" t="s">
        <v>153</v>
      </c>
      <c r="J22" s="32" t="s">
        <v>154</v>
      </c>
    </row>
  </sheetData>
  <conditionalFormatting sqref="D1:J1048576 K3 K7 K17">
    <cfRule type="cellIs" dxfId="3" priority="2" operator="equal">
      <formula>"Off"</formula>
    </cfRule>
  </conditionalFormatting>
  <conditionalFormatting sqref="D2:J22 K3 K7 K17">
    <cfRule type="cellIs" dxfId="2" priority="1" operator="equal">
      <formula>"09:00-17:30"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FB02-130F-4578-B70F-4F63A9AA30CC}">
  <dimension ref="A1:AL171"/>
  <sheetViews>
    <sheetView zoomScale="135" zoomScaleNormal="40" workbookViewId="0">
      <pane ySplit="1" topLeftCell="D51" activePane="bottomLeft" state="frozen"/>
      <selection pane="bottomLeft" activeCell="T49" sqref="T49"/>
    </sheetView>
  </sheetViews>
  <sheetFormatPr defaultRowHeight="15" customHeight="1"/>
  <cols>
    <col min="1" max="1" width="11.140625" customWidth="1"/>
    <col min="2" max="2" width="13.28515625" customWidth="1"/>
    <col min="3" max="3" width="13.42578125" customWidth="1"/>
    <col min="4" max="4" width="12.42578125" customWidth="1"/>
    <col min="5" max="5" width="14.140625" customWidth="1"/>
    <col min="20" max="20" width="41.85546875" customWidth="1"/>
    <col min="21" max="22" width="18.140625" customWidth="1"/>
    <col min="23" max="23" width="14.85546875" customWidth="1"/>
    <col min="24" max="24" width="29.5703125" bestFit="1" customWidth="1"/>
    <col min="25" max="25" width="29.5703125" style="103" bestFit="1" customWidth="1"/>
    <col min="26" max="26" width="18.42578125" style="103" bestFit="1" customWidth="1"/>
    <col min="27" max="27" width="11.5703125" bestFit="1" customWidth="1"/>
    <col min="28" max="28" width="15.28515625" bestFit="1" customWidth="1"/>
  </cols>
  <sheetData>
    <row r="1" spans="1:29" ht="24" customHeight="1">
      <c r="A1" s="30" t="s">
        <v>3</v>
      </c>
      <c r="B1" s="30" t="s">
        <v>185</v>
      </c>
      <c r="C1" s="30" t="s">
        <v>47</v>
      </c>
      <c r="D1" s="30" t="s">
        <v>186</v>
      </c>
      <c r="E1" s="30" t="s">
        <v>187</v>
      </c>
      <c r="T1" s="170" t="s">
        <v>1</v>
      </c>
      <c r="U1" s="170" t="s">
        <v>185</v>
      </c>
      <c r="V1" s="171" t="s">
        <v>47</v>
      </c>
      <c r="W1" s="171" t="s">
        <v>188</v>
      </c>
      <c r="Y1" s="104" t="s">
        <v>1</v>
      </c>
      <c r="Z1" s="106" t="s">
        <v>189</v>
      </c>
      <c r="AA1" s="105" t="s">
        <v>190</v>
      </c>
      <c r="AB1" s="105" t="s">
        <v>191</v>
      </c>
      <c r="AC1" s="106" t="s">
        <v>192</v>
      </c>
    </row>
    <row r="2" spans="1:29" ht="18.75" customHeight="1">
      <c r="A2" s="31">
        <f>'Daily Tracker'!E2</f>
        <v>46174</v>
      </c>
      <c r="B2">
        <f>'Daily Tracker'!$D$33</f>
        <v>266</v>
      </c>
      <c r="C2">
        <f>IFERROR(IF('Daily Tracker'!E33=0,NA(),'Daily Tracker'!E33),)</f>
        <v>191</v>
      </c>
      <c r="D2">
        <f>IF('Daily Tracker'!E37=0,NA(),'Daily Tracker'!E37)</f>
        <v>8</v>
      </c>
      <c r="E2">
        <f>B2-C2</f>
        <v>75</v>
      </c>
      <c r="T2" s="172" t="s">
        <v>15</v>
      </c>
      <c r="U2" s="173">
        <v>14</v>
      </c>
      <c r="V2" s="174" cm="1">
        <f t="array" aca="1" ref="V2:V12" ca="1">_xlfn.CHOOSECOLS('Daily Tracker'!CS3:FA13,_xlfn.XMATCH(TODAY()+1,'Daily Tracker'!CS2:FA2,0))</f>
        <v>0</v>
      </c>
      <c r="W2" s="174">
        <f ca="1">U2-V2</f>
        <v>14</v>
      </c>
      <c r="Y2" s="107" t="str">
        <f>'Daily Tracker'!C3</f>
        <v>C6 - Oil</v>
      </c>
      <c r="Z2" s="109">
        <f>'Daily Tracker'!$D3</f>
        <v>14</v>
      </c>
      <c r="AA2" s="108">
        <f>AVERAGEIFS('Daily Tracker'!$E3:$BL3,'Daily Tracker'!$E$33:$BL$33,"&gt;0")</f>
        <v>12.75925925925926</v>
      </c>
      <c r="AB2" s="108">
        <f t="shared" ref="AB2:AB25" si="0">Z2-AA2</f>
        <v>1.2407407407407405</v>
      </c>
      <c r="AC2" s="107"/>
    </row>
    <row r="3" spans="1:29" ht="18.75" customHeight="1">
      <c r="A3" s="31">
        <f>'Daily Tracker'!F2</f>
        <v>46175</v>
      </c>
      <c r="B3">
        <f>'Daily Tracker'!$D$33</f>
        <v>266</v>
      </c>
      <c r="C3">
        <f>IF('Daily Tracker'!F33=0,NA(),'Daily Tracker'!F33)</f>
        <v>204</v>
      </c>
      <c r="D3">
        <f>IF('Daily Tracker'!F37=0,NA(),'Daily Tracker'!F37)</f>
        <v>28</v>
      </c>
      <c r="E3">
        <f t="shared" ref="E3:E34" si="1">B3-C3</f>
        <v>62</v>
      </c>
      <c r="T3" s="172" t="s">
        <v>18</v>
      </c>
      <c r="U3" s="173">
        <v>24</v>
      </c>
      <c r="V3" s="174">
        <f ca="1"/>
        <v>0</v>
      </c>
      <c r="W3" s="174">
        <f t="shared" ref="W3:W16" ca="1" si="2">U3-V3</f>
        <v>24</v>
      </c>
      <c r="Y3" s="107" t="str">
        <f>'Daily Tracker'!C4</f>
        <v>C6 - Ghee</v>
      </c>
      <c r="Z3" s="109">
        <f>'Daily Tracker'!$D4</f>
        <v>24</v>
      </c>
      <c r="AA3" s="108">
        <f>AVERAGEIFS('Daily Tracker'!$E4:$BL4,'Daily Tracker'!$E$33:$BL$33,"&gt;0")</f>
        <v>33.355932203389834</v>
      </c>
      <c r="AB3" s="108">
        <f t="shared" si="0"/>
        <v>-9.355932203389834</v>
      </c>
      <c r="AC3" s="107"/>
    </row>
    <row r="4" spans="1:29" ht="18.75" customHeight="1">
      <c r="A4" s="31">
        <f>'Daily Tracker'!G2</f>
        <v>46176</v>
      </c>
      <c r="B4">
        <f>'Daily Tracker'!$D$33</f>
        <v>266</v>
      </c>
      <c r="C4">
        <f>IF('Daily Tracker'!G33=0,NA(),'Daily Tracker'!G33)</f>
        <v>210</v>
      </c>
      <c r="D4">
        <f>IF('Daily Tracker'!G37=0,NA(),'Daily Tracker'!G37)</f>
        <v>12</v>
      </c>
      <c r="E4">
        <f t="shared" si="1"/>
        <v>56</v>
      </c>
      <c r="T4" s="172" t="s">
        <v>25</v>
      </c>
      <c r="U4" s="173">
        <v>7</v>
      </c>
      <c r="V4" s="174">
        <f ca="1"/>
        <v>0</v>
      </c>
      <c r="W4" s="174">
        <f t="shared" ca="1" si="2"/>
        <v>7</v>
      </c>
      <c r="Y4" s="107" t="str">
        <f>'Daily Tracker'!C5</f>
        <v>C39 - MG batch Making</v>
      </c>
      <c r="Z4" s="109">
        <f>'Daily Tracker'!$D5</f>
        <v>7</v>
      </c>
      <c r="AA4" s="108">
        <f>AVERAGEIFS('Daily Tracker'!$E5:$BL5,'Daily Tracker'!$E$33:$BL$33,"&gt;0")</f>
        <v>9.0566037735849054</v>
      </c>
      <c r="AB4" s="108">
        <f t="shared" si="0"/>
        <v>-2.0566037735849054</v>
      </c>
      <c r="AC4" s="107"/>
    </row>
    <row r="5" spans="1:29" ht="18.75" customHeight="1">
      <c r="A5" s="31">
        <f>'Daily Tracker'!H2</f>
        <v>46177</v>
      </c>
      <c r="B5">
        <f>'Daily Tracker'!$D$33</f>
        <v>266</v>
      </c>
      <c r="C5">
        <f>IF('Daily Tracker'!H33=0,NA(),'Daily Tracker'!H33)</f>
        <v>217</v>
      </c>
      <c r="D5">
        <f>IF('Daily Tracker'!H37=0,NA(),'Daily Tracker'!H37)</f>
        <v>32</v>
      </c>
      <c r="E5">
        <f t="shared" si="1"/>
        <v>49</v>
      </c>
      <c r="T5" s="172" t="s">
        <v>193</v>
      </c>
      <c r="U5" s="173">
        <v>11</v>
      </c>
      <c r="V5" s="174">
        <f ca="1"/>
        <v>0</v>
      </c>
      <c r="W5" s="174">
        <f t="shared" ca="1" si="2"/>
        <v>11</v>
      </c>
      <c r="Y5" s="107" t="str">
        <f>'Daily Tracker'!C6</f>
        <v>Supply/ Dispatch (Common)</v>
      </c>
      <c r="Z5" s="109">
        <f>'Daily Tracker'!$D6</f>
        <v>11</v>
      </c>
      <c r="AA5" s="108">
        <f>AVERAGEIFS('Daily Tracker'!$E6:$BL6,'Daily Tracker'!$E$33:$BL$33,"&gt;0")</f>
        <v>11.055555555555555</v>
      </c>
      <c r="AB5" s="108">
        <f t="shared" si="0"/>
        <v>-5.5555555555555358E-2</v>
      </c>
      <c r="AC5" s="107"/>
    </row>
    <row r="6" spans="1:29" ht="18.75" customHeight="1">
      <c r="A6" s="31">
        <f>'Daily Tracker'!I2</f>
        <v>46178</v>
      </c>
      <c r="B6">
        <f>'Daily Tracker'!$D$33</f>
        <v>266</v>
      </c>
      <c r="C6">
        <f>IF('Daily Tracker'!I33=0,NA(),'Daily Tracker'!I33)</f>
        <v>200</v>
      </c>
      <c r="D6">
        <f>IF('Daily Tracker'!I37=0,NA(),'Daily Tracker'!I37)</f>
        <v>23.5</v>
      </c>
      <c r="E6">
        <f t="shared" si="1"/>
        <v>66</v>
      </c>
      <c r="T6" s="172" t="s">
        <v>24</v>
      </c>
      <c r="U6" s="173">
        <v>6</v>
      </c>
      <c r="V6" s="174">
        <f ca="1"/>
        <v>0</v>
      </c>
      <c r="W6" s="174">
        <f t="shared" ca="1" si="2"/>
        <v>6</v>
      </c>
      <c r="Y6" s="107" t="str">
        <f>'Daily Tracker'!C7</f>
        <v>Printer (Common)</v>
      </c>
      <c r="Z6" s="109">
        <f>'Daily Tracker'!$D7</f>
        <v>6</v>
      </c>
      <c r="AA6" s="108">
        <f>AVERAGEIFS('Daily Tracker'!$E7:$BL7,'Daily Tracker'!$E$33:$BL$33,"&gt;0")</f>
        <v>6.1886792452830193</v>
      </c>
      <c r="AB6" s="108">
        <f t="shared" si="0"/>
        <v>-0.18867924528301927</v>
      </c>
      <c r="AC6" s="107"/>
    </row>
    <row r="7" spans="1:29" ht="18.75" customHeight="1">
      <c r="A7" s="31">
        <f>'Daily Tracker'!J2</f>
        <v>46179</v>
      </c>
      <c r="B7">
        <f>'Daily Tracker'!$D$33</f>
        <v>266</v>
      </c>
      <c r="C7">
        <f>IF('Daily Tracker'!J33=0,NA(),'Daily Tracker'!J33)</f>
        <v>203</v>
      </c>
      <c r="D7">
        <f>IF('Daily Tracker'!J37=0,NA(),'Daily Tracker'!J37)</f>
        <v>18</v>
      </c>
      <c r="E7">
        <f t="shared" si="1"/>
        <v>63</v>
      </c>
      <c r="T7" s="172" t="s">
        <v>194</v>
      </c>
      <c r="U7" s="173">
        <v>16</v>
      </c>
      <c r="V7" s="174">
        <f ca="1"/>
        <v>0</v>
      </c>
      <c r="W7" s="174">
        <f t="shared" ca="1" si="2"/>
        <v>16</v>
      </c>
      <c r="Y7" s="107" t="str">
        <f>'Daily Tracker'!C8</f>
        <v>C6 - Raw Agri (Millets)</v>
      </c>
      <c r="Z7" s="109">
        <f>'Daily Tracker'!$D8</f>
        <v>16</v>
      </c>
      <c r="AA7" s="108">
        <f>AVERAGEIFS('Daily Tracker'!$E8:$BL8,'Daily Tracker'!$E$33:$BL$33,"&gt;0")</f>
        <v>13.283018867924529</v>
      </c>
      <c r="AB7" s="108">
        <f t="shared" si="0"/>
        <v>2.7169811320754711</v>
      </c>
      <c r="AC7" s="107"/>
    </row>
    <row r="8" spans="1:29" ht="18.75" customHeight="1">
      <c r="A8" s="31">
        <f>'Daily Tracker'!K2</f>
        <v>46180</v>
      </c>
      <c r="B8">
        <f>'Daily Tracker'!$D$33</f>
        <v>266</v>
      </c>
      <c r="C8">
        <f>IFERROR(IF('Daily Tracker'!K33=0,NA(),'Daily Tracker'!K33),0)</f>
        <v>0</v>
      </c>
      <c r="D8">
        <f>IFERROR(IF('Daily Tracker'!K37=0,NA(),'Daily Tracker'!K37),0)</f>
        <v>0</v>
      </c>
      <c r="E8">
        <f t="shared" si="1"/>
        <v>266</v>
      </c>
      <c r="T8" s="172" t="s">
        <v>32</v>
      </c>
      <c r="U8" s="173">
        <v>22</v>
      </c>
      <c r="V8" s="174">
        <f ca="1"/>
        <v>0</v>
      </c>
      <c r="W8" s="174">
        <f t="shared" ca="1" si="2"/>
        <v>22</v>
      </c>
      <c r="Y8" s="107" t="str">
        <f>'Daily Tracker'!C9</f>
        <v>C39 - Honey / all Spices</v>
      </c>
      <c r="Z8" s="109">
        <f>'Daily Tracker'!$D9</f>
        <v>22</v>
      </c>
      <c r="AA8" s="108">
        <f>AVERAGEIFS('Daily Tracker'!$E9:$BL9,'Daily Tracker'!$E$33:$BL$33,"&gt;0")</f>
        <v>12.433962264150944</v>
      </c>
      <c r="AB8" s="108">
        <f t="shared" si="0"/>
        <v>9.566037735849056</v>
      </c>
      <c r="AC8" s="107"/>
    </row>
    <row r="9" spans="1:29" ht="18.75" customHeight="1">
      <c r="A9" s="31">
        <f>'Daily Tracker'!L2</f>
        <v>46181</v>
      </c>
      <c r="B9">
        <f>'Daily Tracker'!$D$33</f>
        <v>266</v>
      </c>
      <c r="C9">
        <f>IF('Daily Tracker'!L33=0,NA(),'Daily Tracker'!L33)</f>
        <v>191</v>
      </c>
      <c r="D9">
        <f>IF('Daily Tracker'!L37=0,NA(),'Daily Tracker'!L37)</f>
        <v>20</v>
      </c>
      <c r="E9">
        <f t="shared" si="1"/>
        <v>75</v>
      </c>
      <c r="T9" s="172" t="s">
        <v>38</v>
      </c>
      <c r="U9" s="173">
        <v>9</v>
      </c>
      <c r="V9" s="174">
        <f ca="1"/>
        <v>0</v>
      </c>
      <c r="W9" s="174">
        <f t="shared" ca="1" si="2"/>
        <v>9</v>
      </c>
      <c r="Y9" s="107" t="str">
        <f>'Daily Tracker'!C10</f>
        <v>C39 - Jaggery</v>
      </c>
      <c r="Z9" s="109">
        <f>'Daily Tracker'!$D10</f>
        <v>9</v>
      </c>
      <c r="AA9" s="108">
        <f>AVERAGEIFS('Daily Tracker'!$E10:$BL10,'Daily Tracker'!$E$33:$BL$33,"&gt;0")</f>
        <v>13.39622641509434</v>
      </c>
      <c r="AB9" s="108">
        <f t="shared" si="0"/>
        <v>-4.3962264150943398</v>
      </c>
      <c r="AC9" s="107"/>
    </row>
    <row r="10" spans="1:29" ht="18.75" customHeight="1">
      <c r="A10" s="31">
        <f>'Daily Tracker'!M2</f>
        <v>46182</v>
      </c>
      <c r="B10">
        <f>'Daily Tracker'!$D$33</f>
        <v>266</v>
      </c>
      <c r="C10">
        <f>IF('Daily Tracker'!M33=0,NA(),'Daily Tracker'!M33)</f>
        <v>202</v>
      </c>
      <c r="D10">
        <f>IF('Daily Tracker'!M37=0,NA(),'Daily Tracker'!M37)</f>
        <v>20</v>
      </c>
      <c r="E10">
        <f t="shared" si="1"/>
        <v>64</v>
      </c>
      <c r="T10" s="172" t="s">
        <v>39</v>
      </c>
      <c r="U10" s="173">
        <v>22</v>
      </c>
      <c r="V10" s="174">
        <f ca="1"/>
        <v>0</v>
      </c>
      <c r="W10" s="174">
        <f t="shared" ca="1" si="2"/>
        <v>22</v>
      </c>
      <c r="Y10" s="107" t="str">
        <f>'Daily Tracker'!C11</f>
        <v>C39 - Atta</v>
      </c>
      <c r="Z10" s="109">
        <f>'Daily Tracker'!$D11</f>
        <v>22</v>
      </c>
      <c r="AA10" s="108">
        <f>AVERAGEIFS('Daily Tracker'!$E11:$BL11,'Daily Tracker'!$E$33:$BL$33,"&gt;0")</f>
        <v>24.464285714285715</v>
      </c>
      <c r="AB10" s="108">
        <f t="shared" si="0"/>
        <v>-2.4642857142857153</v>
      </c>
      <c r="AC10" s="107"/>
    </row>
    <row r="11" spans="1:29" ht="18.75" customHeight="1">
      <c r="A11" s="31">
        <f>'Daily Tracker'!N2</f>
        <v>46183</v>
      </c>
      <c r="B11">
        <f>'Daily Tracker'!$D$33</f>
        <v>266</v>
      </c>
      <c r="C11">
        <f>IF('Daily Tracker'!N33=0,NA(),'Daily Tracker'!N33)</f>
        <v>207</v>
      </c>
      <c r="D11">
        <f>IF('Daily Tracker'!N37=0,NA(),'Daily Tracker'!N37)</f>
        <v>36</v>
      </c>
      <c r="E11">
        <f t="shared" si="1"/>
        <v>59</v>
      </c>
      <c r="T11" s="172" t="s">
        <v>40</v>
      </c>
      <c r="U11" s="173">
        <v>14</v>
      </c>
      <c r="V11" s="174">
        <f ca="1"/>
        <v>0</v>
      </c>
      <c r="W11" s="174">
        <f t="shared" ca="1" si="2"/>
        <v>14</v>
      </c>
      <c r="Y11" s="107" t="str">
        <f>'Daily Tracker'!C12</f>
        <v>C6 - Atta - 1</v>
      </c>
      <c r="Z11" s="109">
        <f>'Daily Tracker'!$D12</f>
        <v>14</v>
      </c>
      <c r="AA11" s="108">
        <f>AVERAGEIFS('Daily Tracker'!$E12:$BL12,'Daily Tracker'!$E$33:$BL$33,"&gt;0")</f>
        <v>10.074074074074074</v>
      </c>
      <c r="AB11" s="108">
        <f t="shared" si="0"/>
        <v>3.9259259259259256</v>
      </c>
      <c r="AC11" s="107"/>
    </row>
    <row r="12" spans="1:29" ht="18.75" customHeight="1">
      <c r="A12" s="31">
        <f>'Daily Tracker'!O2</f>
        <v>46184</v>
      </c>
      <c r="B12">
        <f>'Daily Tracker'!$D$33</f>
        <v>266</v>
      </c>
      <c r="C12">
        <f>IF('Daily Tracker'!O33=0,NA(),'Daily Tracker'!O33)</f>
        <v>206</v>
      </c>
      <c r="D12">
        <f>IF('Daily Tracker'!O37=0,NA(),'Daily Tracker'!O37)</f>
        <v>48</v>
      </c>
      <c r="E12">
        <f t="shared" si="1"/>
        <v>60</v>
      </c>
      <c r="T12" s="172" t="s">
        <v>41</v>
      </c>
      <c r="U12" s="173">
        <v>11</v>
      </c>
      <c r="V12" s="174">
        <f ca="1"/>
        <v>0</v>
      </c>
      <c r="W12" s="174">
        <f t="shared" ca="1" si="2"/>
        <v>11</v>
      </c>
      <c r="Y12" s="107" t="str">
        <f>'Daily Tracker'!C13</f>
        <v>C6 Atta - 2</v>
      </c>
      <c r="Z12" s="109">
        <f>'Daily Tracker'!$D13</f>
        <v>11</v>
      </c>
      <c r="AA12" s="108">
        <f>AVERAGEIFS('Daily Tracker'!$E13:$BL13,'Daily Tracker'!$E$33:$BL$33,"&gt;0")</f>
        <v>3.2641509433962264</v>
      </c>
      <c r="AB12" s="108">
        <f t="shared" si="0"/>
        <v>7.7358490566037741</v>
      </c>
      <c r="AC12" s="107"/>
    </row>
    <row r="13" spans="1:29" ht="18.75" customHeight="1">
      <c r="A13" s="31">
        <f>'Daily Tracker'!P2</f>
        <v>46185</v>
      </c>
      <c r="B13">
        <f>'Daily Tracker'!$D$33</f>
        <v>266</v>
      </c>
      <c r="C13">
        <f>IF('Daily Tracker'!P33=0,NA(),'Daily Tracker'!P33)</f>
        <v>197</v>
      </c>
      <c r="D13">
        <f>IF('Daily Tracker'!P37=0,NA(),'Daily Tracker'!P37)</f>
        <v>38</v>
      </c>
      <c r="E13">
        <f t="shared" si="1"/>
        <v>69</v>
      </c>
      <c r="T13" s="172" t="s">
        <v>50</v>
      </c>
      <c r="U13" s="173">
        <v>14</v>
      </c>
      <c r="V13" s="174" cm="1">
        <f t="array" aca="1" ref="V13:V16" ca="1">_xlfn.CHOOSECOLS('Daily Tracker'!CS15:FA18,_xlfn.XMATCH(TODAY()+1,'Daily Tracker'!CS2:FA2,0))</f>
        <v>0</v>
      </c>
      <c r="W13" s="174">
        <f t="shared" ca="1" si="2"/>
        <v>14</v>
      </c>
      <c r="Y13" s="107" t="str">
        <f>'Daily Tracker'!C14</f>
        <v>FRM - Khapal-Khapli</v>
      </c>
      <c r="Z13" s="109">
        <f>'Daily Tracker'!$D14</f>
        <v>0</v>
      </c>
      <c r="AA13" s="108">
        <f>AVERAGEIFS('Daily Tracker'!$E14:$BL14,'Daily Tracker'!$E$33:$BL$33,"&gt;0")</f>
        <v>4.2380952380952381</v>
      </c>
      <c r="AB13" s="108">
        <f t="shared" si="0"/>
        <v>-4.2380952380952381</v>
      </c>
      <c r="AC13" s="107"/>
    </row>
    <row r="14" spans="1:29" ht="18.600000000000001" customHeight="1">
      <c r="A14" s="31">
        <f>'Daily Tracker'!Q2</f>
        <v>46186</v>
      </c>
      <c r="B14">
        <f>'Daily Tracker'!$D$33</f>
        <v>266</v>
      </c>
      <c r="C14">
        <f>IF('Daily Tracker'!Q33=0,NA(),'Daily Tracker'!Q33)</f>
        <v>189</v>
      </c>
      <c r="D14">
        <f>IF('Daily Tracker'!Q37=0,NA(),'Daily Tracker'!Q37)</f>
        <v>53.5</v>
      </c>
      <c r="E14">
        <f t="shared" si="1"/>
        <v>77</v>
      </c>
      <c r="T14" s="172" t="s">
        <v>51</v>
      </c>
      <c r="U14" s="173">
        <v>5</v>
      </c>
      <c r="V14" s="174">
        <f ca="1"/>
        <v>0</v>
      </c>
      <c r="W14" s="174">
        <f t="shared" ca="1" si="2"/>
        <v>5</v>
      </c>
      <c r="Y14" s="107" t="str">
        <f>'Daily Tracker'!C20</f>
        <v>Supervisors + Executive+AM +HR</v>
      </c>
      <c r="Z14" s="109">
        <f>'Daily Tracker'!$D20</f>
        <v>21</v>
      </c>
      <c r="AA14" s="108">
        <f>AVERAGEIFS('Daily Tracker'!$E20:$BL20,'Daily Tracker'!$E$33:$BL$33,"&gt;0")</f>
        <v>16.051724137931036</v>
      </c>
      <c r="AB14" s="108">
        <f t="shared" si="0"/>
        <v>4.9482758620689644</v>
      </c>
      <c r="AC14" s="107"/>
    </row>
    <row r="15" spans="1:29" ht="15" customHeight="1">
      <c r="A15" s="31">
        <f>'Daily Tracker'!R2</f>
        <v>46187</v>
      </c>
      <c r="B15">
        <f>'Daily Tracker'!$D$33</f>
        <v>266</v>
      </c>
      <c r="C15">
        <f>IF('Daily Tracker'!R33=0,NA(),'Daily Tracker'!R33)</f>
        <v>27</v>
      </c>
      <c r="D15">
        <f>IF('Daily Tracker'!R37=0,NA(),'Daily Tracker'!R37)</f>
        <v>23</v>
      </c>
      <c r="E15">
        <f t="shared" si="1"/>
        <v>239</v>
      </c>
      <c r="T15" s="172" t="s">
        <v>52</v>
      </c>
      <c r="U15" s="173">
        <v>7</v>
      </c>
      <c r="V15" s="174">
        <f ca="1"/>
        <v>0</v>
      </c>
      <c r="W15" s="174">
        <f t="shared" ca="1" si="2"/>
        <v>7</v>
      </c>
      <c r="Y15" s="107" t="str">
        <f>'Daily Tracker'!C21</f>
        <v>C39-HK</v>
      </c>
      <c r="Z15" s="109">
        <f>'Daily Tracker'!$D21</f>
        <v>5</v>
      </c>
      <c r="AA15" s="108">
        <f>AVERAGEIFS('Daily Tracker'!$E21:$BL21,'Daily Tracker'!$E$33:$BL$33,"&gt;0")</f>
        <v>4.2280701754385968</v>
      </c>
      <c r="AB15" s="108">
        <f t="shared" si="0"/>
        <v>0.77192982456140324</v>
      </c>
      <c r="AC15" s="107"/>
    </row>
    <row r="16" spans="1:29" ht="15" customHeight="1">
      <c r="A16" s="31">
        <f>'Daily Tracker'!S2</f>
        <v>46188</v>
      </c>
      <c r="B16">
        <f>'Daily Tracker'!$D$33</f>
        <v>266</v>
      </c>
      <c r="C16">
        <f>IF('Daily Tracker'!S33=0,NA(),'Daily Tracker'!S33)</f>
        <v>202</v>
      </c>
      <c r="D16">
        <f>IF('Daily Tracker'!S37=0,NA(),'Daily Tracker'!S37)</f>
        <v>67.5</v>
      </c>
      <c r="E16">
        <f t="shared" si="1"/>
        <v>64</v>
      </c>
      <c r="T16" s="172" t="s">
        <v>53</v>
      </c>
      <c r="U16" s="173">
        <v>21</v>
      </c>
      <c r="V16" s="174">
        <f ca="1"/>
        <v>0</v>
      </c>
      <c r="W16" s="174">
        <f t="shared" ca="1" si="2"/>
        <v>21</v>
      </c>
      <c r="Y16" s="107" t="str">
        <f>'Daily Tracker'!C22</f>
        <v>C6-HK</v>
      </c>
      <c r="Z16" s="109">
        <f>'Daily Tracker'!$D22</f>
        <v>9</v>
      </c>
      <c r="AA16" s="108">
        <f>AVERAGEIFS('Daily Tracker'!$E22:$BL22,'Daily Tracker'!$E$33:$BL$33,"&gt;0")</f>
        <v>7.9090909090909092</v>
      </c>
      <c r="AB16" s="108">
        <f t="shared" si="0"/>
        <v>1.0909090909090908</v>
      </c>
      <c r="AC16" s="107"/>
    </row>
    <row r="17" spans="1:38" ht="15" customHeight="1">
      <c r="A17" s="31">
        <f>'Daily Tracker'!T2</f>
        <v>46189</v>
      </c>
      <c r="B17">
        <f>'Daily Tracker'!$D$33</f>
        <v>266</v>
      </c>
      <c r="C17">
        <f>IF('Daily Tracker'!T33=0,NA(),'Daily Tracker'!T33)</f>
        <v>191</v>
      </c>
      <c r="D17">
        <f>IF('Daily Tracker'!T37=0,NA(),'Daily Tracker'!T37)</f>
        <v>52</v>
      </c>
      <c r="E17">
        <f t="shared" si="1"/>
        <v>75</v>
      </c>
      <c r="T17" s="175" t="s">
        <v>76</v>
      </c>
      <c r="U17" s="176">
        <f>SUM(U2:U16)</f>
        <v>203</v>
      </c>
      <c r="V17" s="176">
        <f ca="1">SUM(V2:V16)</f>
        <v>0</v>
      </c>
      <c r="W17" s="177">
        <f ca="1">U17-V17</f>
        <v>203</v>
      </c>
      <c r="Y17" s="107" t="str">
        <f>'Daily Tracker'!C23</f>
        <v>Maintenance-C6&amp;C39</v>
      </c>
      <c r="Z17" s="109">
        <f>'Daily Tracker'!$D23</f>
        <v>6</v>
      </c>
      <c r="AA17" s="108">
        <f>AVERAGEIFS('Daily Tracker'!$E23:$BL23,'Daily Tracker'!$E$33:$BL$33,"&gt;0")</f>
        <v>4.5172413793103452</v>
      </c>
      <c r="AB17" s="108">
        <f t="shared" si="0"/>
        <v>1.4827586206896548</v>
      </c>
      <c r="AC17" s="107"/>
    </row>
    <row r="18" spans="1:38" ht="15" customHeight="1">
      <c r="A18" s="31">
        <f>'Daily Tracker'!U2</f>
        <v>46190</v>
      </c>
      <c r="B18">
        <f>'Daily Tracker'!$D$33</f>
        <v>266</v>
      </c>
      <c r="C18">
        <f>IF('Daily Tracker'!U33=0,NA(),'Daily Tracker'!U33)</f>
        <v>212</v>
      </c>
      <c r="D18">
        <f>IF('Daily Tracker'!U37=0,NA(),'Daily Tracker'!U37)</f>
        <v>30</v>
      </c>
      <c r="E18">
        <f t="shared" si="1"/>
        <v>54</v>
      </c>
      <c r="V18" s="178"/>
      <c r="Y18" s="107" t="str">
        <f>'Daily Tracker'!C24</f>
        <v>Admin</v>
      </c>
      <c r="Z18" s="109">
        <f>'Daily Tracker'!$D24</f>
        <v>4</v>
      </c>
      <c r="AA18" s="108">
        <f>AVERAGEIFS('Daily Tracker'!$E24:$BL24,'Daily Tracker'!$E$33:$BL$33,"&gt;0")</f>
        <v>2.925925925925926</v>
      </c>
      <c r="AB18" s="108">
        <f t="shared" si="0"/>
        <v>1.074074074074074</v>
      </c>
      <c r="AC18" s="107"/>
    </row>
    <row r="19" spans="1:38" ht="15" customHeight="1">
      <c r="A19" s="31">
        <f>'Daily Tracker'!V2</f>
        <v>46191</v>
      </c>
      <c r="B19">
        <f>'Daily Tracker'!$D$33</f>
        <v>266</v>
      </c>
      <c r="C19">
        <f>IF('Daily Tracker'!V33=0,NA(),'Daily Tracker'!V33)</f>
        <v>203</v>
      </c>
      <c r="D19">
        <f>IF('Daily Tracker'!V37=0,NA(),'Daily Tracker'!V37)</f>
        <v>57</v>
      </c>
      <c r="E19">
        <f t="shared" si="1"/>
        <v>63</v>
      </c>
      <c r="T19" t="s">
        <v>195</v>
      </c>
      <c r="U19" s="178">
        <f ca="1">V17</f>
        <v>0</v>
      </c>
      <c r="V19" s="178"/>
      <c r="Y19" s="107" t="str">
        <f>'Daily Tracker'!C25</f>
        <v>Lab</v>
      </c>
      <c r="Z19" s="109">
        <f>'Daily Tracker'!$D25</f>
        <v>1</v>
      </c>
      <c r="AA19" s="108">
        <f>AVERAGEIFS('Daily Tracker'!$E25:$BL25,'Daily Tracker'!$E$33:$BL$33,"&gt;0")</f>
        <v>0.96296296296296291</v>
      </c>
      <c r="AB19" s="108">
        <f t="shared" si="0"/>
        <v>3.703703703703709E-2</v>
      </c>
      <c r="AC19" s="107"/>
    </row>
    <row r="20" spans="1:38" ht="15" customHeight="1">
      <c r="A20" s="31">
        <f>'Daily Tracker'!W2</f>
        <v>46192</v>
      </c>
      <c r="B20">
        <f>'Daily Tracker'!$D$33</f>
        <v>266</v>
      </c>
      <c r="C20">
        <f>IF('Daily Tracker'!W33=0,NA(),'Daily Tracker'!W33)</f>
        <v>219</v>
      </c>
      <c r="D20">
        <f>IF('Daily Tracker'!W37=0,NA(),'Daily Tracker'!W37)</f>
        <v>67.5</v>
      </c>
      <c r="E20">
        <f t="shared" si="1"/>
        <v>47</v>
      </c>
      <c r="T20" t="s">
        <v>196</v>
      </c>
      <c r="U20" s="179">
        <f ca="1">W17</f>
        <v>203</v>
      </c>
      <c r="V20" s="178"/>
      <c r="Y20" s="107" t="str">
        <f>'Daily Tracker'!C26</f>
        <v>Project</v>
      </c>
      <c r="Z20" s="109">
        <f>'Daily Tracker'!$D26</f>
        <v>2</v>
      </c>
      <c r="AA20" s="108">
        <f>AVERAGEIFS('Daily Tracker'!$E26:$BL26,'Daily Tracker'!$E$33:$BL$33,"&gt;0")</f>
        <v>1.6037735849056605</v>
      </c>
      <c r="AB20" s="108">
        <f t="shared" si="0"/>
        <v>0.39622641509433953</v>
      </c>
      <c r="AC20" s="107"/>
    </row>
    <row r="21" spans="1:38" ht="15" customHeight="1">
      <c r="A21" s="31">
        <f>'Daily Tracker'!X2</f>
        <v>46193</v>
      </c>
      <c r="B21">
        <f>'Daily Tracker'!$D$33</f>
        <v>266</v>
      </c>
      <c r="C21">
        <f>IF('Daily Tracker'!X33=0,NA(),'Daily Tracker'!X33)</f>
        <v>188</v>
      </c>
      <c r="D21" t="e">
        <f>IF('Daily Tracker'!X37=0,NA(),'Daily Tracker'!X37)</f>
        <v>#N/A</v>
      </c>
      <c r="E21">
        <f t="shared" si="1"/>
        <v>78</v>
      </c>
      <c r="T21" t="s">
        <v>197</v>
      </c>
      <c r="U21" s="178" cm="1">
        <f t="array" aca="1" ref="U21" ca="1">INDEX('Daily Tracker'!CS36:FA36,1,_xlfn.XMATCH(TODAY()+1,'Daily Tracker'!CS2:FA2,0))</f>
        <v>0</v>
      </c>
      <c r="V21" s="178"/>
      <c r="Y21" s="107" t="str">
        <f>'Daily Tracker'!C27</f>
        <v>Accounts</v>
      </c>
      <c r="Z21" s="109">
        <f>'Daily Tracker'!$D27</f>
        <v>2</v>
      </c>
      <c r="AA21" s="108">
        <f>AVERAGEIFS('Daily Tracker'!$E27:$BL27,'Daily Tracker'!$E$33:$BL$33,"&gt;0")</f>
        <v>1.6037735849056605</v>
      </c>
      <c r="AB21" s="108">
        <f t="shared" si="0"/>
        <v>0.39622641509433953</v>
      </c>
      <c r="AC21" s="107"/>
    </row>
    <row r="22" spans="1:38" ht="15" customHeight="1">
      <c r="A22" s="31">
        <f>'Daily Tracker'!Y2</f>
        <v>46194</v>
      </c>
      <c r="B22">
        <f>'Daily Tracker'!$D$33</f>
        <v>266</v>
      </c>
      <c r="C22">
        <f>IF('Daily Tracker'!Y33=0,NA(),'Daily Tracker'!Y33)</f>
        <v>39</v>
      </c>
      <c r="D22">
        <f>IF('Daily Tracker'!Y37=0,NA(),'Daily Tracker'!Y37)</f>
        <v>22.5</v>
      </c>
      <c r="E22">
        <f t="shared" si="1"/>
        <v>227</v>
      </c>
      <c r="T22" t="s">
        <v>198</v>
      </c>
      <c r="U22" s="178" cm="1">
        <f t="array" aca="1" ref="U22" ca="1">INDEX('Daily Tracker'!CS39:FA39,1,_xlfn.XMATCH(TODAY()+1,'Daily Tracker'!CS2:FA2,0))</f>
        <v>0</v>
      </c>
      <c r="Y22" s="107" t="str">
        <f>'Daily Tracker'!C28</f>
        <v>IT</v>
      </c>
      <c r="Z22" s="109">
        <f>'Daily Tracker'!$D28</f>
        <v>2</v>
      </c>
      <c r="AA22" s="108">
        <f>AVERAGEIFS('Daily Tracker'!$E28:$BL28,'Daily Tracker'!$E$33:$BL$33,"&gt;0")</f>
        <v>1.3396226415094339</v>
      </c>
      <c r="AB22" s="108">
        <f t="shared" si="0"/>
        <v>0.66037735849056611</v>
      </c>
      <c r="AC22" s="107"/>
    </row>
    <row r="23" spans="1:38" ht="15" customHeight="1">
      <c r="A23" s="31">
        <f>'Daily Tracker'!Z2</f>
        <v>46195</v>
      </c>
      <c r="B23">
        <f>'Daily Tracker'!$D$33</f>
        <v>266</v>
      </c>
      <c r="C23">
        <f>IF('Daily Tracker'!Z33=0,NA(),'Daily Tracker'!Z33)</f>
        <v>196</v>
      </c>
      <c r="D23">
        <f>IF('Daily Tracker'!Z37=0,NA(),'Daily Tracker'!Z37)</f>
        <v>54</v>
      </c>
      <c r="E23">
        <f t="shared" si="1"/>
        <v>70</v>
      </c>
      <c r="T23" t="s">
        <v>199</v>
      </c>
      <c r="U23" s="178" cm="1">
        <f t="array" aca="1" ref="U23" ca="1">INDEX('Daily Tracker'!CS40:FA40,1,_xlfn.XMATCH(TODAY()+1,'Daily Tracker'!CS2:FA2,0))</f>
        <v>0</v>
      </c>
      <c r="Y23" s="107" t="str">
        <f>'Daily Tracker'!C29</f>
        <v>QA</v>
      </c>
      <c r="Z23" s="109">
        <f>'Daily Tracker'!$D29</f>
        <v>9</v>
      </c>
      <c r="AA23" s="108">
        <f>AVERAGEIFS('Daily Tracker'!$E29:$BL29,'Daily Tracker'!$E$33:$BL$33,"&gt;0")</f>
        <v>6.2777777777777777</v>
      </c>
      <c r="AB23" s="108">
        <f t="shared" si="0"/>
        <v>2.7222222222222223</v>
      </c>
      <c r="AC23" s="107"/>
    </row>
    <row r="24" spans="1:38" ht="15" customHeight="1">
      <c r="A24" s="31">
        <f>'Daily Tracker'!AA2</f>
        <v>46196</v>
      </c>
      <c r="B24">
        <f>'Daily Tracker'!$D$33</f>
        <v>266</v>
      </c>
      <c r="C24">
        <f>IF('Daily Tracker'!AA33=0,NA(),'Daily Tracker'!AA33)</f>
        <v>198</v>
      </c>
      <c r="D24">
        <f>IF('Daily Tracker'!AA37=0,NA(),'Daily Tracker'!AA37)</f>
        <v>55</v>
      </c>
      <c r="E24">
        <f t="shared" si="1"/>
        <v>68</v>
      </c>
      <c r="T24" t="s">
        <v>200</v>
      </c>
      <c r="U24" s="178" cm="1">
        <f t="array" aca="1" ref="U24" ca="1">INDEX('Daily Tracker'!CS41:FA41,1,_xlfn.XMATCH(TODAY()+1,'Daily Tracker'!CS2:FA2,0))</f>
        <v>0</v>
      </c>
      <c r="Y24" s="107" t="str">
        <f>'Daily Tracker'!C30</f>
        <v>FRM</v>
      </c>
      <c r="Z24" s="109">
        <f>'Daily Tracker'!$D30</f>
        <v>2</v>
      </c>
      <c r="AA24" s="108">
        <f>AVERAGEIFS('Daily Tracker'!$E30:$BL30,'Daily Tracker'!$E$33:$BL$33,"&gt;0")</f>
        <v>0.64150943396226412</v>
      </c>
      <c r="AB24" s="108">
        <f t="shared" si="0"/>
        <v>1.358490566037736</v>
      </c>
      <c r="AC24" s="107"/>
    </row>
    <row r="25" spans="1:38" ht="15" customHeight="1">
      <c r="A25" s="31">
        <f>'Daily Tracker'!AB2</f>
        <v>46197</v>
      </c>
      <c r="B25">
        <f>'Daily Tracker'!$D$33</f>
        <v>266</v>
      </c>
      <c r="C25">
        <f>IF('Daily Tracker'!AB33=0,NA(),'Daily Tracker'!AB33)</f>
        <v>204</v>
      </c>
      <c r="D25">
        <f>IF('Daily Tracker'!AB37=0,NA(),'Daily Tracker'!AB37)</f>
        <v>59</v>
      </c>
      <c r="E25">
        <f t="shared" si="1"/>
        <v>62</v>
      </c>
      <c r="T25" t="s">
        <v>201</v>
      </c>
      <c r="U25" s="178" cm="1">
        <f t="array" aca="1" ref="U25" ca="1">INDEX('Daily Tracker'!CS42:FA42,1,_xlfn.XMATCH(TODAY()+1,'Daily Tracker'!CS2:FA2,0))</f>
        <v>0</v>
      </c>
      <c r="Y25" s="110" t="s">
        <v>202</v>
      </c>
      <c r="Z25" s="112">
        <f>'Daily Tracker'!$D$33</f>
        <v>266</v>
      </c>
      <c r="AA25" s="111">
        <f>AVERAGEIFS('Daily Tracker'!$E$33:$BL$33,'Daily Tracker'!$E$33:$BL$33,"&gt;0")</f>
        <v>186.5084745762712</v>
      </c>
      <c r="AB25" s="111">
        <f t="shared" si="0"/>
        <v>79.491525423728802</v>
      </c>
      <c r="AC25" s="113">
        <f>AVERAGEIFS('Daily Tracker'!$E$36:$BL$36,'Daily Tracker'!$E$33:$BL$33,"&gt;0")</f>
        <v>2.9090909090909092</v>
      </c>
    </row>
    <row r="26" spans="1:38" ht="15" customHeight="1">
      <c r="A26" s="31">
        <f>'Daily Tracker'!AC2</f>
        <v>46198</v>
      </c>
      <c r="B26">
        <f>'Daily Tracker'!$D$33</f>
        <v>266</v>
      </c>
      <c r="C26">
        <f>IF('Daily Tracker'!AC33=0,NA(),'Daily Tracker'!AC33)</f>
        <v>205</v>
      </c>
      <c r="D26">
        <f>IF('Daily Tracker'!AC37=0,NA(),'Daily Tracker'!AC37)</f>
        <v>51.5</v>
      </c>
      <c r="E26">
        <f t="shared" si="1"/>
        <v>61</v>
      </c>
      <c r="T26" t="s">
        <v>203</v>
      </c>
      <c r="U26" s="201" cm="1">
        <f t="array" aca="1" ref="U26" ca="1">INDEX('Daily Tracker'!CS15:FA15,1,_xlfn.XMATCH(TODAY()+1,'Daily Tracker'!CS2:FA2,0))</f>
        <v>0</v>
      </c>
    </row>
    <row r="27" spans="1:38">
      <c r="A27" s="31">
        <f>'Daily Tracker'!AD2</f>
        <v>46199</v>
      </c>
      <c r="B27">
        <f>'Daily Tracker'!$D$33</f>
        <v>266</v>
      </c>
      <c r="C27">
        <f>IF('Daily Tracker'!AD33=0,NA(),'Daily Tracker'!AD33)</f>
        <v>189</v>
      </c>
      <c r="D27">
        <f>IF('Daily Tracker'!AD37=0,NA(),'Daily Tracker'!AD37)</f>
        <v>49</v>
      </c>
      <c r="E27">
        <f t="shared" si="1"/>
        <v>77</v>
      </c>
      <c r="T27" t="s">
        <v>204</v>
      </c>
      <c r="U27" s="201" cm="1">
        <f t="array" aca="1" ref="U27" ca="1">INDEX('Daily Tracker'!CS16:FA16,1,_xlfn.XMATCH(TODAY()+1,'Daily Tracker'!CS2:FA2,0))</f>
        <v>0</v>
      </c>
    </row>
    <row r="28" spans="1:38">
      <c r="A28" s="31">
        <f>'Daily Tracker'!AE2</f>
        <v>46200</v>
      </c>
      <c r="B28">
        <f>'Daily Tracker'!$D$33</f>
        <v>266</v>
      </c>
      <c r="C28">
        <f>IF('Daily Tracker'!AE33=0,NA(),'Daily Tracker'!AE33)</f>
        <v>184</v>
      </c>
      <c r="D28">
        <f>IF('Daily Tracker'!AE37=0,NA(),'Daily Tracker'!AE37)</f>
        <v>58</v>
      </c>
      <c r="E28">
        <f t="shared" si="1"/>
        <v>82</v>
      </c>
      <c r="T28" t="s">
        <v>205</v>
      </c>
      <c r="U28" s="178" cm="1">
        <f t="array" aca="1" ref="U28" ca="1">INDEX('Daily Tracker'!CS17:FA17,1,_xlfn.XMATCH(TODAY()+1,'Daily Tracker'!CS2:FA2,0))</f>
        <v>0</v>
      </c>
    </row>
    <row r="29" spans="1:38" ht="14.45" customHeight="1">
      <c r="A29" s="31">
        <f>'Daily Tracker'!AF2</f>
        <v>46201</v>
      </c>
      <c r="B29">
        <f>'Daily Tracker'!$D$33</f>
        <v>266</v>
      </c>
      <c r="C29">
        <f>IF('Daily Tracker'!AF33=0,NA(),'Daily Tracker'!AF33)</f>
        <v>159</v>
      </c>
      <c r="D29">
        <f>IF('Daily Tracker'!AF37=0,NA(),'Daily Tracker'!AF37)</f>
        <v>23.5</v>
      </c>
      <c r="E29">
        <f t="shared" si="1"/>
        <v>107</v>
      </c>
      <c r="T29" t="s">
        <v>206</v>
      </c>
      <c r="U29" s="178" cm="1">
        <f t="array" aca="1" ref="U29" ca="1">INDEX('Daily Tracker'!CS18:FA18,1,_xlfn.XMATCH(TODAY()+1,'Daily Tracker'!CS2:FA2,0))</f>
        <v>0</v>
      </c>
    </row>
    <row r="30" spans="1:38" ht="14.45" customHeight="1">
      <c r="A30" s="31">
        <f>'Daily Tracker'!AG2</f>
        <v>46202</v>
      </c>
      <c r="B30">
        <f>'Daily Tracker'!$D$33</f>
        <v>266</v>
      </c>
      <c r="C30">
        <f>IF('Daily Tracker'!AG33=0,NA(),'Daily Tracker'!AG33)</f>
        <v>31</v>
      </c>
      <c r="D30">
        <f>IF('Daily Tracker'!AG37=0,NA(),'Daily Tracker'!AG37)</f>
        <v>41.5</v>
      </c>
      <c r="E30">
        <f t="shared" si="1"/>
        <v>235</v>
      </c>
      <c r="T30" t="str">
        <f>T1</f>
        <v>Section</v>
      </c>
      <c r="U30" t="str">
        <f t="shared" ref="U30:W30" si="3">U1</f>
        <v>Standard MP</v>
      </c>
      <c r="V30" t="str">
        <f t="shared" si="3"/>
        <v>Present MP</v>
      </c>
      <c r="W30" t="str">
        <f t="shared" si="3"/>
        <v>Absent MP</v>
      </c>
    </row>
    <row r="31" spans="1:38">
      <c r="A31" s="31">
        <f>'Daily Tracker'!AH2</f>
        <v>46203</v>
      </c>
      <c r="B31">
        <f>'Daily Tracker'!$D$33</f>
        <v>266</v>
      </c>
      <c r="C31">
        <f>IF('Daily Tracker'!AH33=0,NA(),'Daily Tracker'!AH33)</f>
        <v>210</v>
      </c>
      <c r="D31">
        <f>IF('Daily Tracker'!AH37=0,NA(),'Daily Tracker'!AH37)</f>
        <v>55.5</v>
      </c>
      <c r="E31">
        <f t="shared" si="1"/>
        <v>56</v>
      </c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t="str">
        <f t="shared" ref="T31:W46" si="4">T2</f>
        <v>C6 - Oil</v>
      </c>
      <c r="U31">
        <f t="shared" si="4"/>
        <v>14</v>
      </c>
      <c r="V31">
        <f t="shared" ca="1" si="4"/>
        <v>0</v>
      </c>
      <c r="W31">
        <f t="shared" ca="1" si="4"/>
        <v>14</v>
      </c>
      <c r="X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</row>
    <row r="32" spans="1:38">
      <c r="A32" s="31">
        <f>'Daily Tracker'!AI2</f>
        <v>46204</v>
      </c>
      <c r="B32">
        <f>'Daily Tracker'!$D$33</f>
        <v>266</v>
      </c>
      <c r="C32">
        <f>IF('Daily Tracker'!AI33=0,NA(),'Daily Tracker'!AI33)</f>
        <v>217</v>
      </c>
      <c r="D32">
        <f>IF('Daily Tracker'!AI37=0,NA(),'Daily Tracker'!AI37)</f>
        <v>64.5</v>
      </c>
      <c r="E32">
        <f t="shared" si="1"/>
        <v>49</v>
      </c>
      <c r="T32" t="str">
        <f t="shared" si="4"/>
        <v>C6 - Ghee</v>
      </c>
      <c r="U32">
        <f t="shared" si="4"/>
        <v>24</v>
      </c>
      <c r="V32">
        <f t="shared" ca="1" si="4"/>
        <v>0</v>
      </c>
      <c r="W32">
        <f t="shared" ca="1" si="4"/>
        <v>24</v>
      </c>
    </row>
    <row r="33" spans="1:26">
      <c r="A33" s="31">
        <f>'Daily Tracker'!AJ2</f>
        <v>46205</v>
      </c>
      <c r="B33">
        <f>'Daily Tracker'!$D$33</f>
        <v>266</v>
      </c>
      <c r="C33">
        <f>IF('Daily Tracker'!AJ33=0,NA(),'Daily Tracker'!AJ33)</f>
        <v>215</v>
      </c>
      <c r="D33">
        <f>IF('Daily Tracker'!AJ37=0,NA(),'Daily Tracker'!AJ37)</f>
        <v>64</v>
      </c>
      <c r="E33">
        <f t="shared" si="1"/>
        <v>51</v>
      </c>
      <c r="T33" t="str">
        <f t="shared" si="4"/>
        <v>C39 - MG batch Making</v>
      </c>
      <c r="U33">
        <f t="shared" si="4"/>
        <v>7</v>
      </c>
      <c r="V33">
        <f t="shared" ca="1" si="4"/>
        <v>0</v>
      </c>
      <c r="W33">
        <f t="shared" ca="1" si="4"/>
        <v>7</v>
      </c>
    </row>
    <row r="34" spans="1:26">
      <c r="A34" s="31">
        <f>'Daily Tracker'!AK2</f>
        <v>46206</v>
      </c>
      <c r="B34">
        <f>'Daily Tracker'!$D$33</f>
        <v>266</v>
      </c>
      <c r="C34">
        <f>IF('Daily Tracker'!AK33=0,NA(),'Daily Tracker'!AK33)</f>
        <v>223</v>
      </c>
      <c r="D34">
        <f>IF('Daily Tracker'!AK37=0,NA(),'Daily Tracker'!AK37)</f>
        <v>59</v>
      </c>
      <c r="E34">
        <f t="shared" si="1"/>
        <v>43</v>
      </c>
      <c r="T34" t="str">
        <f t="shared" si="4"/>
        <v>Supply/ Dispatch</v>
      </c>
      <c r="U34">
        <f t="shared" si="4"/>
        <v>11</v>
      </c>
      <c r="V34">
        <f t="shared" ca="1" si="4"/>
        <v>0</v>
      </c>
      <c r="W34">
        <f t="shared" ca="1" si="4"/>
        <v>11</v>
      </c>
    </row>
    <row r="35" spans="1:26">
      <c r="A35" s="31">
        <f>'Daily Tracker'!AL2</f>
        <v>46207</v>
      </c>
      <c r="B35">
        <f>'Daily Tracker'!$D$33</f>
        <v>266</v>
      </c>
      <c r="C35">
        <f>IF('Daily Tracker'!AL33=0,NA(),'Daily Tracker'!AL33)</f>
        <v>220</v>
      </c>
      <c r="D35">
        <f>IF('Daily Tracker'!AL37=0,NA(),'Daily Tracker'!AL37)</f>
        <v>54</v>
      </c>
      <c r="E35">
        <f>B35-C35</f>
        <v>46</v>
      </c>
      <c r="T35" t="str">
        <f t="shared" si="4"/>
        <v>Printer</v>
      </c>
      <c r="U35">
        <f t="shared" si="4"/>
        <v>6</v>
      </c>
      <c r="V35">
        <f t="shared" ca="1" si="4"/>
        <v>0</v>
      </c>
      <c r="W35">
        <f t="shared" ca="1" si="4"/>
        <v>6</v>
      </c>
    </row>
    <row r="36" spans="1:26">
      <c r="A36" s="31">
        <f>'Daily Tracker'!AM2</f>
        <v>46208</v>
      </c>
      <c r="B36">
        <f>'Daily Tracker'!$D$33</f>
        <v>266</v>
      </c>
      <c r="C36">
        <f>IF('Daily Tracker'!AM33=0,NA(),'Daily Tracker'!AM33)</f>
        <v>39</v>
      </c>
      <c r="D36">
        <f>IF('Daily Tracker'!AM37=0,NA(),'Daily Tracker'!AM37)</f>
        <v>22.5</v>
      </c>
      <c r="E36">
        <f t="shared" ref="E36:E99" si="5">B36-C36</f>
        <v>227</v>
      </c>
      <c r="T36" t="str">
        <f t="shared" si="4"/>
        <v>C6 Row Agri (millet)</v>
      </c>
      <c r="U36">
        <f t="shared" si="4"/>
        <v>16</v>
      </c>
      <c r="V36">
        <f t="shared" ca="1" si="4"/>
        <v>0</v>
      </c>
      <c r="W36">
        <f t="shared" ca="1" si="4"/>
        <v>16</v>
      </c>
    </row>
    <row r="37" spans="1:26">
      <c r="A37" s="31">
        <f>'Daily Tracker'!AN2</f>
        <v>46209</v>
      </c>
      <c r="B37">
        <f>'Daily Tracker'!$D$33</f>
        <v>266</v>
      </c>
      <c r="C37">
        <f>IF('Daily Tracker'!AN33=0,NA(),'Daily Tracker'!AN33)</f>
        <v>198</v>
      </c>
      <c r="D37">
        <f>IF('Daily Tracker'!AN37=0,NA(),'Daily Tracker'!AN37)</f>
        <v>47</v>
      </c>
      <c r="E37">
        <f t="shared" si="5"/>
        <v>68</v>
      </c>
      <c r="T37" t="str">
        <f t="shared" si="4"/>
        <v>C39 - Honey / all Spices</v>
      </c>
      <c r="U37">
        <f t="shared" si="4"/>
        <v>22</v>
      </c>
      <c r="V37">
        <f t="shared" ca="1" si="4"/>
        <v>0</v>
      </c>
      <c r="W37">
        <f t="shared" ca="1" si="4"/>
        <v>22</v>
      </c>
    </row>
    <row r="38" spans="1:26">
      <c r="A38" s="31">
        <f>'Daily Tracker'!AO2</f>
        <v>46210</v>
      </c>
      <c r="B38">
        <f>'Daily Tracker'!$D$33</f>
        <v>266</v>
      </c>
      <c r="C38">
        <f>IF('Daily Tracker'!AO33=0,NA(),'Daily Tracker'!AO33)</f>
        <v>208</v>
      </c>
      <c r="D38">
        <f>IF('Daily Tracker'!AO37=0,NA(),'Daily Tracker'!AO37)</f>
        <v>51</v>
      </c>
      <c r="E38">
        <f t="shared" si="5"/>
        <v>58</v>
      </c>
      <c r="T38" t="str">
        <f t="shared" si="4"/>
        <v>C39 - Jaggery</v>
      </c>
      <c r="U38">
        <f t="shared" si="4"/>
        <v>9</v>
      </c>
      <c r="V38">
        <f t="shared" ca="1" si="4"/>
        <v>0</v>
      </c>
      <c r="W38">
        <f t="shared" ca="1" si="4"/>
        <v>9</v>
      </c>
    </row>
    <row r="39" spans="1:26">
      <c r="A39" s="31">
        <f>'Daily Tracker'!AP2</f>
        <v>46211</v>
      </c>
      <c r="B39">
        <f>'Daily Tracker'!$D$33</f>
        <v>266</v>
      </c>
      <c r="C39">
        <f>IF('Daily Tracker'!AP33=0,NA(),'Daily Tracker'!AP33)</f>
        <v>209</v>
      </c>
      <c r="D39">
        <f>IF('Daily Tracker'!AP37=0,NA(),'Daily Tracker'!AP37)</f>
        <v>82.5</v>
      </c>
      <c r="E39">
        <f t="shared" si="5"/>
        <v>57</v>
      </c>
      <c r="T39" t="str">
        <f t="shared" si="4"/>
        <v>C39 - Atta</v>
      </c>
      <c r="U39">
        <f t="shared" si="4"/>
        <v>22</v>
      </c>
      <c r="V39">
        <f t="shared" ca="1" si="4"/>
        <v>0</v>
      </c>
      <c r="W39">
        <f t="shared" ca="1" si="4"/>
        <v>22</v>
      </c>
    </row>
    <row r="40" spans="1:26">
      <c r="A40" s="31">
        <f>'Daily Tracker'!AQ2</f>
        <v>46212</v>
      </c>
      <c r="B40">
        <f>'Daily Tracker'!$D$33</f>
        <v>266</v>
      </c>
      <c r="C40">
        <f>IF('Daily Tracker'!AQ33=0,NA(),'Daily Tracker'!AQ33)</f>
        <v>216</v>
      </c>
      <c r="D40">
        <f>IF('Daily Tracker'!AQ37=0,NA(),'Daily Tracker'!AQ37)</f>
        <v>60</v>
      </c>
      <c r="E40">
        <f t="shared" si="5"/>
        <v>50</v>
      </c>
      <c r="T40" t="str">
        <f t="shared" si="4"/>
        <v>C6 - Atta - 1</v>
      </c>
      <c r="U40">
        <f t="shared" si="4"/>
        <v>14</v>
      </c>
      <c r="V40">
        <f t="shared" ca="1" si="4"/>
        <v>0</v>
      </c>
      <c r="W40">
        <f t="shared" ca="1" si="4"/>
        <v>14</v>
      </c>
    </row>
    <row r="41" spans="1:26">
      <c r="A41" s="31">
        <f>'Daily Tracker'!AR2</f>
        <v>46213</v>
      </c>
      <c r="B41">
        <f>'Daily Tracker'!$D$33</f>
        <v>266</v>
      </c>
      <c r="C41">
        <f>IF('Daily Tracker'!AR33=0,NA(),'Daily Tracker'!AR33)</f>
        <v>221</v>
      </c>
      <c r="D41">
        <f>IF('Daily Tracker'!AR37=0,NA(),'Daily Tracker'!AR37)</f>
        <v>45.5</v>
      </c>
      <c r="E41">
        <f t="shared" si="5"/>
        <v>45</v>
      </c>
      <c r="T41" t="str">
        <f t="shared" si="4"/>
        <v>C6 Atta - 2</v>
      </c>
      <c r="U41">
        <f t="shared" si="4"/>
        <v>11</v>
      </c>
      <c r="V41">
        <f t="shared" ca="1" si="4"/>
        <v>0</v>
      </c>
      <c r="W41">
        <f t="shared" ca="1" si="4"/>
        <v>11</v>
      </c>
    </row>
    <row r="42" spans="1:26">
      <c r="A42" s="31">
        <f>'Daily Tracker'!AS2</f>
        <v>46214</v>
      </c>
      <c r="B42">
        <f>'Daily Tracker'!$D$33</f>
        <v>266</v>
      </c>
      <c r="C42">
        <f>IF('Daily Tracker'!AS33=0,NA(),'Daily Tracker'!AS33)</f>
        <v>224</v>
      </c>
      <c r="D42">
        <f>IF('Daily Tracker'!AS37=0,NA(),'Daily Tracker'!AS37)</f>
        <v>87</v>
      </c>
      <c r="E42">
        <f t="shared" si="5"/>
        <v>42</v>
      </c>
      <c r="T42" t="str">
        <f t="shared" si="4"/>
        <v>Total Ghee B Shift MP</v>
      </c>
      <c r="U42">
        <f t="shared" si="4"/>
        <v>14</v>
      </c>
      <c r="V42">
        <f t="shared" ca="1" si="4"/>
        <v>0</v>
      </c>
      <c r="W42">
        <f t="shared" ca="1" si="4"/>
        <v>14</v>
      </c>
    </row>
    <row r="43" spans="1:26">
      <c r="A43" s="31">
        <f>'Daily Tracker'!AT2</f>
        <v>46215</v>
      </c>
      <c r="B43">
        <f>'Daily Tracker'!$D$33</f>
        <v>266</v>
      </c>
      <c r="C43">
        <f>IF('Daily Tracker'!AT33=0,NA(),'Daily Tracker'!AT33)</f>
        <v>46</v>
      </c>
      <c r="D43">
        <f>IF('Daily Tracker'!AT37=0,NA(),'Daily Tracker'!AT37)</f>
        <v>40</v>
      </c>
      <c r="E43">
        <f t="shared" si="5"/>
        <v>220</v>
      </c>
      <c r="T43" t="str">
        <f t="shared" si="4"/>
        <v>Total Ghee Night MP</v>
      </c>
      <c r="U43">
        <f t="shared" si="4"/>
        <v>5</v>
      </c>
      <c r="V43">
        <f t="shared" ca="1" si="4"/>
        <v>0</v>
      </c>
      <c r="W43">
        <f t="shared" ca="1" si="4"/>
        <v>5</v>
      </c>
    </row>
    <row r="44" spans="1:26">
      <c r="A44" s="31">
        <f>'Daily Tracker'!AU2</f>
        <v>46216</v>
      </c>
      <c r="B44">
        <f>'Daily Tracker'!$D$33</f>
        <v>266</v>
      </c>
      <c r="C44">
        <f>IF('Daily Tracker'!AU33=0,NA(),'Daily Tracker'!AU33)</f>
        <v>213</v>
      </c>
      <c r="D44">
        <f>IF('Daily Tracker'!AU37=0,NA(),'Daily Tracker'!AU37)</f>
        <v>47.5</v>
      </c>
      <c r="E44">
        <f t="shared" si="5"/>
        <v>53</v>
      </c>
      <c r="T44" t="str">
        <f t="shared" si="4"/>
        <v>Total C6 Night MP</v>
      </c>
      <c r="U44">
        <f t="shared" si="4"/>
        <v>7</v>
      </c>
      <c r="V44">
        <f t="shared" ca="1" si="4"/>
        <v>0</v>
      </c>
      <c r="W44">
        <f t="shared" ca="1" si="4"/>
        <v>7</v>
      </c>
      <c r="Y44" s="253"/>
      <c r="Z44" s="253"/>
    </row>
    <row r="45" spans="1:26">
      <c r="A45" s="31">
        <f>'Daily Tracker'!AV2</f>
        <v>46217</v>
      </c>
      <c r="B45">
        <f>'Daily Tracker'!$D$33</f>
        <v>266</v>
      </c>
      <c r="C45">
        <f>IF('Daily Tracker'!AV33=0,NA(),'Daily Tracker'!AV33)</f>
        <v>218</v>
      </c>
      <c r="D45">
        <f>IF('Daily Tracker'!AV37=0,NA(),'Daily Tracker'!AV37)</f>
        <v>117.5</v>
      </c>
      <c r="E45">
        <f t="shared" si="5"/>
        <v>48</v>
      </c>
      <c r="T45" t="str">
        <f t="shared" si="4"/>
        <v>Total C39 Night MP</v>
      </c>
      <c r="U45">
        <f t="shared" si="4"/>
        <v>21</v>
      </c>
      <c r="V45">
        <f t="shared" ca="1" si="4"/>
        <v>0</v>
      </c>
      <c r="W45">
        <f t="shared" ca="1" si="4"/>
        <v>21</v>
      </c>
      <c r="X45" s="252"/>
      <c r="Y45" s="252"/>
      <c r="Z45" s="252"/>
    </row>
    <row r="46" spans="1:26">
      <c r="A46" s="31">
        <f>'Daily Tracker'!AW2</f>
        <v>46218</v>
      </c>
      <c r="B46">
        <f>'Daily Tracker'!$D$33</f>
        <v>266</v>
      </c>
      <c r="C46">
        <f>IF('Daily Tracker'!AW33=0,NA(),'Daily Tracker'!AW33)</f>
        <v>224</v>
      </c>
      <c r="D46">
        <f>IF('Daily Tracker'!AW37=0,NA(),'Daily Tracker'!AW37)</f>
        <v>155</v>
      </c>
      <c r="E46">
        <f t="shared" si="5"/>
        <v>42</v>
      </c>
      <c r="T46" t="str">
        <f t="shared" si="4"/>
        <v>Production Sub Total</v>
      </c>
      <c r="U46" s="274">
        <f>U17</f>
        <v>203</v>
      </c>
      <c r="V46" s="274">
        <f ca="1">V17</f>
        <v>0</v>
      </c>
      <c r="W46" s="274">
        <f ca="1">W17</f>
        <v>203</v>
      </c>
      <c r="X46" s="114"/>
      <c r="Y46" s="253"/>
      <c r="Z46" s="253"/>
    </row>
    <row r="47" spans="1:26">
      <c r="A47" s="31">
        <f>'Daily Tracker'!AX2</f>
        <v>46219</v>
      </c>
      <c r="B47">
        <f>'Daily Tracker'!$D$33</f>
        <v>266</v>
      </c>
      <c r="C47">
        <f>IF('Daily Tracker'!AX33=0,NA(),'Daily Tracker'!AX33)</f>
        <v>225</v>
      </c>
      <c r="D47">
        <f>IF('Daily Tracker'!AX37=0,NA(),'Daily Tracker'!AX37)</f>
        <v>150.5</v>
      </c>
      <c r="E47">
        <f t="shared" si="5"/>
        <v>41</v>
      </c>
      <c r="T47" s="114"/>
      <c r="X47" s="114"/>
    </row>
    <row r="48" spans="1:26">
      <c r="A48" s="31">
        <f>'Daily Tracker'!AY2</f>
        <v>46220</v>
      </c>
      <c r="B48">
        <f>'Daily Tracker'!$D$33</f>
        <v>266</v>
      </c>
      <c r="C48">
        <f>IF('Daily Tracker'!AY33=0,NA(),'Daily Tracker'!AY33)</f>
        <v>210</v>
      </c>
      <c r="D48">
        <f>IF('Daily Tracker'!AY37=0,NA(),'Daily Tracker'!AY37)</f>
        <v>150</v>
      </c>
      <c r="E48">
        <f t="shared" si="5"/>
        <v>56</v>
      </c>
      <c r="T48" s="114"/>
      <c r="X48" s="114"/>
    </row>
    <row r="49" spans="1:24">
      <c r="A49" s="31">
        <f>'Daily Tracker'!AZ2</f>
        <v>46221</v>
      </c>
      <c r="B49">
        <f>'Daily Tracker'!$D$33</f>
        <v>266</v>
      </c>
      <c r="C49">
        <f>IF('Daily Tracker'!AZ33=0,NA(),'Daily Tracker'!AZ33)</f>
        <v>106</v>
      </c>
      <c r="D49">
        <f>IF('Daily Tracker'!AZ37=0,NA(),'Daily Tracker'!AZ37)</f>
        <v>32</v>
      </c>
      <c r="E49">
        <f t="shared" si="5"/>
        <v>160</v>
      </c>
      <c r="T49" s="114"/>
      <c r="X49" s="114"/>
    </row>
    <row r="50" spans="1:24">
      <c r="A50" s="31">
        <f>'Daily Tracker'!BA2</f>
        <v>46222</v>
      </c>
      <c r="B50">
        <f>'Daily Tracker'!$D$33</f>
        <v>266</v>
      </c>
      <c r="C50">
        <f>IF('Daily Tracker'!BA33=0,NA(),'Daily Tracker'!BA33)</f>
        <v>96</v>
      </c>
      <c r="D50">
        <f>IF('Daily Tracker'!BA37=0,NA(),'Daily Tracker'!BA37)</f>
        <v>136</v>
      </c>
      <c r="E50">
        <f t="shared" si="5"/>
        <v>170</v>
      </c>
      <c r="T50" s="114"/>
      <c r="X50" s="114"/>
    </row>
    <row r="51" spans="1:24">
      <c r="A51" s="31">
        <f>'Daily Tracker'!BB2</f>
        <v>46223</v>
      </c>
      <c r="B51">
        <f>'Daily Tracker'!$D$33</f>
        <v>266</v>
      </c>
      <c r="C51">
        <f>IF('Daily Tracker'!BB33=0,NA(),'Daily Tracker'!BB33)</f>
        <v>204</v>
      </c>
      <c r="D51" t="e">
        <f>IF('Daily Tracker'!BB37=0,NA(),'Daily Tracker'!BB37)</f>
        <v>#N/A</v>
      </c>
      <c r="E51">
        <f t="shared" si="5"/>
        <v>62</v>
      </c>
      <c r="T51" s="114"/>
      <c r="X51" s="114"/>
    </row>
    <row r="52" spans="1:24">
      <c r="A52" s="31">
        <f>'Daily Tracker'!BC2</f>
        <v>46224</v>
      </c>
      <c r="B52">
        <f>'Daily Tracker'!$D$33</f>
        <v>266</v>
      </c>
      <c r="C52">
        <f>IF('Daily Tracker'!BC33=0,NA(),'Daily Tracker'!BC33)</f>
        <v>218</v>
      </c>
      <c r="D52">
        <f>IF('Daily Tracker'!BC37=0,NA(),'Daily Tracker'!BC37)</f>
        <v>135.5</v>
      </c>
      <c r="E52">
        <f t="shared" si="5"/>
        <v>48</v>
      </c>
      <c r="T52" s="114"/>
      <c r="X52" s="114"/>
    </row>
    <row r="53" spans="1:24">
      <c r="A53" s="31">
        <f>'Daily Tracker'!BD2</f>
        <v>46225</v>
      </c>
      <c r="B53">
        <f>'Daily Tracker'!$D$33</f>
        <v>266</v>
      </c>
      <c r="C53">
        <f>IF('Daily Tracker'!BD33=0,NA(),'Daily Tracker'!BD33)</f>
        <v>226</v>
      </c>
      <c r="D53">
        <f>IF('Daily Tracker'!BD37=0,NA(),'Daily Tracker'!BD37)</f>
        <v>187</v>
      </c>
      <c r="E53">
        <f t="shared" si="5"/>
        <v>40</v>
      </c>
      <c r="T53" s="114"/>
      <c r="X53" s="114"/>
    </row>
    <row r="54" spans="1:24">
      <c r="A54" s="31">
        <f>'Daily Tracker'!BE2</f>
        <v>46226</v>
      </c>
      <c r="B54">
        <f>'Daily Tracker'!$D$33</f>
        <v>266</v>
      </c>
      <c r="C54">
        <f>IF('Daily Tracker'!BE33=0,NA(),'Daily Tracker'!BE33)</f>
        <v>213</v>
      </c>
      <c r="D54">
        <f>IF('Daily Tracker'!BE37=0,NA(),'Daily Tracker'!BE37)</f>
        <v>193</v>
      </c>
      <c r="E54">
        <f t="shared" si="5"/>
        <v>53</v>
      </c>
      <c r="T54" s="114"/>
      <c r="X54" s="114"/>
    </row>
    <row r="55" spans="1:24">
      <c r="A55" s="31">
        <f>'Daily Tracker'!BF2</f>
        <v>46227</v>
      </c>
      <c r="B55">
        <f>'Daily Tracker'!$D$33</f>
        <v>266</v>
      </c>
      <c r="C55">
        <f>IF('Daily Tracker'!BF33=0,NA(),'Daily Tracker'!BF33)</f>
        <v>228</v>
      </c>
      <c r="D55">
        <f>IF('Daily Tracker'!BF37=0,NA(),'Daily Tracker'!BF37)</f>
        <v>157.5</v>
      </c>
      <c r="E55">
        <f t="shared" si="5"/>
        <v>38</v>
      </c>
      <c r="T55" s="114"/>
      <c r="X55" s="114"/>
    </row>
    <row r="56" spans="1:24">
      <c r="A56" s="31">
        <f>'Daily Tracker'!BG2</f>
        <v>46228</v>
      </c>
      <c r="B56">
        <f>'Daily Tracker'!$D$33</f>
        <v>266</v>
      </c>
      <c r="C56">
        <f>IF('Daily Tracker'!BG33=0,NA(),'Daily Tracker'!BG33)</f>
        <v>194</v>
      </c>
      <c r="D56">
        <f>IF('Daily Tracker'!BG37=0,NA(),'Daily Tracker'!BG37)</f>
        <v>140</v>
      </c>
      <c r="E56">
        <f t="shared" si="5"/>
        <v>72</v>
      </c>
      <c r="T56" s="114"/>
      <c r="X56" s="114"/>
    </row>
    <row r="57" spans="1:24">
      <c r="A57" s="31">
        <f>'Daily Tracker'!BH2</f>
        <v>46229</v>
      </c>
      <c r="B57">
        <f>'Daily Tracker'!$D$33</f>
        <v>266</v>
      </c>
      <c r="C57">
        <f>IF('Daily Tracker'!BH33=0,NA(),'Daily Tracker'!BH33)</f>
        <v>68</v>
      </c>
      <c r="D57">
        <f>IF('Daily Tracker'!BH37=0,NA(),'Daily Tracker'!BH37)</f>
        <v>87</v>
      </c>
      <c r="E57">
        <f t="shared" si="5"/>
        <v>198</v>
      </c>
      <c r="T57" s="114"/>
      <c r="X57" s="114"/>
    </row>
    <row r="58" spans="1:24">
      <c r="A58" s="31">
        <f>'Daily Tracker'!BI2</f>
        <v>46230</v>
      </c>
      <c r="B58">
        <f>'Daily Tracker'!$D$33</f>
        <v>266</v>
      </c>
      <c r="C58">
        <f>IF('Daily Tracker'!BI33=0,NA(),'Daily Tracker'!BI33)</f>
        <v>194</v>
      </c>
      <c r="D58">
        <f>IF('Daily Tracker'!BI37=0,NA(),'Daily Tracker'!BI37)</f>
        <v>30</v>
      </c>
      <c r="E58">
        <f t="shared" si="5"/>
        <v>72</v>
      </c>
      <c r="T58" s="114"/>
      <c r="X58" s="114"/>
    </row>
    <row r="59" spans="1:24">
      <c r="A59" s="31">
        <f>'Daily Tracker'!BJ2</f>
        <v>46231</v>
      </c>
      <c r="B59">
        <f>'Daily Tracker'!$D$33</f>
        <v>266</v>
      </c>
      <c r="C59">
        <f>IF('Daily Tracker'!BJ33=0,NA(),'Daily Tracker'!BJ33)</f>
        <v>218</v>
      </c>
      <c r="D59">
        <f>IF('Daily Tracker'!BJ37=0,NA(),'Daily Tracker'!BJ37)</f>
        <v>112</v>
      </c>
      <c r="E59">
        <f t="shared" si="5"/>
        <v>48</v>
      </c>
      <c r="T59" s="114"/>
      <c r="X59" s="114"/>
    </row>
    <row r="60" spans="1:24">
      <c r="A60" s="31">
        <f>'Daily Tracker'!BK2</f>
        <v>46232</v>
      </c>
      <c r="B60">
        <f>'Daily Tracker'!$D$33</f>
        <v>266</v>
      </c>
      <c r="C60">
        <f>IF('Daily Tracker'!BK33=0,NA(),'Daily Tracker'!BK33)</f>
        <v>230</v>
      </c>
      <c r="D60">
        <f>IF('Daily Tracker'!BK37=0,NA(),'Daily Tracker'!BK37)</f>
        <v>142</v>
      </c>
      <c r="E60">
        <f t="shared" si="5"/>
        <v>36</v>
      </c>
      <c r="T60" s="114"/>
      <c r="X60" s="114"/>
    </row>
    <row r="61" spans="1:24">
      <c r="A61" s="31">
        <f>'Daily Tracker'!BL2</f>
        <v>46233</v>
      </c>
      <c r="B61">
        <f>'Daily Tracker'!$D$33</f>
        <v>266</v>
      </c>
      <c r="C61">
        <f>IF('Daily Tracker'!BL33=0,NA(),'Daily Tracker'!BL33)</f>
        <v>209</v>
      </c>
      <c r="D61">
        <f>IF('Daily Tracker'!BL37=0,NA(),'Daily Tracker'!BL37)</f>
        <v>121</v>
      </c>
      <c r="E61">
        <f t="shared" si="5"/>
        <v>57</v>
      </c>
      <c r="T61" s="114"/>
      <c r="X61" s="114"/>
    </row>
    <row r="62" spans="1:24">
      <c r="A62" s="31">
        <f>'Daily Tracker'!BM2</f>
        <v>46234</v>
      </c>
      <c r="B62">
        <f>'Daily Tracker'!$D$33</f>
        <v>266</v>
      </c>
      <c r="C62">
        <f>IF('Daily Tracker'!BM33=0,NA(),'Daily Tracker'!BM33)</f>
        <v>226</v>
      </c>
      <c r="D62">
        <f>IF('Daily Tracker'!BM37=0,NA(),'Daily Tracker'!BM37)</f>
        <v>125</v>
      </c>
      <c r="E62">
        <f t="shared" si="5"/>
        <v>40</v>
      </c>
      <c r="T62" s="114"/>
      <c r="X62" s="114"/>
    </row>
    <row r="63" spans="1:24">
      <c r="A63" s="31">
        <f>'Daily Tracker'!BN2</f>
        <v>46235</v>
      </c>
      <c r="B63">
        <v>238</v>
      </c>
      <c r="C63">
        <f>IF('Daily Tracker'!BN33=0,NA(),'Daily Tracker'!BN33)</f>
        <v>223</v>
      </c>
      <c r="D63">
        <f>IF('Daily Tracker'!BN37=0,NA(),'Daily Tracker'!BN37)</f>
        <v>141</v>
      </c>
      <c r="E63">
        <f t="shared" si="5"/>
        <v>15</v>
      </c>
      <c r="T63" s="114"/>
      <c r="X63" s="114"/>
    </row>
    <row r="64" spans="1:24">
      <c r="A64" s="114">
        <f>'Daily Tracker'!BO2</f>
        <v>46236</v>
      </c>
      <c r="B64">
        <v>238</v>
      </c>
      <c r="C64">
        <f>IF('Daily Tracker'!BO33=0,NA(),'Daily Tracker'!BO33)</f>
        <v>52</v>
      </c>
      <c r="D64">
        <f>IF('Daily Tracker'!BO37=0,NA(),'Daily Tracker'!BO37)</f>
        <v>144</v>
      </c>
      <c r="E64">
        <f t="shared" si="5"/>
        <v>186</v>
      </c>
      <c r="T64" s="114"/>
      <c r="X64" s="114"/>
    </row>
    <row r="65" spans="1:26">
      <c r="A65" s="114">
        <f>'Daily Tracker'!BP2</f>
        <v>46237</v>
      </c>
      <c r="B65">
        <v>238</v>
      </c>
      <c r="C65">
        <f>IF('Daily Tracker'!BP33=0,NA(),'Daily Tracker'!BP33)</f>
        <v>224</v>
      </c>
      <c r="D65">
        <f>IF('Daily Tracker'!BP37=0,NA(),'Daily Tracker'!BP37)</f>
        <v>19.5</v>
      </c>
      <c r="E65">
        <f t="shared" si="5"/>
        <v>14</v>
      </c>
      <c r="T65" s="114"/>
      <c r="X65" s="114"/>
    </row>
    <row r="66" spans="1:26">
      <c r="A66" s="114">
        <f>'Daily Tracker'!BQ2</f>
        <v>46238</v>
      </c>
      <c r="B66">
        <v>238</v>
      </c>
      <c r="C66">
        <f>IF('Daily Tracker'!BQ33=0,NA(),'Daily Tracker'!BQ33)</f>
        <v>227</v>
      </c>
      <c r="D66">
        <f>IF('Daily Tracker'!BQ37=0,NA(),'Daily Tracker'!BQ37)</f>
        <v>93.5</v>
      </c>
      <c r="E66">
        <f t="shared" si="5"/>
        <v>11</v>
      </c>
      <c r="T66" s="114"/>
      <c r="X66" s="114"/>
    </row>
    <row r="67" spans="1:26">
      <c r="A67" s="114">
        <f>'Daily Tracker'!BR2</f>
        <v>46239</v>
      </c>
      <c r="B67">
        <v>238</v>
      </c>
      <c r="C67">
        <f>IF('Daily Tracker'!BR33=0,NA(),'Daily Tracker'!BR33)</f>
        <v>241</v>
      </c>
      <c r="D67">
        <f>IF('Daily Tracker'!BR37=0,NA(),'Daily Tracker'!BR37)</f>
        <v>124.5</v>
      </c>
      <c r="E67">
        <f t="shared" si="5"/>
        <v>-3</v>
      </c>
      <c r="T67" s="114"/>
      <c r="X67" s="114"/>
    </row>
    <row r="68" spans="1:26">
      <c r="A68" s="114">
        <f>'Daily Tracker'!BS2</f>
        <v>46240</v>
      </c>
      <c r="B68">
        <v>238</v>
      </c>
      <c r="C68">
        <f>IF('Daily Tracker'!BS33=0,NA(),'Daily Tracker'!BS33)</f>
        <v>123</v>
      </c>
      <c r="D68">
        <f>IF('Daily Tracker'!BS37=0,NA(),'Daily Tracker'!BS37)</f>
        <v>104</v>
      </c>
      <c r="E68">
        <f t="shared" si="5"/>
        <v>115</v>
      </c>
      <c r="T68" s="114"/>
      <c r="X68" s="114"/>
    </row>
    <row r="69" spans="1:26">
      <c r="A69" s="114">
        <f>'Daily Tracker'!BT2</f>
        <v>46241</v>
      </c>
      <c r="B69">
        <v>238</v>
      </c>
      <c r="C69">
        <f>IF('Daily Tracker'!BT33=0,NA(),'Daily Tracker'!BT33)</f>
        <v>225</v>
      </c>
      <c r="D69">
        <f>IF('Daily Tracker'!BT37=0,NA(),'Daily Tracker'!BT37)</f>
        <v>86.5</v>
      </c>
      <c r="E69">
        <f t="shared" si="5"/>
        <v>13</v>
      </c>
      <c r="T69" s="114"/>
      <c r="X69" s="114"/>
    </row>
    <row r="70" spans="1:26">
      <c r="A70" s="114">
        <f>'Daily Tracker'!BU2</f>
        <v>46242</v>
      </c>
      <c r="B70">
        <v>238</v>
      </c>
      <c r="C70">
        <f>IF('Daily Tracker'!BU33=0,NA(),'Daily Tracker'!BU33)</f>
        <v>232</v>
      </c>
      <c r="D70">
        <f>IF('Daily Tracker'!BU37=0,NA(),'Daily Tracker'!BU37)</f>
        <v>99.5</v>
      </c>
      <c r="E70">
        <f t="shared" si="5"/>
        <v>6</v>
      </c>
      <c r="T70" s="114"/>
      <c r="X70" s="114"/>
    </row>
    <row r="71" spans="1:26">
      <c r="A71" s="114">
        <f>'Daily Tracker'!BV2</f>
        <v>46243</v>
      </c>
      <c r="B71">
        <v>238</v>
      </c>
      <c r="C71">
        <f>IF('Daily Tracker'!BV33=0,NA(),'Daily Tracker'!BV33)</f>
        <v>156</v>
      </c>
      <c r="D71">
        <f>IF('Daily Tracker'!BV37=0,NA(),'Daily Tracker'!BV37)</f>
        <v>84</v>
      </c>
      <c r="E71">
        <f t="shared" si="5"/>
        <v>82</v>
      </c>
      <c r="T71" s="114"/>
      <c r="X71" s="114"/>
    </row>
    <row r="72" spans="1:26">
      <c r="A72" s="114">
        <f>'Daily Tracker'!BW2</f>
        <v>46244</v>
      </c>
      <c r="B72">
        <v>238</v>
      </c>
      <c r="C72">
        <f>IF('Daily Tracker'!BW33=0,NA(),'Daily Tracker'!BW33)</f>
        <v>210</v>
      </c>
      <c r="D72">
        <f>IF('Daily Tracker'!BW37=0,NA(),'Daily Tracker'!BW37)</f>
        <v>40</v>
      </c>
      <c r="E72">
        <f t="shared" si="5"/>
        <v>28</v>
      </c>
      <c r="F72">
        <v>180</v>
      </c>
      <c r="T72" s="114"/>
      <c r="X72" s="114"/>
    </row>
    <row r="73" spans="1:26">
      <c r="A73" s="114">
        <f>'Daily Tracker'!BX2</f>
        <v>46245</v>
      </c>
      <c r="B73">
        <v>238</v>
      </c>
      <c r="C73">
        <f>IF('Daily Tracker'!BX33=0,NA(),'Daily Tracker'!BX33)</f>
        <v>213</v>
      </c>
      <c r="D73">
        <f>IF('Daily Tracker'!BX37=0,NA(),'Daily Tracker'!BX37)</f>
        <v>101.5</v>
      </c>
      <c r="E73">
        <f t="shared" si="5"/>
        <v>25</v>
      </c>
      <c r="F73">
        <v>180</v>
      </c>
      <c r="T73" s="114"/>
      <c r="X73" s="114"/>
    </row>
    <row r="74" spans="1:26">
      <c r="A74" s="114">
        <f>'Daily Tracker'!BY2</f>
        <v>46246</v>
      </c>
      <c r="B74">
        <v>238</v>
      </c>
      <c r="C74">
        <f>IF('Daily Tracker'!BY33=0,NA(),'Daily Tracker'!BY33)</f>
        <v>229</v>
      </c>
      <c r="D74">
        <f>IF('Daily Tracker'!BY37=0,NA(),'Daily Tracker'!BY37)</f>
        <v>84</v>
      </c>
      <c r="E74">
        <f t="shared" si="5"/>
        <v>9</v>
      </c>
      <c r="F74">
        <v>180</v>
      </c>
      <c r="T74" s="114"/>
      <c r="X74" s="114"/>
    </row>
    <row r="75" spans="1:26">
      <c r="A75" s="114">
        <f>'Daily Tracker'!BZ2</f>
        <v>46247</v>
      </c>
      <c r="B75">
        <v>238</v>
      </c>
      <c r="C75">
        <v>231</v>
      </c>
      <c r="D75">
        <v>131</v>
      </c>
      <c r="E75">
        <f t="shared" si="5"/>
        <v>7</v>
      </c>
      <c r="F75">
        <v>180</v>
      </c>
      <c r="T75" s="114"/>
      <c r="X75" s="114"/>
    </row>
    <row r="76" spans="1:26">
      <c r="A76" s="114">
        <f>'Daily Tracker'!CA2</f>
        <v>46248</v>
      </c>
      <c r="B76">
        <v>238</v>
      </c>
      <c r="C76">
        <f>IF('Daily Tracker'!CA33=0,NA(),'Daily Tracker'!CA33)</f>
        <v>241</v>
      </c>
      <c r="D76">
        <f>IF('Daily Tracker'!CA37=0,NA(),'Daily Tracker'!CA37)</f>
        <v>38</v>
      </c>
      <c r="E76">
        <f t="shared" si="5"/>
        <v>-3</v>
      </c>
      <c r="F76">
        <v>180</v>
      </c>
      <c r="T76" s="114"/>
      <c r="X76" s="114"/>
      <c r="Z76"/>
    </row>
    <row r="77" spans="1:26">
      <c r="A77" s="114">
        <f>'Daily Tracker'!CB2</f>
        <v>46249</v>
      </c>
      <c r="B77">
        <v>238</v>
      </c>
      <c r="C77">
        <f>IF('Daily Tracker'!CB33=0,NA(),'Daily Tracker'!CB33)</f>
        <v>13</v>
      </c>
      <c r="D77" t="e">
        <f>IF('Daily Tracker'!CB37=0,NA(),'Daily Tracker'!CB37)</f>
        <v>#N/A</v>
      </c>
      <c r="E77">
        <f t="shared" si="5"/>
        <v>225</v>
      </c>
      <c r="F77">
        <v>180</v>
      </c>
      <c r="Y77"/>
      <c r="Z77"/>
    </row>
    <row r="78" spans="1:26">
      <c r="A78" s="114">
        <f>'Daily Tracker'!CC2</f>
        <v>46250</v>
      </c>
      <c r="B78">
        <v>238</v>
      </c>
      <c r="C78">
        <f>IF('Daily Tracker'!CC33=0,NA(),'Daily Tracker'!CC33)</f>
        <v>106</v>
      </c>
      <c r="D78" t="e">
        <f>IF('Daily Tracker'!CC37=0,NA(),'Daily Tracker'!CC37)</f>
        <v>#N/A</v>
      </c>
      <c r="E78">
        <f t="shared" si="5"/>
        <v>132</v>
      </c>
      <c r="F78">
        <v>180</v>
      </c>
      <c r="Y78"/>
      <c r="Z78"/>
    </row>
    <row r="79" spans="1:26">
      <c r="A79" s="114">
        <f>'Daily Tracker'!CD2</f>
        <v>46251</v>
      </c>
      <c r="B79">
        <v>238</v>
      </c>
      <c r="C79">
        <f>IF('Daily Tracker'!CD33=0,NA(),'Daily Tracker'!CD33)</f>
        <v>169</v>
      </c>
      <c r="D79">
        <f>IF('Daily Tracker'!CD37=0,NA(),'Daily Tracker'!CD37)</f>
        <v>84</v>
      </c>
      <c r="E79">
        <f t="shared" si="5"/>
        <v>69</v>
      </c>
      <c r="F79">
        <v>180</v>
      </c>
      <c r="Y79"/>
      <c r="Z79"/>
    </row>
    <row r="80" spans="1:26">
      <c r="A80" s="114">
        <f>'Daily Tracker'!CE2</f>
        <v>46252</v>
      </c>
      <c r="B80">
        <v>238</v>
      </c>
      <c r="C80">
        <f>IF('Daily Tracker'!CE33=0,NA(),'Daily Tracker'!CE33)</f>
        <v>249</v>
      </c>
      <c r="D80">
        <f>IF('Daily Tracker'!CE37=0,NA(),'Daily Tracker'!CE37)</f>
        <v>143</v>
      </c>
      <c r="E80">
        <f t="shared" si="5"/>
        <v>-11</v>
      </c>
      <c r="F80">
        <v>180</v>
      </c>
      <c r="Y80"/>
      <c r="Z80"/>
    </row>
    <row r="81" spans="1:26">
      <c r="A81" s="114">
        <f>'Daily Tracker'!CF2</f>
        <v>46253</v>
      </c>
      <c r="B81">
        <v>238</v>
      </c>
      <c r="C81">
        <f>IF('Daily Tracker'!CF33=0,NA(),'Daily Tracker'!CF33)</f>
        <v>245</v>
      </c>
      <c r="D81">
        <f>IF('Daily Tracker'!CF37=0,NA(),'Daily Tracker'!CF37)</f>
        <v>83</v>
      </c>
      <c r="E81">
        <f t="shared" si="5"/>
        <v>-7</v>
      </c>
      <c r="F81">
        <v>180</v>
      </c>
      <c r="Y81"/>
      <c r="Z81"/>
    </row>
    <row r="82" spans="1:26">
      <c r="A82" s="114">
        <f>'Daily Tracker'!CG2</f>
        <v>46254</v>
      </c>
      <c r="B82">
        <v>238</v>
      </c>
      <c r="C82">
        <f>IF('Daily Tracker'!CG33=0,NA(),'Daily Tracker'!CG33)</f>
        <v>228</v>
      </c>
      <c r="D82">
        <f>IF('Daily Tracker'!CG37=0,NA(),'Daily Tracker'!CG37)</f>
        <v>56.5</v>
      </c>
      <c r="E82">
        <f t="shared" si="5"/>
        <v>10</v>
      </c>
      <c r="F82">
        <v>180</v>
      </c>
      <c r="Y82"/>
      <c r="Z82"/>
    </row>
    <row r="83" spans="1:26">
      <c r="A83" s="114">
        <f>'Daily Tracker'!CH2</f>
        <v>46255</v>
      </c>
      <c r="B83">
        <v>238</v>
      </c>
      <c r="C83">
        <f>IF('Daily Tracker'!CH33=0,NA(),'Daily Tracker'!CH33)</f>
        <v>229</v>
      </c>
      <c r="D83">
        <f>IF('Daily Tracker'!CH37=0,NA(),'Daily Tracker'!CH37)</f>
        <v>42.5</v>
      </c>
      <c r="E83">
        <f t="shared" si="5"/>
        <v>9</v>
      </c>
      <c r="F83">
        <v>180</v>
      </c>
      <c r="Y83"/>
      <c r="Z83"/>
    </row>
    <row r="84" spans="1:26">
      <c r="A84" s="114">
        <f>'Daily Tracker'!CI2</f>
        <v>46256</v>
      </c>
      <c r="B84">
        <v>238</v>
      </c>
      <c r="C84">
        <f>IF('Daily Tracker'!CI33=0,NA(),'Daily Tracker'!CI33)</f>
        <v>233</v>
      </c>
      <c r="D84">
        <f>IF('Daily Tracker'!CI37=0,NA(),'Daily Tracker'!CI37)</f>
        <v>63</v>
      </c>
      <c r="E84">
        <f t="shared" si="5"/>
        <v>5</v>
      </c>
      <c r="F84">
        <v>180</v>
      </c>
      <c r="Y84"/>
      <c r="Z84"/>
    </row>
    <row r="85" spans="1:26">
      <c r="A85" s="114">
        <f>'Daily Tracker'!CJ2</f>
        <v>46257</v>
      </c>
      <c r="B85">
        <v>238</v>
      </c>
      <c r="C85">
        <f>IF('Daily Tracker'!CJ33=0,NA(),'Daily Tracker'!CJ33)</f>
        <v>69</v>
      </c>
      <c r="D85">
        <f>IF('Daily Tracker'!CJ37=0,NA(),'Daily Tracker'!CJ37)</f>
        <v>72.5</v>
      </c>
      <c r="E85">
        <f t="shared" si="5"/>
        <v>169</v>
      </c>
      <c r="F85">
        <v>180</v>
      </c>
      <c r="Y85"/>
      <c r="Z85"/>
    </row>
    <row r="86" spans="1:26">
      <c r="A86" s="114">
        <f>'Daily Tracker'!CK2</f>
        <v>46258</v>
      </c>
      <c r="B86">
        <v>238</v>
      </c>
      <c r="C86">
        <f>IF('Daily Tracker'!CK33=0,NA(),'Daily Tracker'!CK33)</f>
        <v>213</v>
      </c>
      <c r="D86">
        <f>IF('Daily Tracker'!CK37=0,NA(),'Daily Tracker'!CK37)</f>
        <v>40</v>
      </c>
      <c r="E86">
        <f t="shared" si="5"/>
        <v>25</v>
      </c>
      <c r="F86">
        <v>180</v>
      </c>
      <c r="Y86"/>
      <c r="Z86"/>
    </row>
    <row r="87" spans="1:26">
      <c r="A87" s="114">
        <f>'Daily Tracker'!CL2</f>
        <v>46259</v>
      </c>
      <c r="B87">
        <v>238</v>
      </c>
      <c r="C87">
        <f>IF('Daily Tracker'!CL33=0,NA(),'Daily Tracker'!CL33)</f>
        <v>230</v>
      </c>
      <c r="D87">
        <f>IF('Daily Tracker'!CL37=0,NA(),'Daily Tracker'!CL37)</f>
        <v>61</v>
      </c>
      <c r="E87">
        <f t="shared" si="5"/>
        <v>8</v>
      </c>
      <c r="F87">
        <v>180</v>
      </c>
      <c r="Y87"/>
      <c r="Z87"/>
    </row>
    <row r="88" spans="1:26">
      <c r="A88" s="114">
        <f>'Daily Tracker'!CM2</f>
        <v>46260</v>
      </c>
      <c r="B88">
        <v>238</v>
      </c>
      <c r="C88">
        <f>IF('Daily Tracker'!CM33=0,NA(),'Daily Tracker'!CM33)</f>
        <v>221</v>
      </c>
      <c r="D88">
        <f>IF('Daily Tracker'!CM37=0,NA(),'Daily Tracker'!CM37)</f>
        <v>65</v>
      </c>
      <c r="E88">
        <f t="shared" si="5"/>
        <v>17</v>
      </c>
      <c r="F88">
        <v>180</v>
      </c>
      <c r="Y88"/>
      <c r="Z88"/>
    </row>
    <row r="89" spans="1:26">
      <c r="A89" s="114">
        <f>'Daily Tracker'!CN2</f>
        <v>46261</v>
      </c>
      <c r="B89">
        <v>238</v>
      </c>
      <c r="C89">
        <f>IF('Daily Tracker'!CN33=0,NA(),'Daily Tracker'!CN33)</f>
        <v>224</v>
      </c>
      <c r="D89">
        <f>IF('Daily Tracker'!CN37=0,NA(),'Daily Tracker'!CN37)</f>
        <v>86</v>
      </c>
      <c r="E89">
        <f t="shared" si="5"/>
        <v>14</v>
      </c>
      <c r="F89">
        <v>180</v>
      </c>
      <c r="Y89"/>
      <c r="Z89"/>
    </row>
    <row r="90" spans="1:26" ht="15" customHeight="1">
      <c r="A90" s="114">
        <f>'Daily Tracker'!CO2</f>
        <v>46262</v>
      </c>
      <c r="B90">
        <v>238</v>
      </c>
      <c r="C90">
        <f>IF('Daily Tracker'!CO33=0,NA(),'Daily Tracker'!CO33)</f>
        <v>191</v>
      </c>
      <c r="D90">
        <f>IF('Daily Tracker'!CO37=0,NA(),'Daily Tracker'!CO37)</f>
        <v>45</v>
      </c>
      <c r="E90">
        <f t="shared" si="5"/>
        <v>47</v>
      </c>
      <c r="F90">
        <v>180</v>
      </c>
    </row>
    <row r="91" spans="1:26" ht="15" customHeight="1">
      <c r="A91" s="114">
        <f>'Daily Tracker'!CP2</f>
        <v>46263</v>
      </c>
      <c r="B91">
        <v>238</v>
      </c>
      <c r="C91">
        <f>IF('Daily Tracker'!CP33=0,NA(),'Daily Tracker'!CP33)</f>
        <v>189</v>
      </c>
      <c r="D91">
        <f>IF('Daily Tracker'!CP37=0,NA(),'Daily Tracker'!CP37)</f>
        <v>51.5</v>
      </c>
      <c r="E91">
        <f t="shared" si="5"/>
        <v>49</v>
      </c>
      <c r="F91">
        <v>180</v>
      </c>
    </row>
    <row r="92" spans="1:26" ht="15" customHeight="1">
      <c r="A92" s="114">
        <f>'Daily Tracker'!CQ2</f>
        <v>46264</v>
      </c>
      <c r="B92">
        <v>238</v>
      </c>
      <c r="C92">
        <f>IF('Daily Tracker'!CQ33=0,NA(),'Daily Tracker'!CQ33)</f>
        <v>50</v>
      </c>
      <c r="D92">
        <f>IF('Daily Tracker'!CQ37=0,NA(),'Daily Tracker'!CQ37)</f>
        <v>48</v>
      </c>
      <c r="E92">
        <f t="shared" si="5"/>
        <v>188</v>
      </c>
      <c r="F92">
        <v>180</v>
      </c>
    </row>
    <row r="93" spans="1:26" ht="15" customHeight="1">
      <c r="A93" s="114">
        <f>'Daily Tracker'!CR2</f>
        <v>46265</v>
      </c>
      <c r="B93">
        <v>238</v>
      </c>
      <c r="C93">
        <f>IF('Daily Tracker'!CR33=0,NA(),'Daily Tracker'!CR33)</f>
        <v>199</v>
      </c>
      <c r="D93">
        <f>IF('Daily Tracker'!CR37=0,NA(),'Daily Tracker'!CR37)</f>
        <v>27</v>
      </c>
      <c r="E93">
        <f t="shared" si="5"/>
        <v>39</v>
      </c>
      <c r="F93">
        <v>180</v>
      </c>
    </row>
    <row r="94" spans="1:26" ht="15" customHeight="1">
      <c r="A94" s="114">
        <f>'Daily Tracker'!CS2</f>
        <v>46266</v>
      </c>
      <c r="B94">
        <v>238</v>
      </c>
      <c r="C94">
        <f>IF('Daily Tracker'!CS33=0,NA(),'Daily Tracker'!CS33)</f>
        <v>223</v>
      </c>
      <c r="D94">
        <f>IF('Daily Tracker'!CS37=0,NA(),'Daily Tracker'!CS37)</f>
        <v>60</v>
      </c>
      <c r="E94">
        <f t="shared" si="5"/>
        <v>15</v>
      </c>
      <c r="F94">
        <v>180</v>
      </c>
    </row>
    <row r="95" spans="1:26" ht="15" customHeight="1">
      <c r="A95" s="114">
        <f>'Daily Tracker'!CT2</f>
        <v>46267</v>
      </c>
      <c r="B95">
        <v>238</v>
      </c>
      <c r="C95">
        <f>IF('Daily Tracker'!CT33=0,NA(),'Daily Tracker'!CT33)</f>
        <v>227</v>
      </c>
      <c r="D95">
        <f>IF('Daily Tracker'!CT37=0,NA(),'Daily Tracker'!CT37)</f>
        <v>36</v>
      </c>
      <c r="E95">
        <f t="shared" si="5"/>
        <v>11</v>
      </c>
      <c r="F95">
        <v>180</v>
      </c>
    </row>
    <row r="96" spans="1:26" ht="15" customHeight="1">
      <c r="A96" s="114">
        <f>'Daily Tracker'!CU2</f>
        <v>46268</v>
      </c>
      <c r="B96">
        <v>238</v>
      </c>
      <c r="C96">
        <f>IF('Daily Tracker'!CU33=0,NA(),'Daily Tracker'!CU33)</f>
        <v>222</v>
      </c>
      <c r="D96">
        <f>IF('Daily Tracker'!CU37=0,NA(),'Daily Tracker'!CU37)</f>
        <v>34</v>
      </c>
      <c r="E96">
        <f t="shared" si="5"/>
        <v>16</v>
      </c>
      <c r="F96">
        <v>180</v>
      </c>
    </row>
    <row r="97" spans="1:6" ht="15" customHeight="1">
      <c r="A97" s="114">
        <f>'Daily Tracker'!CV2</f>
        <v>46269</v>
      </c>
      <c r="B97">
        <v>238</v>
      </c>
      <c r="C97">
        <f>IF('Daily Tracker'!CV33=0,NA(),'Daily Tracker'!CV33)</f>
        <v>227</v>
      </c>
      <c r="D97">
        <f>IF('Daily Tracker'!CV37=0,NA(),'Daily Tracker'!CV37)</f>
        <v>41</v>
      </c>
      <c r="E97">
        <f t="shared" si="5"/>
        <v>11</v>
      </c>
      <c r="F97">
        <v>180</v>
      </c>
    </row>
    <row r="98" spans="1:6" ht="15" customHeight="1">
      <c r="A98" s="114">
        <f>'Daily Tracker'!CW2</f>
        <v>46270</v>
      </c>
      <c r="B98">
        <v>238</v>
      </c>
      <c r="C98">
        <f>IF('Daily Tracker'!CW33=0,NA(),'Daily Tracker'!CW33)</f>
        <v>209</v>
      </c>
      <c r="D98">
        <f>IF('Daily Tracker'!CW37=0,NA(),'Daily Tracker'!CW37)</f>
        <v>48</v>
      </c>
      <c r="E98">
        <f t="shared" si="5"/>
        <v>29</v>
      </c>
      <c r="F98">
        <v>180</v>
      </c>
    </row>
    <row r="99" spans="1:6" ht="15" customHeight="1">
      <c r="A99" s="114">
        <f>'Daily Tracker'!CX2</f>
        <v>46271</v>
      </c>
      <c r="B99">
        <v>238</v>
      </c>
      <c r="C99">
        <f>IF('Daily Tracker'!CX33=0,NA(),'Daily Tracker'!CX33)</f>
        <v>75</v>
      </c>
      <c r="D99">
        <f>IF('Daily Tracker'!CX37=0,NA(),'Daily Tracker'!CX37)</f>
        <v>41</v>
      </c>
      <c r="E99">
        <f t="shared" si="5"/>
        <v>163</v>
      </c>
      <c r="F99">
        <v>180</v>
      </c>
    </row>
    <row r="100" spans="1:6" ht="15" customHeight="1">
      <c r="A100" s="114">
        <f>'Daily Tracker'!CY2</f>
        <v>46272</v>
      </c>
      <c r="B100">
        <v>238</v>
      </c>
      <c r="C100">
        <f>IF('Daily Tracker'!CY33=0,NA(),'Daily Tracker'!CY33)</f>
        <v>196</v>
      </c>
      <c r="D100">
        <f>IF('Daily Tracker'!CY37=0,NA(),'Daily Tracker'!CY37)</f>
        <v>43</v>
      </c>
      <c r="E100">
        <f t="shared" ref="E100:E158" si="6">B100-C100</f>
        <v>42</v>
      </c>
      <c r="F100">
        <v>180</v>
      </c>
    </row>
    <row r="101" spans="1:6" ht="15" customHeight="1">
      <c r="A101" s="114">
        <f>'Daily Tracker'!CZ2</f>
        <v>46273</v>
      </c>
      <c r="B101">
        <v>238</v>
      </c>
      <c r="C101">
        <f>IF('Daily Tracker'!CZ33=0,NA(),'Daily Tracker'!CZ33)</f>
        <v>201</v>
      </c>
      <c r="D101">
        <f>IF('Daily Tracker'!CZ37=0,NA(),'Daily Tracker'!CZ37)</f>
        <v>46</v>
      </c>
      <c r="E101">
        <f t="shared" si="6"/>
        <v>37</v>
      </c>
      <c r="F101">
        <v>180</v>
      </c>
    </row>
    <row r="102" spans="1:6" ht="15" customHeight="1">
      <c r="A102" s="114">
        <f>'Daily Tracker'!DA2</f>
        <v>46274</v>
      </c>
      <c r="B102">
        <v>238</v>
      </c>
      <c r="C102">
        <f>IF('Daily Tracker'!DA33=0,NA(),'Daily Tracker'!DA33)</f>
        <v>212</v>
      </c>
      <c r="D102">
        <f>IF('Daily Tracker'!DA37=0,NA(),'Daily Tracker'!DA37)</f>
        <v>67</v>
      </c>
      <c r="E102">
        <f t="shared" si="6"/>
        <v>26</v>
      </c>
      <c r="F102">
        <v>180</v>
      </c>
    </row>
    <row r="103" spans="1:6" ht="15" customHeight="1">
      <c r="A103" s="114">
        <f>'Daily Tracker'!DB2</f>
        <v>46275</v>
      </c>
      <c r="B103">
        <v>238</v>
      </c>
      <c r="C103">
        <f>IF('Daily Tracker'!DB33=0,NA(),'Daily Tracker'!DB33)</f>
        <v>215</v>
      </c>
      <c r="D103">
        <f>IF('Daily Tracker'!DB37=0,NA(),'Daily Tracker'!DB37)</f>
        <v>56</v>
      </c>
      <c r="E103">
        <f t="shared" si="6"/>
        <v>23</v>
      </c>
      <c r="F103">
        <v>180</v>
      </c>
    </row>
    <row r="104" spans="1:6" ht="15" customHeight="1">
      <c r="A104" s="114">
        <f>'Daily Tracker'!DC2</f>
        <v>46276</v>
      </c>
      <c r="B104">
        <v>238</v>
      </c>
      <c r="C104">
        <f>IF('Daily Tracker'!DC33=0,NA(),'Daily Tracker'!DC33)</f>
        <v>217</v>
      </c>
      <c r="D104">
        <f>IF('Daily Tracker'!DC37=0,NA(),'Daily Tracker'!DC37)</f>
        <v>33</v>
      </c>
      <c r="E104">
        <f t="shared" si="6"/>
        <v>21</v>
      </c>
      <c r="F104">
        <v>180</v>
      </c>
    </row>
    <row r="105" spans="1:6" ht="15" customHeight="1">
      <c r="A105" s="114">
        <f>'Daily Tracker'!DD2</f>
        <v>46277</v>
      </c>
      <c r="B105">
        <v>238</v>
      </c>
      <c r="C105">
        <f>IF('Daily Tracker'!DD33=0,NA(),'Daily Tracker'!DD33)</f>
        <v>229</v>
      </c>
      <c r="D105">
        <f>IF('Daily Tracker'!DD37=0,NA(),'Daily Tracker'!DD37)</f>
        <v>32</v>
      </c>
      <c r="E105">
        <f t="shared" si="6"/>
        <v>9</v>
      </c>
      <c r="F105">
        <v>180</v>
      </c>
    </row>
    <row r="106" spans="1:6" ht="15" customHeight="1">
      <c r="A106" s="114">
        <f>'Daily Tracker'!DE2</f>
        <v>46278</v>
      </c>
      <c r="B106">
        <v>238</v>
      </c>
      <c r="C106">
        <f>IF('Daily Tracker'!DE33=0,NA(),'Daily Tracker'!DE33)</f>
        <v>96</v>
      </c>
      <c r="D106">
        <f>IF('Daily Tracker'!DE37=0,NA(),'Daily Tracker'!DE37)</f>
        <v>44</v>
      </c>
      <c r="E106">
        <f t="shared" si="6"/>
        <v>142</v>
      </c>
      <c r="F106">
        <v>180</v>
      </c>
    </row>
    <row r="107" spans="1:6" ht="15" customHeight="1">
      <c r="A107" s="114">
        <f>'Daily Tracker'!DF2</f>
        <v>46279</v>
      </c>
      <c r="B107">
        <v>238</v>
      </c>
      <c r="C107">
        <f>IF('Daily Tracker'!DF33=0,NA(),'Daily Tracker'!DF33)</f>
        <v>24</v>
      </c>
      <c r="D107" t="e">
        <f>IF('Daily Tracker'!DF37=0,NA(),'Daily Tracker'!DF37)</f>
        <v>#N/A</v>
      </c>
      <c r="E107">
        <f t="shared" si="6"/>
        <v>214</v>
      </c>
      <c r="F107">
        <v>180</v>
      </c>
    </row>
    <row r="108" spans="1:6" ht="15" customHeight="1">
      <c r="A108" s="114">
        <f>'Daily Tracker'!DG2</f>
        <v>46280</v>
      </c>
      <c r="B108">
        <v>238</v>
      </c>
      <c r="C108">
        <f>IF('Daily Tracker'!DG33=0,NA(),'Daily Tracker'!DG33)</f>
        <v>191</v>
      </c>
      <c r="D108" t="e">
        <f>IF('Daily Tracker'!DG37=0,NA(),'Daily Tracker'!DG37)</f>
        <v>#N/A</v>
      </c>
      <c r="E108">
        <f t="shared" si="6"/>
        <v>47</v>
      </c>
      <c r="F108">
        <v>180</v>
      </c>
    </row>
    <row r="109" spans="1:6" ht="15" customHeight="1">
      <c r="A109" s="114">
        <f>'Daily Tracker'!DH2</f>
        <v>46281</v>
      </c>
      <c r="B109">
        <v>238</v>
      </c>
      <c r="C109">
        <f>IF('Daily Tracker'!DH33=0,NA(),'Daily Tracker'!DH33)</f>
        <v>213</v>
      </c>
      <c r="D109">
        <f>IF('Daily Tracker'!DH37=0,NA(),'Daily Tracker'!DH37)</f>
        <v>20</v>
      </c>
      <c r="E109">
        <f t="shared" si="6"/>
        <v>25</v>
      </c>
      <c r="F109">
        <v>180</v>
      </c>
    </row>
    <row r="110" spans="1:6" ht="15" customHeight="1">
      <c r="A110" s="98">
        <f>'Daily Tracker'!DI2</f>
        <v>46282</v>
      </c>
      <c r="B110">
        <v>238</v>
      </c>
      <c r="C110">
        <v>123</v>
      </c>
      <c r="D110">
        <v>32</v>
      </c>
      <c r="E110">
        <f t="shared" si="6"/>
        <v>115</v>
      </c>
      <c r="F110">
        <v>180</v>
      </c>
    </row>
    <row r="111" spans="1:6" ht="15" customHeight="1">
      <c r="A111" s="98">
        <f>'Daily Tracker'!DJ2</f>
        <v>46283</v>
      </c>
      <c r="B111">
        <v>238</v>
      </c>
      <c r="C111">
        <f>IF('Daily Tracker'!DJ33=0,NA(),'Daily Tracker'!DJ33)</f>
        <v>192</v>
      </c>
      <c r="D111">
        <f>IF('Daily Tracker'!DJ37=0,NA(),'Daily Tracker'!DJ37)</f>
        <v>42</v>
      </c>
      <c r="E111">
        <f t="shared" si="6"/>
        <v>46</v>
      </c>
      <c r="F111">
        <v>180</v>
      </c>
    </row>
    <row r="112" spans="1:6" ht="15" customHeight="1">
      <c r="A112" s="98">
        <f>'Daily Tracker'!DK2</f>
        <v>46284</v>
      </c>
      <c r="B112">
        <v>238</v>
      </c>
      <c r="C112">
        <f>IF('Daily Tracker'!DK33=0,NA(),'Daily Tracker'!DK33)</f>
        <v>211</v>
      </c>
      <c r="D112">
        <f>IF('Daily Tracker'!DK37=0,NA(),'Daily Tracker'!DK37)</f>
        <v>47</v>
      </c>
      <c r="E112">
        <f t="shared" si="6"/>
        <v>27</v>
      </c>
      <c r="F112">
        <v>180</v>
      </c>
    </row>
    <row r="113" spans="1:6" ht="15" customHeight="1">
      <c r="A113" s="98">
        <f>'Daily Tracker'!DL2</f>
        <v>46285</v>
      </c>
      <c r="B113">
        <v>238</v>
      </c>
      <c r="C113">
        <f>IF('Daily Tracker'!DL33=0,NA(),'Daily Tracker'!DL33)</f>
        <v>94</v>
      </c>
      <c r="D113" t="e">
        <f>IF('Daily Tracker'!DL37=0,NA(),'Daily Tracker'!DL37)</f>
        <v>#N/A</v>
      </c>
      <c r="E113">
        <f t="shared" si="6"/>
        <v>144</v>
      </c>
      <c r="F113">
        <v>180</v>
      </c>
    </row>
    <row r="114" spans="1:6" ht="15" customHeight="1">
      <c r="A114" s="98">
        <f>'Daily Tracker'!DM2</f>
        <v>46286</v>
      </c>
      <c r="B114">
        <v>238</v>
      </c>
      <c r="C114">
        <f>IF('Daily Tracker'!DM33=0,NA(),'Daily Tracker'!DM33)</f>
        <v>186</v>
      </c>
      <c r="D114">
        <f>IF('Daily Tracker'!DM37=0,NA(),'Daily Tracker'!DM37)</f>
        <v>13</v>
      </c>
      <c r="E114">
        <f t="shared" si="6"/>
        <v>52</v>
      </c>
      <c r="F114">
        <v>180</v>
      </c>
    </row>
    <row r="115" spans="1:6" ht="15" customHeight="1">
      <c r="A115" s="98">
        <f>'Daily Tracker'!DN2</f>
        <v>46287</v>
      </c>
      <c r="B115">
        <v>238</v>
      </c>
      <c r="C115">
        <f>IF('Daily Tracker'!DN33=0,NA(),'Daily Tracker'!DN33)</f>
        <v>231</v>
      </c>
      <c r="D115">
        <f>IF('Daily Tracker'!DN37=0,NA(),'Daily Tracker'!DN37)</f>
        <v>158</v>
      </c>
      <c r="E115">
        <f t="shared" si="6"/>
        <v>7</v>
      </c>
      <c r="F115">
        <v>180</v>
      </c>
    </row>
    <row r="116" spans="1:6" ht="15" customHeight="1">
      <c r="A116" s="98">
        <f>'Daily Tracker'!DO2</f>
        <v>46288</v>
      </c>
      <c r="B116">
        <v>238</v>
      </c>
      <c r="C116">
        <f>IF('Daily Tracker'!DO33=0,NA(),'Daily Tracker'!DO33)</f>
        <v>235</v>
      </c>
      <c r="D116">
        <f>IF('Daily Tracker'!DO37=0,NA(),'Daily Tracker'!DO37)</f>
        <v>126</v>
      </c>
      <c r="E116">
        <f t="shared" si="6"/>
        <v>3</v>
      </c>
      <c r="F116">
        <v>180</v>
      </c>
    </row>
    <row r="117" spans="1:6" ht="15" customHeight="1">
      <c r="A117" s="98">
        <f>'Daily Tracker'!DP2</f>
        <v>46289</v>
      </c>
      <c r="B117">
        <v>238</v>
      </c>
      <c r="C117">
        <f>172+21+17</f>
        <v>210</v>
      </c>
      <c r="D117">
        <v>60</v>
      </c>
      <c r="E117">
        <f t="shared" si="6"/>
        <v>28</v>
      </c>
      <c r="F117">
        <v>180</v>
      </c>
    </row>
    <row r="118" spans="1:6" ht="15" customHeight="1">
      <c r="A118" s="98">
        <f>'Daily Tracker'!DQ2</f>
        <v>46290</v>
      </c>
      <c r="B118">
        <v>238</v>
      </c>
      <c r="C118">
        <f>IF('Daily Tracker'!DQ33=0,NA(),'Daily Tracker'!DQ33)</f>
        <v>204</v>
      </c>
      <c r="D118">
        <f>IF('Daily Tracker'!DQ37=0,NA(),'Daily Tracker'!DQ37)</f>
        <v>8</v>
      </c>
      <c r="E118">
        <f t="shared" si="6"/>
        <v>34</v>
      </c>
      <c r="F118">
        <v>180</v>
      </c>
    </row>
    <row r="119" spans="1:6" ht="15" customHeight="1">
      <c r="A119" s="98">
        <f>'Daily Tracker'!DR2</f>
        <v>46291</v>
      </c>
      <c r="B119">
        <v>238</v>
      </c>
      <c r="C119">
        <f>IF('Daily Tracker'!DR33=0,NA(),'Daily Tracker'!DR33)</f>
        <v>202</v>
      </c>
      <c r="D119">
        <f>IF('Daily Tracker'!DR37=0,NA(),'Daily Tracker'!DR37)</f>
        <v>70</v>
      </c>
      <c r="E119">
        <f t="shared" si="6"/>
        <v>36</v>
      </c>
      <c r="F119">
        <v>180</v>
      </c>
    </row>
    <row r="120" spans="1:6" ht="15" customHeight="1">
      <c r="A120" s="98">
        <f>'Daily Tracker'!DS2</f>
        <v>46292</v>
      </c>
      <c r="B120">
        <v>238</v>
      </c>
      <c r="C120">
        <f>IF('Daily Tracker'!DS33=0,NA(),'Daily Tracker'!DS33)</f>
        <v>139</v>
      </c>
      <c r="D120">
        <f>IF('Daily Tracker'!DS37=0,NA(),'Daily Tracker'!DS37)</f>
        <v>49</v>
      </c>
      <c r="E120">
        <f t="shared" si="6"/>
        <v>99</v>
      </c>
      <c r="F120">
        <v>180</v>
      </c>
    </row>
    <row r="121" spans="1:6" ht="15" customHeight="1">
      <c r="A121" s="98">
        <f>'Daily Tracker'!DT2</f>
        <v>46293</v>
      </c>
      <c r="B121">
        <v>238</v>
      </c>
      <c r="C121">
        <f>IF('Daily Tracker'!DT33=0,NA(),'Daily Tracker'!DT33)</f>
        <v>196</v>
      </c>
      <c r="D121">
        <f>IF('Daily Tracker'!DT37=0,NA(),'Daily Tracker'!DT37)</f>
        <v>12</v>
      </c>
      <c r="E121">
        <f t="shared" si="6"/>
        <v>42</v>
      </c>
      <c r="F121">
        <v>180</v>
      </c>
    </row>
    <row r="122" spans="1:6" ht="15" customHeight="1">
      <c r="A122" s="98">
        <f>'Daily Tracker'!DU2</f>
        <v>46294</v>
      </c>
      <c r="B122">
        <v>238</v>
      </c>
      <c r="C122">
        <f>IF('Daily Tracker'!DU33=0,NA(),'Daily Tracker'!DU33)</f>
        <v>214</v>
      </c>
      <c r="D122">
        <f>IF('Daily Tracker'!DU37=0,NA(),'Daily Tracker'!DU37)</f>
        <v>76</v>
      </c>
      <c r="E122">
        <f t="shared" si="6"/>
        <v>24</v>
      </c>
      <c r="F122">
        <v>180</v>
      </c>
    </row>
    <row r="123" spans="1:6" ht="15" customHeight="1">
      <c r="A123" s="98">
        <f>'Daily Tracker'!DV2</f>
        <v>46295</v>
      </c>
      <c r="B123">
        <v>238</v>
      </c>
      <c r="C123">
        <f>IF('Daily Tracker'!DV33=0,NA(),'Daily Tracker'!DV33)</f>
        <v>222</v>
      </c>
      <c r="D123" t="e">
        <f>IF('Daily Tracker'!DV37=0,NA(),'Daily Tracker'!DV37)</f>
        <v>#N/A</v>
      </c>
      <c r="E123">
        <f t="shared" si="6"/>
        <v>16</v>
      </c>
      <c r="F123">
        <v>180</v>
      </c>
    </row>
    <row r="124" spans="1:6" ht="15" customHeight="1">
      <c r="A124" s="98">
        <f>'Daily Tracker'!DW2</f>
        <v>46296</v>
      </c>
      <c r="B124">
        <v>238</v>
      </c>
      <c r="C124">
        <f>IF('Daily Tracker'!DW33=0,NA(),'Daily Tracker'!DW33)</f>
        <v>222</v>
      </c>
      <c r="D124">
        <f>IF('Daily Tracker'!DW37=0,NA(),'Daily Tracker'!DW37)</f>
        <v>103</v>
      </c>
      <c r="E124">
        <f t="shared" si="6"/>
        <v>16</v>
      </c>
      <c r="F124">
        <v>180</v>
      </c>
    </row>
    <row r="125" spans="1:6" ht="15" customHeight="1">
      <c r="A125" s="98">
        <f>'Daily Tracker'!DX2</f>
        <v>46297</v>
      </c>
      <c r="B125">
        <v>238</v>
      </c>
      <c r="C125" t="e">
        <f>IF('Daily Tracker'!DX33=0,NA(),'Daily Tracker'!DX33)</f>
        <v>#N/A</v>
      </c>
      <c r="D125" t="e">
        <f>IF('Daily Tracker'!DX37=0,NA(),'Daily Tracker'!DX37)</f>
        <v>#N/A</v>
      </c>
      <c r="E125" t="e">
        <f t="shared" si="6"/>
        <v>#N/A</v>
      </c>
      <c r="F125">
        <v>180</v>
      </c>
    </row>
    <row r="126" spans="1:6" ht="15" customHeight="1">
      <c r="A126" s="98">
        <f>'Daily Tracker'!DY2</f>
        <v>46298</v>
      </c>
      <c r="B126">
        <v>238</v>
      </c>
      <c r="C126">
        <f>IF('Daily Tracker'!DY33=0,NA(),'Daily Tracker'!DY33)</f>
        <v>194</v>
      </c>
      <c r="D126">
        <f>IF('Daily Tracker'!DY37=0,NA(),'Daily Tracker'!DY37)</f>
        <v>8</v>
      </c>
      <c r="E126">
        <f t="shared" si="6"/>
        <v>44</v>
      </c>
      <c r="F126">
        <v>180</v>
      </c>
    </row>
    <row r="127" spans="1:6" ht="15" customHeight="1">
      <c r="A127" s="98">
        <f>'Daily Tracker'!DZ2</f>
        <v>46299</v>
      </c>
      <c r="B127">
        <v>238</v>
      </c>
      <c r="C127">
        <f>IF('Daily Tracker'!DZ33=0,NA(),'Daily Tracker'!DZ33)</f>
        <v>103</v>
      </c>
      <c r="D127">
        <f>IF('Daily Tracker'!DZ37=0,NA(),'Daily Tracker'!DZ37)</f>
        <v>140</v>
      </c>
      <c r="E127">
        <f t="shared" si="6"/>
        <v>135</v>
      </c>
      <c r="F127">
        <v>180</v>
      </c>
    </row>
    <row r="128" spans="1:6" ht="15" customHeight="1">
      <c r="A128" s="98">
        <f>'Daily Tracker'!EA2</f>
        <v>46300</v>
      </c>
      <c r="B128">
        <v>238</v>
      </c>
      <c r="C128">
        <f>IF('Daily Tracker'!EA33=0,NA(),'Daily Tracker'!EA33)</f>
        <v>196</v>
      </c>
      <c r="D128" t="e">
        <f>IF('Daily Tracker'!EA37=0,NA(),'Daily Tracker'!EA37)</f>
        <v>#N/A</v>
      </c>
      <c r="E128">
        <f t="shared" si="6"/>
        <v>42</v>
      </c>
      <c r="F128">
        <v>180</v>
      </c>
    </row>
    <row r="129" spans="1:6" ht="15" customHeight="1">
      <c r="A129" s="98">
        <f>'Daily Tracker'!EB2</f>
        <v>46301</v>
      </c>
      <c r="B129">
        <v>238</v>
      </c>
      <c r="C129">
        <f>IF('Daily Tracker'!EB33=0,NA(),'Daily Tracker'!EB33)</f>
        <v>227</v>
      </c>
      <c r="D129">
        <f>IF('Daily Tracker'!EB37=0,NA(),'Daily Tracker'!EB37)</f>
        <v>112</v>
      </c>
      <c r="E129">
        <f t="shared" si="6"/>
        <v>11</v>
      </c>
      <c r="F129">
        <v>180</v>
      </c>
    </row>
    <row r="130" spans="1:6" ht="15" customHeight="1">
      <c r="A130" s="98">
        <f>'Daily Tracker'!EC2</f>
        <v>46302</v>
      </c>
      <c r="B130">
        <v>238</v>
      </c>
      <c r="C130">
        <f>IF('Daily Tracker'!EC33=0,NA(),'Daily Tracker'!EC33)</f>
        <v>222</v>
      </c>
      <c r="D130">
        <f>IF('Daily Tracker'!EC37=0,NA(),'Daily Tracker'!EC37)</f>
        <v>85</v>
      </c>
      <c r="E130">
        <f t="shared" si="6"/>
        <v>16</v>
      </c>
      <c r="F130">
        <v>180</v>
      </c>
    </row>
    <row r="131" spans="1:6" ht="15" customHeight="1">
      <c r="A131" s="98">
        <f>'Daily Tracker'!ED2</f>
        <v>46303</v>
      </c>
      <c r="B131">
        <v>238</v>
      </c>
      <c r="C131">
        <f>IF('Daily Tracker'!ED33=0,NA(),'Daily Tracker'!ED33)</f>
        <v>155</v>
      </c>
      <c r="D131">
        <f>IF('Daily Tracker'!ED37=0,NA(),'Daily Tracker'!ED37)</f>
        <v>92</v>
      </c>
      <c r="E131">
        <f t="shared" si="6"/>
        <v>83</v>
      </c>
      <c r="F131">
        <v>180</v>
      </c>
    </row>
    <row r="132" spans="1:6" ht="15" customHeight="1">
      <c r="A132" s="98">
        <f>'Daily Tracker'!EE2</f>
        <v>46304</v>
      </c>
      <c r="B132">
        <v>238</v>
      </c>
      <c r="C132">
        <f>IF('Daily Tracker'!EE33=0,NA(),'Daily Tracker'!EE33)</f>
        <v>231</v>
      </c>
      <c r="D132">
        <f>IF('Daily Tracker'!EE37=0,NA(),'Daily Tracker'!EE37)</f>
        <v>101</v>
      </c>
      <c r="E132">
        <f t="shared" si="6"/>
        <v>7</v>
      </c>
      <c r="F132">
        <v>180</v>
      </c>
    </row>
    <row r="133" spans="1:6" ht="15" customHeight="1">
      <c r="A133" s="98">
        <f>'Daily Tracker'!EF2</f>
        <v>46305</v>
      </c>
      <c r="B133">
        <v>238</v>
      </c>
      <c r="C133">
        <f>IF('Daily Tracker'!EF33=0,NA(),'Daily Tracker'!EF33)</f>
        <v>211</v>
      </c>
      <c r="D133">
        <f>IF('Daily Tracker'!EF37=0,NA(),'Daily Tracker'!EF37)</f>
        <v>90</v>
      </c>
      <c r="E133">
        <f t="shared" si="6"/>
        <v>27</v>
      </c>
      <c r="F133">
        <v>180</v>
      </c>
    </row>
    <row r="134" spans="1:6" ht="15" customHeight="1">
      <c r="A134" s="98">
        <f>'Daily Tracker'!EG2</f>
        <v>46306</v>
      </c>
      <c r="B134">
        <v>238</v>
      </c>
      <c r="C134">
        <f>IF('Daily Tracker'!EG33=0,NA(),'Daily Tracker'!EG33)</f>
        <v>91</v>
      </c>
      <c r="D134">
        <f>IF('Daily Tracker'!EG37=0,NA(),'Daily Tracker'!EG37)</f>
        <v>96</v>
      </c>
      <c r="E134">
        <f t="shared" si="6"/>
        <v>147</v>
      </c>
      <c r="F134">
        <v>180</v>
      </c>
    </row>
    <row r="135" spans="1:6" ht="15" customHeight="1">
      <c r="A135" s="98">
        <f>'Daily Tracker'!EH2</f>
        <v>46307</v>
      </c>
      <c r="B135">
        <v>238</v>
      </c>
      <c r="C135">
        <f>IF('Daily Tracker'!EH33=0,NA(),'Daily Tracker'!EH33)</f>
        <v>195</v>
      </c>
      <c r="D135" t="e">
        <f>IF('Daily Tracker'!EH37=0,NA(),'Daily Tracker'!EH37)</f>
        <v>#N/A</v>
      </c>
      <c r="E135">
        <f t="shared" si="6"/>
        <v>43</v>
      </c>
      <c r="F135">
        <v>180</v>
      </c>
    </row>
    <row r="136" spans="1:6" ht="15" customHeight="1">
      <c r="A136" s="98">
        <f>'Daily Tracker'!EI2</f>
        <v>46308</v>
      </c>
      <c r="B136">
        <v>238</v>
      </c>
      <c r="C136">
        <f>IF('Daily Tracker'!EI33=0,NA(),'Daily Tracker'!EI33)</f>
        <v>234</v>
      </c>
      <c r="D136">
        <f>IF('Daily Tracker'!EI37=0,NA(),'Daily Tracker'!EI37)</f>
        <v>92</v>
      </c>
      <c r="E136">
        <f t="shared" si="6"/>
        <v>4</v>
      </c>
      <c r="F136">
        <v>180</v>
      </c>
    </row>
    <row r="137" spans="1:6" ht="15" customHeight="1">
      <c r="A137" s="98">
        <f>'Daily Tracker'!EJ2</f>
        <v>46309</v>
      </c>
      <c r="B137">
        <v>238</v>
      </c>
      <c r="C137" t="e">
        <f>IF('Daily Tracker'!EJ33=0,NA(),'Daily Tracker'!EJ33)</f>
        <v>#N/A</v>
      </c>
      <c r="D137" t="e">
        <f>IF('Daily Tracker'!EJ37=0,NA(),'Daily Tracker'!EJ37)</f>
        <v>#N/A</v>
      </c>
      <c r="E137" t="e">
        <f t="shared" si="6"/>
        <v>#N/A</v>
      </c>
      <c r="F137">
        <v>180</v>
      </c>
    </row>
    <row r="138" spans="1:6" ht="15" customHeight="1">
      <c r="A138" s="98">
        <f>'Daily Tracker'!EK2</f>
        <v>46310</v>
      </c>
      <c r="B138">
        <v>238</v>
      </c>
      <c r="C138" t="e">
        <f>IF('Daily Tracker'!EK33=0,NA(),'Daily Tracker'!EK33)</f>
        <v>#N/A</v>
      </c>
      <c r="D138" t="e">
        <f>IF('Daily Tracker'!EK37=0,NA(),'Daily Tracker'!EK37)</f>
        <v>#N/A</v>
      </c>
      <c r="E138" t="e">
        <f t="shared" si="6"/>
        <v>#N/A</v>
      </c>
      <c r="F138">
        <v>180</v>
      </c>
    </row>
    <row r="139" spans="1:6" ht="15" customHeight="1">
      <c r="A139" s="98">
        <f>'Daily Tracker'!EL2</f>
        <v>46311</v>
      </c>
      <c r="B139">
        <v>238</v>
      </c>
      <c r="C139" t="e">
        <f>IF('Daily Tracker'!EL33=0,NA(),'Daily Tracker'!EL33)</f>
        <v>#N/A</v>
      </c>
      <c r="D139" t="e">
        <f>IF('Daily Tracker'!EL37=0,NA(),'Daily Tracker'!EL37)</f>
        <v>#N/A</v>
      </c>
      <c r="E139" t="e">
        <f t="shared" si="6"/>
        <v>#N/A</v>
      </c>
      <c r="F139">
        <v>180</v>
      </c>
    </row>
    <row r="140" spans="1:6" ht="15" customHeight="1">
      <c r="A140" s="98">
        <f>'Daily Tracker'!EM2</f>
        <v>46312</v>
      </c>
      <c r="B140">
        <v>238</v>
      </c>
      <c r="C140" t="e">
        <f>IF('Daily Tracker'!EM33=0,NA(),'Daily Tracker'!EM33)</f>
        <v>#N/A</v>
      </c>
      <c r="D140" t="e">
        <f>IF('Daily Tracker'!EM37=0,NA(),'Daily Tracker'!EM37)</f>
        <v>#N/A</v>
      </c>
      <c r="E140" t="e">
        <f t="shared" si="6"/>
        <v>#N/A</v>
      </c>
      <c r="F140">
        <v>180</v>
      </c>
    </row>
    <row r="141" spans="1:6" ht="15" customHeight="1">
      <c r="A141" s="98">
        <f>'Daily Tracker'!EN2</f>
        <v>46313</v>
      </c>
      <c r="B141">
        <v>238</v>
      </c>
      <c r="C141" t="e">
        <f>IF('Daily Tracker'!EN33=0,NA(),'Daily Tracker'!EN33)</f>
        <v>#N/A</v>
      </c>
      <c r="D141" t="e">
        <f>IF('Daily Tracker'!EN37=0,NA(),'Daily Tracker'!EN37)</f>
        <v>#N/A</v>
      </c>
      <c r="E141" t="e">
        <f t="shared" si="6"/>
        <v>#N/A</v>
      </c>
      <c r="F141">
        <v>180</v>
      </c>
    </row>
    <row r="142" spans="1:6" ht="15" customHeight="1">
      <c r="A142" s="98">
        <f>'Daily Tracker'!EO2</f>
        <v>46314</v>
      </c>
      <c r="B142">
        <v>238</v>
      </c>
      <c r="C142" t="e">
        <f>IF('Daily Tracker'!EO33=0,NA(),'Daily Tracker'!EO33)</f>
        <v>#N/A</v>
      </c>
      <c r="D142" t="e">
        <f>IF('Daily Tracker'!EO37=0,NA(),'Daily Tracker'!EO37)</f>
        <v>#N/A</v>
      </c>
      <c r="E142" t="e">
        <f t="shared" si="6"/>
        <v>#N/A</v>
      </c>
      <c r="F142">
        <v>180</v>
      </c>
    </row>
    <row r="143" spans="1:6" ht="15" customHeight="1">
      <c r="A143" s="98">
        <f>'Daily Tracker'!EP2</f>
        <v>46315</v>
      </c>
      <c r="B143">
        <v>238</v>
      </c>
      <c r="C143" t="e">
        <f>IF('Daily Tracker'!EP33=0,NA(),'Daily Tracker'!EP33)</f>
        <v>#N/A</v>
      </c>
      <c r="D143" t="e">
        <f>IF('Daily Tracker'!EP37=0,NA(),'Daily Tracker'!EP37)</f>
        <v>#N/A</v>
      </c>
      <c r="E143" t="e">
        <f t="shared" si="6"/>
        <v>#N/A</v>
      </c>
      <c r="F143">
        <v>180</v>
      </c>
    </row>
    <row r="144" spans="1:6" ht="15" customHeight="1">
      <c r="A144" s="98">
        <f>'Daily Tracker'!EQ2</f>
        <v>46316</v>
      </c>
      <c r="B144">
        <v>238</v>
      </c>
      <c r="C144" t="e">
        <f>IF('Daily Tracker'!EQ33=0,NA(),'Daily Tracker'!EQ33)</f>
        <v>#N/A</v>
      </c>
      <c r="D144" t="e">
        <f>IF('Daily Tracker'!EQ37=0,NA(),'Daily Tracker'!EQ37)</f>
        <v>#N/A</v>
      </c>
      <c r="E144" t="e">
        <f t="shared" si="6"/>
        <v>#N/A</v>
      </c>
      <c r="F144">
        <v>180</v>
      </c>
    </row>
    <row r="145" spans="1:6" ht="15" customHeight="1">
      <c r="A145" s="98">
        <f>'Daily Tracker'!ER2</f>
        <v>46317</v>
      </c>
      <c r="B145">
        <v>238</v>
      </c>
      <c r="C145" t="e">
        <f>IF('Daily Tracker'!ER33=0,NA(),'Daily Tracker'!ER33)</f>
        <v>#N/A</v>
      </c>
      <c r="D145" t="e">
        <f>IF('Daily Tracker'!ER37=0,NA(),'Daily Tracker'!ER37)</f>
        <v>#N/A</v>
      </c>
      <c r="E145" t="e">
        <f t="shared" si="6"/>
        <v>#N/A</v>
      </c>
      <c r="F145">
        <v>180</v>
      </c>
    </row>
    <row r="146" spans="1:6" ht="15" customHeight="1">
      <c r="A146" s="98">
        <f>'Daily Tracker'!ES2</f>
        <v>46318</v>
      </c>
      <c r="B146">
        <v>238</v>
      </c>
      <c r="C146" t="e">
        <f>IF('Daily Tracker'!ES33=0,NA(),'Daily Tracker'!ES33)</f>
        <v>#N/A</v>
      </c>
      <c r="D146" t="e">
        <f>IF('Daily Tracker'!ES37=0,NA(),'Daily Tracker'!ES37)</f>
        <v>#N/A</v>
      </c>
      <c r="E146" t="e">
        <f t="shared" si="6"/>
        <v>#N/A</v>
      </c>
      <c r="F146">
        <v>180</v>
      </c>
    </row>
    <row r="147" spans="1:6" ht="15" customHeight="1">
      <c r="A147" s="98">
        <f>'Daily Tracker'!ET2</f>
        <v>46319</v>
      </c>
      <c r="B147">
        <v>238</v>
      </c>
      <c r="C147" t="e">
        <f>IF('Daily Tracker'!ET33=0,NA(),'Daily Tracker'!ET33)</f>
        <v>#N/A</v>
      </c>
      <c r="D147" t="e">
        <f>IF('Daily Tracker'!ET37=0,NA(),'Daily Tracker'!ET37)</f>
        <v>#N/A</v>
      </c>
      <c r="E147" t="e">
        <f t="shared" si="6"/>
        <v>#N/A</v>
      </c>
      <c r="F147">
        <v>180</v>
      </c>
    </row>
    <row r="148" spans="1:6" ht="15" customHeight="1">
      <c r="A148" s="98">
        <f>'Daily Tracker'!EU2</f>
        <v>46320</v>
      </c>
      <c r="B148">
        <v>238</v>
      </c>
      <c r="C148" t="e">
        <f>IF('Daily Tracker'!EU33=0,NA(),'Daily Tracker'!EU33)</f>
        <v>#N/A</v>
      </c>
      <c r="D148" t="e">
        <f>IF('Daily Tracker'!EU37=0,NA(),'Daily Tracker'!EU37)</f>
        <v>#N/A</v>
      </c>
      <c r="E148" t="e">
        <f t="shared" si="6"/>
        <v>#N/A</v>
      </c>
      <c r="F148">
        <v>180</v>
      </c>
    </row>
    <row r="149" spans="1:6" ht="15" customHeight="1">
      <c r="A149" s="98">
        <f>'Daily Tracker'!EV2</f>
        <v>46321</v>
      </c>
      <c r="B149">
        <v>238</v>
      </c>
      <c r="C149" t="e">
        <f>IF('Daily Tracker'!EV33=0,NA(),'Daily Tracker'!EV33)</f>
        <v>#N/A</v>
      </c>
      <c r="D149" t="e">
        <f>IF('Daily Tracker'!EV37=0,NA(),'Daily Tracker'!EV37)</f>
        <v>#N/A</v>
      </c>
      <c r="E149" t="e">
        <f t="shared" si="6"/>
        <v>#N/A</v>
      </c>
      <c r="F149">
        <v>180</v>
      </c>
    </row>
    <row r="150" spans="1:6" ht="15" customHeight="1">
      <c r="A150" s="98">
        <f>'Daily Tracker'!EW2</f>
        <v>46322</v>
      </c>
      <c r="B150">
        <v>238</v>
      </c>
      <c r="C150" t="e">
        <f>IF('Daily Tracker'!EW33=0,NA(),'Daily Tracker'!EW33)</f>
        <v>#N/A</v>
      </c>
      <c r="D150" t="e">
        <f>IF('Daily Tracker'!EW37=0,NA(),'Daily Tracker'!EW37)</f>
        <v>#N/A</v>
      </c>
      <c r="E150" t="e">
        <f t="shared" si="6"/>
        <v>#N/A</v>
      </c>
      <c r="F150">
        <v>180</v>
      </c>
    </row>
    <row r="151" spans="1:6" ht="15" customHeight="1">
      <c r="A151" s="98">
        <f>'Daily Tracker'!EX2</f>
        <v>46323</v>
      </c>
      <c r="B151">
        <v>238</v>
      </c>
      <c r="C151" t="e">
        <f>IF('Daily Tracker'!EX33=0,NA(),'Daily Tracker'!EX33)</f>
        <v>#N/A</v>
      </c>
      <c r="D151" t="e">
        <f>IF('Daily Tracker'!EX37=0,NA(),'Daily Tracker'!EX37)</f>
        <v>#N/A</v>
      </c>
      <c r="E151" t="e">
        <f t="shared" si="6"/>
        <v>#N/A</v>
      </c>
      <c r="F151">
        <v>180</v>
      </c>
    </row>
    <row r="152" spans="1:6" ht="15" customHeight="1">
      <c r="A152" s="98">
        <f>'Daily Tracker'!EY2</f>
        <v>46324</v>
      </c>
      <c r="B152">
        <v>238</v>
      </c>
      <c r="C152" t="e">
        <f>IF('Daily Tracker'!EY33=0,NA(),'Daily Tracker'!EY33)</f>
        <v>#N/A</v>
      </c>
      <c r="D152" t="e">
        <f>IF('Daily Tracker'!EY37=0,NA(),'Daily Tracker'!EY37)</f>
        <v>#N/A</v>
      </c>
      <c r="E152" t="e">
        <f t="shared" si="6"/>
        <v>#N/A</v>
      </c>
      <c r="F152">
        <v>180</v>
      </c>
    </row>
    <row r="153" spans="1:6" ht="15" customHeight="1">
      <c r="A153" s="98">
        <f>'Daily Tracker'!EZ2</f>
        <v>46325</v>
      </c>
      <c r="B153">
        <v>238</v>
      </c>
      <c r="C153" t="e">
        <f>IF('Daily Tracker'!EZ33=0,NA(),'Daily Tracker'!EZ33)</f>
        <v>#N/A</v>
      </c>
      <c r="D153" t="e">
        <f>IF('Daily Tracker'!EZ37=0,NA(),'Daily Tracker'!EZ37)</f>
        <v>#N/A</v>
      </c>
      <c r="E153" t="e">
        <f t="shared" si="6"/>
        <v>#N/A</v>
      </c>
      <c r="F153">
        <v>180</v>
      </c>
    </row>
    <row r="154" spans="1:6" ht="15" customHeight="1">
      <c r="A154" s="98">
        <f>'Daily Tracker'!FA2</f>
        <v>46326</v>
      </c>
      <c r="B154">
        <v>238</v>
      </c>
      <c r="C154" t="e">
        <f>IF('Daily Tracker'!FA33=0,NA(),'Daily Tracker'!FA33)</f>
        <v>#N/A</v>
      </c>
      <c r="D154" t="e">
        <f>IF('Daily Tracker'!FA37=0,NA(),'Daily Tracker'!FA37)</f>
        <v>#N/A</v>
      </c>
      <c r="E154" t="e">
        <f t="shared" si="6"/>
        <v>#N/A</v>
      </c>
      <c r="F154">
        <v>180</v>
      </c>
    </row>
    <row r="155" spans="1:6" ht="15" customHeight="1">
      <c r="A155">
        <f>'Daily Tracker'!FB2</f>
        <v>0</v>
      </c>
      <c r="B155">
        <v>238</v>
      </c>
      <c r="C155" t="e">
        <f>IF('Daily Tracker'!FB33=0,NA(),'Daily Tracker'!FB33)</f>
        <v>#N/A</v>
      </c>
      <c r="D155" t="e">
        <f>IF('Daily Tracker'!FB37=0,NA(),'Daily Tracker'!FB37)</f>
        <v>#N/A</v>
      </c>
      <c r="E155" t="e">
        <f t="shared" si="6"/>
        <v>#N/A</v>
      </c>
      <c r="F155">
        <v>180</v>
      </c>
    </row>
    <row r="156" spans="1:6" ht="15" customHeight="1">
      <c r="A156">
        <f>'Daily Tracker'!FC2</f>
        <v>0</v>
      </c>
      <c r="B156">
        <v>238</v>
      </c>
      <c r="C156" t="e">
        <f>IF('Daily Tracker'!FC33=0,NA(),'Daily Tracker'!FC33)</f>
        <v>#N/A</v>
      </c>
      <c r="D156" t="e">
        <f>IF('Daily Tracker'!FC37=0,NA(),'Daily Tracker'!FC37)</f>
        <v>#N/A</v>
      </c>
      <c r="E156" t="e">
        <f t="shared" si="6"/>
        <v>#N/A</v>
      </c>
      <c r="F156">
        <v>180</v>
      </c>
    </row>
    <row r="157" spans="1:6" ht="15" customHeight="1">
      <c r="A157">
        <f>'Daily Tracker'!FD2</f>
        <v>0</v>
      </c>
      <c r="B157">
        <v>238</v>
      </c>
      <c r="C157" t="e">
        <f>IF('Daily Tracker'!FD33=0,NA(),'Daily Tracker'!FD33)</f>
        <v>#N/A</v>
      </c>
      <c r="D157" t="e">
        <f>IF('Daily Tracker'!FD37=0,NA(),'Daily Tracker'!FD37)</f>
        <v>#N/A</v>
      </c>
      <c r="E157" t="e">
        <f t="shared" si="6"/>
        <v>#N/A</v>
      </c>
      <c r="F157">
        <v>180</v>
      </c>
    </row>
    <row r="158" spans="1:6" ht="15" customHeight="1">
      <c r="A158">
        <f>'Daily Tracker'!FE2</f>
        <v>0</v>
      </c>
      <c r="B158">
        <v>238</v>
      </c>
      <c r="C158" t="e">
        <f>IF('Daily Tracker'!FE33=0,NA(),'Daily Tracker'!FE33)</f>
        <v>#N/A</v>
      </c>
      <c r="D158" t="e">
        <f>IF('Daily Tracker'!FE37=0,NA(),'Daily Tracker'!FE37)</f>
        <v>#N/A</v>
      </c>
      <c r="E158" t="e">
        <f t="shared" si="6"/>
        <v>#N/A</v>
      </c>
      <c r="F158">
        <v>180</v>
      </c>
    </row>
    <row r="164" spans="1:1" ht="15" customHeight="1">
      <c r="A164" s="180"/>
    </row>
    <row r="165" spans="1:1" ht="15" customHeight="1">
      <c r="A165" s="180"/>
    </row>
    <row r="166" spans="1:1" ht="15" customHeight="1">
      <c r="A166" s="181"/>
    </row>
    <row r="167" spans="1:1" ht="15" customHeight="1">
      <c r="A167" s="181"/>
    </row>
    <row r="170" spans="1:1" ht="15" customHeight="1">
      <c r="A170" s="98"/>
    </row>
    <row r="171" spans="1:1" ht="15" customHeight="1">
      <c r="A171" s="98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E652-2C01-418E-BFAC-D687698C76A6}">
  <dimension ref="A1:CP4"/>
  <sheetViews>
    <sheetView workbookViewId="0">
      <pane xSplit="2" topLeftCell="AW1" activePane="topRight" state="frozen"/>
      <selection pane="topRight" activeCell="AK20" sqref="AK20"/>
    </sheetView>
  </sheetViews>
  <sheetFormatPr defaultRowHeight="14.45"/>
  <cols>
    <col min="1" max="1" width="15.42578125" bestFit="1" customWidth="1"/>
    <col min="64" max="94" width="9.140625" customWidth="1"/>
  </cols>
  <sheetData>
    <row r="1" spans="1:94">
      <c r="A1" s="159" t="s">
        <v>1</v>
      </c>
      <c r="B1" s="160" t="s">
        <v>73</v>
      </c>
      <c r="C1" s="161">
        <v>46235</v>
      </c>
      <c r="D1" s="161">
        <f t="shared" ref="D1:AG1" si="0">C1+1</f>
        <v>46236</v>
      </c>
      <c r="E1" s="161">
        <f t="shared" si="0"/>
        <v>46237</v>
      </c>
      <c r="F1" s="161">
        <f t="shared" si="0"/>
        <v>46238</v>
      </c>
      <c r="G1" s="161">
        <f t="shared" si="0"/>
        <v>46239</v>
      </c>
      <c r="H1" s="161">
        <f t="shared" si="0"/>
        <v>46240</v>
      </c>
      <c r="I1" s="161">
        <f t="shared" si="0"/>
        <v>46241</v>
      </c>
      <c r="J1" s="161">
        <f t="shared" si="0"/>
        <v>46242</v>
      </c>
      <c r="K1" s="161">
        <f t="shared" si="0"/>
        <v>46243</v>
      </c>
      <c r="L1" s="161">
        <f t="shared" si="0"/>
        <v>46244</v>
      </c>
      <c r="M1" s="161">
        <f t="shared" si="0"/>
        <v>46245</v>
      </c>
      <c r="N1" s="161">
        <f t="shared" si="0"/>
        <v>46246</v>
      </c>
      <c r="O1" s="161">
        <f t="shared" si="0"/>
        <v>46247</v>
      </c>
      <c r="P1" s="161">
        <f t="shared" si="0"/>
        <v>46248</v>
      </c>
      <c r="Q1" s="161">
        <f t="shared" si="0"/>
        <v>46249</v>
      </c>
      <c r="R1" s="161">
        <f t="shared" si="0"/>
        <v>46250</v>
      </c>
      <c r="S1" s="161">
        <f t="shared" si="0"/>
        <v>46251</v>
      </c>
      <c r="T1" s="161">
        <f t="shared" si="0"/>
        <v>46252</v>
      </c>
      <c r="U1" s="161">
        <f t="shared" si="0"/>
        <v>46253</v>
      </c>
      <c r="V1" s="161">
        <f t="shared" si="0"/>
        <v>46254</v>
      </c>
      <c r="W1" s="161">
        <f t="shared" si="0"/>
        <v>46255</v>
      </c>
      <c r="X1" s="161">
        <f t="shared" si="0"/>
        <v>46256</v>
      </c>
      <c r="Y1" s="161">
        <f t="shared" si="0"/>
        <v>46257</v>
      </c>
      <c r="Z1" s="161">
        <f t="shared" si="0"/>
        <v>46258</v>
      </c>
      <c r="AA1" s="161">
        <f t="shared" si="0"/>
        <v>46259</v>
      </c>
      <c r="AB1" s="161">
        <f t="shared" si="0"/>
        <v>46260</v>
      </c>
      <c r="AC1" s="161">
        <f t="shared" si="0"/>
        <v>46261</v>
      </c>
      <c r="AD1" s="161">
        <f t="shared" si="0"/>
        <v>46262</v>
      </c>
      <c r="AE1" s="161">
        <f t="shared" si="0"/>
        <v>46263</v>
      </c>
      <c r="AF1" s="161">
        <f t="shared" si="0"/>
        <v>46264</v>
      </c>
      <c r="AG1" s="162">
        <f t="shared" si="0"/>
        <v>46265</v>
      </c>
      <c r="AH1" s="162">
        <f t="shared" ref="AH1:BM1" si="1">AG1+1</f>
        <v>46266</v>
      </c>
      <c r="AI1" s="162">
        <f t="shared" si="1"/>
        <v>46267</v>
      </c>
      <c r="AJ1" s="162">
        <f t="shared" si="1"/>
        <v>46268</v>
      </c>
      <c r="AK1" s="162">
        <f t="shared" si="1"/>
        <v>46269</v>
      </c>
      <c r="AL1" s="162">
        <f t="shared" si="1"/>
        <v>46270</v>
      </c>
      <c r="AM1" s="162">
        <f t="shared" si="1"/>
        <v>46271</v>
      </c>
      <c r="AN1" s="162">
        <f t="shared" si="1"/>
        <v>46272</v>
      </c>
      <c r="AO1" s="162">
        <f t="shared" si="1"/>
        <v>46273</v>
      </c>
      <c r="AP1" s="162">
        <f t="shared" si="1"/>
        <v>46274</v>
      </c>
      <c r="AQ1" s="162">
        <f t="shared" si="1"/>
        <v>46275</v>
      </c>
      <c r="AR1" s="162">
        <f t="shared" si="1"/>
        <v>46276</v>
      </c>
      <c r="AS1" s="162">
        <f t="shared" si="1"/>
        <v>46277</v>
      </c>
      <c r="AT1" s="162">
        <f t="shared" si="1"/>
        <v>46278</v>
      </c>
      <c r="AU1" s="162">
        <f t="shared" si="1"/>
        <v>46279</v>
      </c>
      <c r="AV1" s="162">
        <f t="shared" si="1"/>
        <v>46280</v>
      </c>
      <c r="AW1" s="162">
        <f t="shared" si="1"/>
        <v>46281</v>
      </c>
      <c r="AX1" s="162">
        <f t="shared" si="1"/>
        <v>46282</v>
      </c>
      <c r="AY1" s="162">
        <f t="shared" si="1"/>
        <v>46283</v>
      </c>
      <c r="AZ1" s="162">
        <f t="shared" si="1"/>
        <v>46284</v>
      </c>
      <c r="BA1" s="162">
        <f t="shared" si="1"/>
        <v>46285</v>
      </c>
      <c r="BB1" s="162">
        <f t="shared" si="1"/>
        <v>46286</v>
      </c>
      <c r="BC1" s="162">
        <f t="shared" si="1"/>
        <v>46287</v>
      </c>
      <c r="BD1" s="162">
        <f t="shared" si="1"/>
        <v>46288</v>
      </c>
      <c r="BE1" s="162">
        <f t="shared" si="1"/>
        <v>46289</v>
      </c>
      <c r="BF1" s="162">
        <f t="shared" si="1"/>
        <v>46290</v>
      </c>
      <c r="BG1" s="162">
        <f t="shared" si="1"/>
        <v>46291</v>
      </c>
      <c r="BH1" s="162">
        <f t="shared" si="1"/>
        <v>46292</v>
      </c>
      <c r="BI1" s="162">
        <f t="shared" si="1"/>
        <v>46293</v>
      </c>
      <c r="BJ1" s="162">
        <f t="shared" si="1"/>
        <v>46294</v>
      </c>
      <c r="BK1" s="162">
        <f t="shared" si="1"/>
        <v>46295</v>
      </c>
      <c r="BL1" s="162">
        <f t="shared" si="1"/>
        <v>46296</v>
      </c>
      <c r="BM1" s="162">
        <f t="shared" si="1"/>
        <v>46297</v>
      </c>
      <c r="BN1" s="162">
        <f t="shared" ref="BN1:CP1" si="2">BM1+1</f>
        <v>46298</v>
      </c>
      <c r="BO1" s="162">
        <f t="shared" si="2"/>
        <v>46299</v>
      </c>
      <c r="BP1" s="162">
        <f t="shared" si="2"/>
        <v>46300</v>
      </c>
      <c r="BQ1" s="162">
        <f t="shared" si="2"/>
        <v>46301</v>
      </c>
      <c r="BR1" s="162">
        <f t="shared" si="2"/>
        <v>46302</v>
      </c>
      <c r="BS1" s="162">
        <f t="shared" si="2"/>
        <v>46303</v>
      </c>
      <c r="BT1" s="162">
        <f t="shared" si="2"/>
        <v>46304</v>
      </c>
      <c r="BU1" s="162">
        <f t="shared" si="2"/>
        <v>46305</v>
      </c>
      <c r="BV1" s="162">
        <f t="shared" si="2"/>
        <v>46306</v>
      </c>
      <c r="BW1" s="162">
        <f t="shared" si="2"/>
        <v>46307</v>
      </c>
      <c r="BX1" s="162">
        <f t="shared" si="2"/>
        <v>46308</v>
      </c>
      <c r="BY1" s="162">
        <f t="shared" si="2"/>
        <v>46309</v>
      </c>
      <c r="BZ1" s="162">
        <f t="shared" si="2"/>
        <v>46310</v>
      </c>
      <c r="CA1" s="162">
        <f t="shared" si="2"/>
        <v>46311</v>
      </c>
      <c r="CB1" s="162">
        <f t="shared" si="2"/>
        <v>46312</v>
      </c>
      <c r="CC1" s="162">
        <f t="shared" si="2"/>
        <v>46313</v>
      </c>
      <c r="CD1" s="162">
        <f t="shared" si="2"/>
        <v>46314</v>
      </c>
      <c r="CE1" s="162">
        <f t="shared" si="2"/>
        <v>46315</v>
      </c>
      <c r="CF1" s="162">
        <f t="shared" si="2"/>
        <v>46316</v>
      </c>
      <c r="CG1" s="162">
        <f t="shared" si="2"/>
        <v>46317</v>
      </c>
      <c r="CH1" s="162">
        <f t="shared" si="2"/>
        <v>46318</v>
      </c>
      <c r="CI1" s="162">
        <f t="shared" si="2"/>
        <v>46319</v>
      </c>
      <c r="CJ1" s="162">
        <f t="shared" si="2"/>
        <v>46320</v>
      </c>
      <c r="CK1" s="162">
        <f t="shared" si="2"/>
        <v>46321</v>
      </c>
      <c r="CL1" s="162">
        <f t="shared" si="2"/>
        <v>46322</v>
      </c>
      <c r="CM1" s="162">
        <f t="shared" si="2"/>
        <v>46323</v>
      </c>
      <c r="CN1" s="162">
        <f t="shared" si="2"/>
        <v>46324</v>
      </c>
      <c r="CO1" s="162">
        <f t="shared" si="2"/>
        <v>46325</v>
      </c>
      <c r="CP1" s="162">
        <f t="shared" si="2"/>
        <v>46326</v>
      </c>
    </row>
    <row r="2" spans="1:94">
      <c r="A2" s="166" t="s">
        <v>207</v>
      </c>
      <c r="B2" s="167">
        <v>15</v>
      </c>
      <c r="C2" s="158"/>
      <c r="D2" s="158"/>
      <c r="E2" s="158"/>
      <c r="F2" s="158"/>
      <c r="G2" s="158">
        <v>8</v>
      </c>
      <c r="H2" s="158">
        <v>0</v>
      </c>
      <c r="I2" s="158">
        <v>14</v>
      </c>
      <c r="J2" s="158">
        <v>13</v>
      </c>
      <c r="K2" s="158">
        <v>0</v>
      </c>
      <c r="L2" s="158">
        <v>12</v>
      </c>
      <c r="M2" s="158">
        <v>13</v>
      </c>
      <c r="N2" s="158">
        <v>13</v>
      </c>
      <c r="O2" s="158">
        <v>13</v>
      </c>
      <c r="P2" s="158">
        <v>11</v>
      </c>
      <c r="Q2" s="158">
        <v>0</v>
      </c>
      <c r="R2" s="158">
        <v>14</v>
      </c>
      <c r="S2" s="158">
        <v>13</v>
      </c>
      <c r="T2" s="158">
        <v>11</v>
      </c>
      <c r="U2" s="158">
        <v>8</v>
      </c>
      <c r="V2" s="158">
        <v>0</v>
      </c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  <c r="BO2" s="163"/>
      <c r="BP2" s="163"/>
      <c r="BQ2" s="163"/>
      <c r="BR2" s="163"/>
      <c r="BS2" s="163"/>
      <c r="BT2" s="163"/>
      <c r="BU2" s="163"/>
      <c r="BV2" s="163"/>
      <c r="BW2" s="163"/>
      <c r="BX2" s="163"/>
      <c r="BY2" s="163"/>
      <c r="BZ2" s="163"/>
      <c r="CA2" s="163"/>
      <c r="CB2" s="163"/>
      <c r="CC2" s="163"/>
      <c r="CD2" s="163"/>
      <c r="CE2" s="163"/>
      <c r="CF2" s="163"/>
      <c r="CG2" s="163"/>
      <c r="CH2" s="163"/>
      <c r="CI2" s="163"/>
      <c r="CJ2" s="163"/>
      <c r="CK2" s="163"/>
      <c r="CL2" s="163"/>
      <c r="CM2" s="163"/>
      <c r="CN2" s="163"/>
      <c r="CO2" s="163"/>
      <c r="CP2" s="163"/>
    </row>
    <row r="3" spans="1:94">
      <c r="A3" s="166" t="s">
        <v>208</v>
      </c>
      <c r="B3" s="167">
        <v>25</v>
      </c>
      <c r="C3" s="158">
        <v>42</v>
      </c>
      <c r="D3" s="158">
        <v>0</v>
      </c>
      <c r="E3" s="158">
        <v>40</v>
      </c>
      <c r="F3" s="158">
        <v>39</v>
      </c>
      <c r="G3" s="158">
        <v>26</v>
      </c>
      <c r="H3" s="158">
        <v>24</v>
      </c>
      <c r="I3" s="158">
        <v>26</v>
      </c>
      <c r="J3" s="158">
        <v>25</v>
      </c>
      <c r="K3" s="158">
        <v>0</v>
      </c>
      <c r="L3" s="158">
        <v>26</v>
      </c>
      <c r="M3" s="158">
        <v>25</v>
      </c>
      <c r="N3" s="158">
        <v>25</v>
      </c>
      <c r="O3" s="158">
        <v>27</v>
      </c>
      <c r="P3" s="158">
        <v>24</v>
      </c>
      <c r="Q3" s="158">
        <v>0</v>
      </c>
      <c r="R3" s="158">
        <v>23</v>
      </c>
      <c r="S3" s="158">
        <v>23</v>
      </c>
      <c r="T3" s="158">
        <v>27</v>
      </c>
      <c r="U3" s="158">
        <v>21</v>
      </c>
      <c r="V3" s="158">
        <v>21</v>
      </c>
      <c r="W3" s="158">
        <v>21</v>
      </c>
      <c r="X3" s="158">
        <v>21</v>
      </c>
      <c r="Y3" s="158">
        <v>0</v>
      </c>
      <c r="Z3" s="158">
        <v>21</v>
      </c>
      <c r="AA3" s="158">
        <v>21</v>
      </c>
      <c r="AB3" s="158">
        <v>21</v>
      </c>
      <c r="AC3" s="158">
        <v>21</v>
      </c>
      <c r="AD3" s="158">
        <v>21</v>
      </c>
      <c r="AE3" s="158">
        <v>21</v>
      </c>
      <c r="AF3" s="158">
        <v>0</v>
      </c>
      <c r="AG3" s="163">
        <v>21</v>
      </c>
      <c r="AH3" s="163">
        <v>21</v>
      </c>
      <c r="AI3" s="163">
        <v>21</v>
      </c>
      <c r="AJ3" s="163">
        <v>21</v>
      </c>
      <c r="AK3" s="163">
        <v>20</v>
      </c>
      <c r="AL3" s="163">
        <v>21</v>
      </c>
      <c r="AM3" s="163">
        <v>21</v>
      </c>
      <c r="AN3" s="163">
        <v>21</v>
      </c>
      <c r="AO3" s="163">
        <v>21</v>
      </c>
      <c r="AP3" s="163">
        <v>20</v>
      </c>
      <c r="AQ3" s="163">
        <v>20</v>
      </c>
      <c r="AR3" s="163">
        <v>0</v>
      </c>
      <c r="AS3" s="163">
        <v>7</v>
      </c>
      <c r="AT3" s="163">
        <v>0</v>
      </c>
      <c r="AU3" s="163">
        <v>0</v>
      </c>
      <c r="AV3" s="163">
        <v>8</v>
      </c>
      <c r="AW3" s="163">
        <v>0</v>
      </c>
      <c r="AX3" s="163">
        <v>10</v>
      </c>
      <c r="AY3" s="163">
        <v>10</v>
      </c>
      <c r="AZ3" s="163">
        <v>10</v>
      </c>
      <c r="BA3" s="163">
        <v>0</v>
      </c>
      <c r="BB3" s="163">
        <v>10</v>
      </c>
      <c r="BC3" s="163">
        <v>10</v>
      </c>
      <c r="BD3" s="163">
        <v>8</v>
      </c>
      <c r="BE3" s="163"/>
      <c r="BF3" s="163"/>
      <c r="BG3" s="163"/>
      <c r="BH3" s="163"/>
      <c r="BI3" s="163"/>
      <c r="BJ3" s="163"/>
      <c r="BK3" s="163"/>
      <c r="BL3" s="163"/>
      <c r="BM3" s="163"/>
      <c r="BN3" s="163"/>
      <c r="BO3" s="163"/>
      <c r="BP3" s="163"/>
      <c r="BQ3" s="163"/>
      <c r="BR3" s="163"/>
      <c r="BS3" s="163"/>
      <c r="BT3" s="163"/>
      <c r="BU3" s="163"/>
      <c r="BV3" s="163"/>
      <c r="BW3" s="163"/>
      <c r="BX3" s="163"/>
      <c r="BY3" s="163"/>
      <c r="BZ3" s="163"/>
      <c r="CA3" s="163"/>
      <c r="CB3" s="163"/>
      <c r="CC3" s="163"/>
      <c r="CD3" s="163"/>
      <c r="CE3" s="163"/>
      <c r="CF3" s="163"/>
      <c r="CG3" s="163"/>
      <c r="CH3" s="163"/>
      <c r="CI3" s="163"/>
      <c r="CJ3" s="163"/>
      <c r="CK3" s="163"/>
      <c r="CL3" s="163"/>
      <c r="CM3" s="163"/>
      <c r="CN3" s="163"/>
      <c r="CO3" s="163"/>
      <c r="CP3" s="163"/>
    </row>
    <row r="4" spans="1:94" s="143" customFormat="1" ht="15" thickBot="1">
      <c r="A4" s="164" t="s">
        <v>108</v>
      </c>
      <c r="B4" s="165">
        <f>B2+B3</f>
        <v>40</v>
      </c>
      <c r="C4" s="168">
        <f t="shared" ref="C4:AG4" si="3">C2+C3</f>
        <v>42</v>
      </c>
      <c r="D4" s="168">
        <f t="shared" si="3"/>
        <v>0</v>
      </c>
      <c r="E4" s="168">
        <f t="shared" si="3"/>
        <v>40</v>
      </c>
      <c r="F4" s="168">
        <f t="shared" si="3"/>
        <v>39</v>
      </c>
      <c r="G4" s="168">
        <f t="shared" si="3"/>
        <v>34</v>
      </c>
      <c r="H4" s="168">
        <f t="shared" si="3"/>
        <v>24</v>
      </c>
      <c r="I4" s="168">
        <f t="shared" si="3"/>
        <v>40</v>
      </c>
      <c r="J4" s="168">
        <f t="shared" si="3"/>
        <v>38</v>
      </c>
      <c r="K4" s="168">
        <f t="shared" si="3"/>
        <v>0</v>
      </c>
      <c r="L4" s="168">
        <f t="shared" si="3"/>
        <v>38</v>
      </c>
      <c r="M4" s="168">
        <f t="shared" si="3"/>
        <v>38</v>
      </c>
      <c r="N4" s="168">
        <f t="shared" si="3"/>
        <v>38</v>
      </c>
      <c r="O4" s="168">
        <f t="shared" si="3"/>
        <v>40</v>
      </c>
      <c r="P4" s="168">
        <f t="shared" si="3"/>
        <v>35</v>
      </c>
      <c r="Q4" s="168">
        <f t="shared" si="3"/>
        <v>0</v>
      </c>
      <c r="R4" s="168">
        <f t="shared" si="3"/>
        <v>37</v>
      </c>
      <c r="S4" s="168">
        <f t="shared" si="3"/>
        <v>36</v>
      </c>
      <c r="T4" s="168">
        <f t="shared" si="3"/>
        <v>38</v>
      </c>
      <c r="U4" s="168">
        <f t="shared" si="3"/>
        <v>29</v>
      </c>
      <c r="V4" s="168">
        <f t="shared" si="3"/>
        <v>21</v>
      </c>
      <c r="W4" s="168">
        <f t="shared" si="3"/>
        <v>21</v>
      </c>
      <c r="X4" s="168">
        <f t="shared" si="3"/>
        <v>21</v>
      </c>
      <c r="Y4" s="168">
        <f t="shared" si="3"/>
        <v>0</v>
      </c>
      <c r="Z4" s="168">
        <f t="shared" si="3"/>
        <v>21</v>
      </c>
      <c r="AA4" s="168">
        <f t="shared" si="3"/>
        <v>21</v>
      </c>
      <c r="AB4" s="168">
        <f t="shared" si="3"/>
        <v>21</v>
      </c>
      <c r="AC4" s="168">
        <f t="shared" si="3"/>
        <v>21</v>
      </c>
      <c r="AD4" s="168">
        <f t="shared" si="3"/>
        <v>21</v>
      </c>
      <c r="AE4" s="168">
        <f t="shared" si="3"/>
        <v>21</v>
      </c>
      <c r="AF4" s="168">
        <f t="shared" si="3"/>
        <v>0</v>
      </c>
      <c r="AG4" s="169">
        <f t="shared" si="3"/>
        <v>21</v>
      </c>
      <c r="AH4" s="169">
        <f t="shared" ref="AH4:BM4" si="4">AH2+AH3</f>
        <v>21</v>
      </c>
      <c r="AI4" s="169">
        <f t="shared" si="4"/>
        <v>21</v>
      </c>
      <c r="AJ4" s="169">
        <f t="shared" si="4"/>
        <v>21</v>
      </c>
      <c r="AK4" s="169">
        <f t="shared" si="4"/>
        <v>20</v>
      </c>
      <c r="AL4" s="169">
        <f t="shared" si="4"/>
        <v>21</v>
      </c>
      <c r="AM4" s="169">
        <f t="shared" si="4"/>
        <v>21</v>
      </c>
      <c r="AN4" s="169">
        <f t="shared" si="4"/>
        <v>21</v>
      </c>
      <c r="AO4" s="169">
        <f t="shared" si="4"/>
        <v>21</v>
      </c>
      <c r="AP4" s="169">
        <f t="shared" si="4"/>
        <v>20</v>
      </c>
      <c r="AQ4" s="169">
        <f t="shared" si="4"/>
        <v>20</v>
      </c>
      <c r="AR4" s="169">
        <f t="shared" si="4"/>
        <v>0</v>
      </c>
      <c r="AS4" s="169">
        <f t="shared" si="4"/>
        <v>7</v>
      </c>
      <c r="AT4" s="169">
        <f t="shared" si="4"/>
        <v>0</v>
      </c>
      <c r="AU4" s="169">
        <f t="shared" si="4"/>
        <v>0</v>
      </c>
      <c r="AV4" s="169">
        <f t="shared" si="4"/>
        <v>8</v>
      </c>
      <c r="AW4" s="169">
        <f t="shared" si="4"/>
        <v>0</v>
      </c>
      <c r="AX4" s="169">
        <f t="shared" si="4"/>
        <v>10</v>
      </c>
      <c r="AY4" s="169">
        <f t="shared" si="4"/>
        <v>10</v>
      </c>
      <c r="AZ4" s="169">
        <f t="shared" si="4"/>
        <v>10</v>
      </c>
      <c r="BA4" s="169">
        <f t="shared" si="4"/>
        <v>0</v>
      </c>
      <c r="BB4" s="169">
        <f t="shared" si="4"/>
        <v>10</v>
      </c>
      <c r="BC4" s="169">
        <f t="shared" si="4"/>
        <v>10</v>
      </c>
      <c r="BD4" s="169">
        <f t="shared" si="4"/>
        <v>8</v>
      </c>
      <c r="BE4" s="169">
        <f t="shared" si="4"/>
        <v>0</v>
      </c>
      <c r="BF4" s="169">
        <f t="shared" si="4"/>
        <v>0</v>
      </c>
      <c r="BG4" s="169">
        <f t="shared" si="4"/>
        <v>0</v>
      </c>
      <c r="BH4" s="169">
        <f t="shared" si="4"/>
        <v>0</v>
      </c>
      <c r="BI4" s="169">
        <f t="shared" si="4"/>
        <v>0</v>
      </c>
      <c r="BJ4" s="169">
        <f t="shared" si="4"/>
        <v>0</v>
      </c>
      <c r="BK4" s="169">
        <f t="shared" si="4"/>
        <v>0</v>
      </c>
      <c r="BL4" s="169">
        <f t="shared" si="4"/>
        <v>0</v>
      </c>
      <c r="BM4" s="169">
        <f t="shared" si="4"/>
        <v>0</v>
      </c>
      <c r="BN4" s="169">
        <f t="shared" ref="BN4:CS4" si="5">BN2+BN3</f>
        <v>0</v>
      </c>
      <c r="BO4" s="169">
        <f t="shared" si="5"/>
        <v>0</v>
      </c>
      <c r="BP4" s="169">
        <f t="shared" si="5"/>
        <v>0</v>
      </c>
      <c r="BQ4" s="169">
        <f t="shared" si="5"/>
        <v>0</v>
      </c>
      <c r="BR4" s="169">
        <f t="shared" si="5"/>
        <v>0</v>
      </c>
      <c r="BS4" s="169">
        <f t="shared" si="5"/>
        <v>0</v>
      </c>
      <c r="BT4" s="169">
        <f t="shared" si="5"/>
        <v>0</v>
      </c>
      <c r="BU4" s="169">
        <f t="shared" si="5"/>
        <v>0</v>
      </c>
      <c r="BV4" s="169">
        <f t="shared" si="5"/>
        <v>0</v>
      </c>
      <c r="BW4" s="169">
        <f t="shared" si="5"/>
        <v>0</v>
      </c>
      <c r="BX4" s="169">
        <f t="shared" si="5"/>
        <v>0</v>
      </c>
      <c r="BY4" s="169">
        <f t="shared" si="5"/>
        <v>0</v>
      </c>
      <c r="BZ4" s="169">
        <f t="shared" si="5"/>
        <v>0</v>
      </c>
      <c r="CA4" s="169">
        <f t="shared" si="5"/>
        <v>0</v>
      </c>
      <c r="CB4" s="169">
        <f t="shared" si="5"/>
        <v>0</v>
      </c>
      <c r="CC4" s="169">
        <f t="shared" si="5"/>
        <v>0</v>
      </c>
      <c r="CD4" s="169">
        <f t="shared" si="5"/>
        <v>0</v>
      </c>
      <c r="CE4" s="169">
        <f t="shared" si="5"/>
        <v>0</v>
      </c>
      <c r="CF4" s="169">
        <f t="shared" si="5"/>
        <v>0</v>
      </c>
      <c r="CG4" s="169">
        <f t="shared" si="5"/>
        <v>0</v>
      </c>
      <c r="CH4" s="169">
        <f t="shared" si="5"/>
        <v>0</v>
      </c>
      <c r="CI4" s="169">
        <f t="shared" si="5"/>
        <v>0</v>
      </c>
      <c r="CJ4" s="169">
        <f t="shared" si="5"/>
        <v>0</v>
      </c>
      <c r="CK4" s="169">
        <f t="shared" si="5"/>
        <v>0</v>
      </c>
      <c r="CL4" s="169">
        <f t="shared" si="5"/>
        <v>0</v>
      </c>
      <c r="CM4" s="169">
        <f t="shared" si="5"/>
        <v>0</v>
      </c>
      <c r="CN4" s="169">
        <f t="shared" si="5"/>
        <v>0</v>
      </c>
      <c r="CO4" s="169">
        <f t="shared" si="5"/>
        <v>0</v>
      </c>
      <c r="CP4" s="169">
        <f t="shared" si="5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2F6D-FE37-4262-9966-CCD6B7E28426}">
  <sheetPr>
    <pageSetUpPr fitToPage="1"/>
  </sheetPr>
  <dimension ref="A1:R36"/>
  <sheetViews>
    <sheetView workbookViewId="0">
      <selection activeCell="H2" sqref="H2"/>
    </sheetView>
  </sheetViews>
  <sheetFormatPr defaultRowHeight="15"/>
  <cols>
    <col min="1" max="1" width="19.85546875" customWidth="1"/>
    <col min="2" max="2" width="31.85546875" bestFit="1" customWidth="1"/>
    <col min="3" max="7" width="14.85546875" customWidth="1"/>
    <col min="13" max="13" width="22.7109375" bestFit="1" customWidth="1"/>
    <col min="14" max="18" width="13.28515625" customWidth="1"/>
  </cols>
  <sheetData>
    <row r="1" spans="1:18" ht="37.5">
      <c r="A1" s="261" t="s">
        <v>209</v>
      </c>
      <c r="B1" s="262" t="s">
        <v>1</v>
      </c>
      <c r="C1" s="262" t="s">
        <v>210</v>
      </c>
      <c r="D1" s="263" t="s">
        <v>104</v>
      </c>
      <c r="E1" s="264" t="s">
        <v>105</v>
      </c>
      <c r="F1" s="265" t="s">
        <v>211</v>
      </c>
      <c r="G1" s="265" t="s">
        <v>212</v>
      </c>
      <c r="M1" s="272" t="s">
        <v>1</v>
      </c>
      <c r="N1" s="273" t="s">
        <v>210</v>
      </c>
      <c r="O1" s="273" t="s">
        <v>104</v>
      </c>
      <c r="P1" s="273" t="s">
        <v>105</v>
      </c>
      <c r="Q1" s="272" t="s">
        <v>213</v>
      </c>
      <c r="R1" s="272" t="s">
        <v>212</v>
      </c>
    </row>
    <row r="2" spans="1:18" ht="21.75" customHeight="1">
      <c r="A2" s="333" t="s">
        <v>13</v>
      </c>
      <c r="B2" s="223" t="s">
        <v>15</v>
      </c>
      <c r="C2" s="223">
        <v>14</v>
      </c>
      <c r="D2" s="211"/>
      <c r="E2" s="213"/>
      <c r="F2" s="208"/>
      <c r="G2" s="208"/>
      <c r="M2" s="270" t="s">
        <v>214</v>
      </c>
      <c r="N2" s="270">
        <v>4</v>
      </c>
      <c r="O2" s="270">
        <v>4</v>
      </c>
      <c r="P2" s="270">
        <v>0</v>
      </c>
      <c r="Q2" s="270"/>
      <c r="R2" s="270"/>
    </row>
    <row r="3" spans="1:18" ht="21.75" customHeight="1">
      <c r="A3" s="334"/>
      <c r="B3" s="224" t="s">
        <v>18</v>
      </c>
      <c r="C3" s="224">
        <v>24</v>
      </c>
      <c r="D3" s="212"/>
      <c r="E3" s="214"/>
      <c r="F3" s="209"/>
      <c r="G3" s="209"/>
      <c r="M3" s="270" t="s">
        <v>215</v>
      </c>
      <c r="N3" s="270">
        <v>4</v>
      </c>
      <c r="O3" s="270">
        <v>4</v>
      </c>
      <c r="P3" s="270">
        <v>0</v>
      </c>
      <c r="Q3" s="270"/>
      <c r="R3" s="270"/>
    </row>
    <row r="4" spans="1:18" ht="21.75" customHeight="1">
      <c r="A4" s="334"/>
      <c r="B4" s="224" t="s">
        <v>25</v>
      </c>
      <c r="C4" s="224">
        <v>7</v>
      </c>
      <c r="D4" s="212"/>
      <c r="E4" s="214"/>
      <c r="F4" s="209"/>
      <c r="G4" s="209"/>
      <c r="M4" s="270" t="s">
        <v>216</v>
      </c>
      <c r="N4" s="270">
        <v>3</v>
      </c>
      <c r="O4" s="270">
        <v>3</v>
      </c>
      <c r="P4" s="270">
        <v>0</v>
      </c>
      <c r="Q4" s="270"/>
      <c r="R4" s="270"/>
    </row>
    <row r="5" spans="1:18" ht="21.75" customHeight="1">
      <c r="A5" s="334"/>
      <c r="B5" s="224" t="s">
        <v>27</v>
      </c>
      <c r="C5" s="224">
        <v>11</v>
      </c>
      <c r="D5" s="212"/>
      <c r="E5" s="214"/>
      <c r="F5" s="209"/>
      <c r="G5" s="209"/>
      <c r="M5" s="270" t="s">
        <v>217</v>
      </c>
      <c r="N5" s="270">
        <v>15</v>
      </c>
      <c r="O5" s="270">
        <v>5</v>
      </c>
      <c r="P5" s="270">
        <v>10</v>
      </c>
      <c r="Q5" s="270"/>
      <c r="R5" s="270"/>
    </row>
    <row r="6" spans="1:18" ht="21.75" customHeight="1">
      <c r="A6" s="334"/>
      <c r="B6" s="224" t="s">
        <v>28</v>
      </c>
      <c r="C6" s="224">
        <v>6</v>
      </c>
      <c r="D6" s="212"/>
      <c r="E6" s="214"/>
      <c r="F6" s="209"/>
      <c r="G6" s="209"/>
      <c r="M6" s="270" t="s">
        <v>218</v>
      </c>
      <c r="N6" s="270">
        <v>16</v>
      </c>
      <c r="O6" s="270">
        <v>2</v>
      </c>
      <c r="P6" s="270">
        <v>14</v>
      </c>
      <c r="Q6" s="270"/>
      <c r="R6" s="270"/>
    </row>
    <row r="7" spans="1:18" ht="21.75" customHeight="1">
      <c r="A7" s="334"/>
      <c r="B7" s="224" t="s">
        <v>30</v>
      </c>
      <c r="C7" s="224">
        <v>16</v>
      </c>
      <c r="D7" s="212"/>
      <c r="E7" s="214"/>
      <c r="F7" s="209"/>
      <c r="G7" s="209"/>
      <c r="M7" s="270" t="s">
        <v>219</v>
      </c>
      <c r="N7" s="270">
        <v>9</v>
      </c>
      <c r="O7" s="270">
        <v>9</v>
      </c>
      <c r="P7" s="270">
        <v>0</v>
      </c>
      <c r="Q7" s="270"/>
      <c r="R7" s="270"/>
    </row>
    <row r="8" spans="1:18" ht="21.75" customHeight="1">
      <c r="A8" s="334"/>
      <c r="B8" s="224" t="s">
        <v>32</v>
      </c>
      <c r="C8" s="224">
        <v>22</v>
      </c>
      <c r="D8" s="212"/>
      <c r="E8" s="214"/>
      <c r="F8" s="209"/>
      <c r="G8" s="209"/>
      <c r="M8" s="270" t="s">
        <v>220</v>
      </c>
      <c r="N8" s="270">
        <v>9</v>
      </c>
      <c r="O8" s="270">
        <v>3</v>
      </c>
      <c r="P8" s="270">
        <v>6</v>
      </c>
      <c r="Q8" s="270"/>
      <c r="R8" s="270"/>
    </row>
    <row r="9" spans="1:18" ht="21.75" customHeight="1">
      <c r="A9" s="334"/>
      <c r="B9" s="224" t="s">
        <v>38</v>
      </c>
      <c r="C9" s="224">
        <v>9</v>
      </c>
      <c r="D9" s="212"/>
      <c r="E9" s="214"/>
      <c r="F9" s="209"/>
      <c r="G9" s="209"/>
      <c r="M9" s="270" t="s">
        <v>221</v>
      </c>
      <c r="N9" s="270">
        <v>7</v>
      </c>
      <c r="O9" s="270">
        <v>7</v>
      </c>
      <c r="P9" s="270">
        <v>0</v>
      </c>
      <c r="Q9" s="270" t="s">
        <v>222</v>
      </c>
      <c r="R9" s="270"/>
    </row>
    <row r="10" spans="1:18" ht="21.75" customHeight="1">
      <c r="A10" s="334"/>
      <c r="B10" s="224" t="s">
        <v>39</v>
      </c>
      <c r="C10" s="224">
        <v>22</v>
      </c>
      <c r="D10" s="212"/>
      <c r="E10" s="214"/>
      <c r="F10" s="209"/>
      <c r="G10" s="209"/>
      <c r="M10" s="270" t="s">
        <v>223</v>
      </c>
      <c r="N10" s="270">
        <v>4</v>
      </c>
      <c r="O10" s="270">
        <v>1</v>
      </c>
      <c r="P10" s="270">
        <v>3</v>
      </c>
      <c r="Q10" s="270"/>
      <c r="R10" s="270"/>
    </row>
    <row r="11" spans="1:18" ht="21.75" customHeight="1">
      <c r="A11" s="334"/>
      <c r="B11" s="224" t="s">
        <v>40</v>
      </c>
      <c r="C11" s="224">
        <v>14</v>
      </c>
      <c r="D11" s="212"/>
      <c r="E11" s="214"/>
      <c r="F11" s="209"/>
      <c r="G11" s="209"/>
      <c r="M11" s="271" t="s">
        <v>108</v>
      </c>
      <c r="N11" s="271">
        <f>SUM(N2:N10)</f>
        <v>71</v>
      </c>
      <c r="O11" s="271">
        <f>SUM(O2:O10)</f>
        <v>38</v>
      </c>
      <c r="P11" s="271">
        <f>SUM(P2:P10)</f>
        <v>33</v>
      </c>
      <c r="Q11" s="271"/>
      <c r="R11" s="271"/>
    </row>
    <row r="12" spans="1:18" ht="21.75" customHeight="1">
      <c r="A12" s="334"/>
      <c r="B12" s="224" t="s">
        <v>41</v>
      </c>
      <c r="C12" s="224">
        <v>11</v>
      </c>
      <c r="D12" s="212"/>
      <c r="E12" s="214"/>
      <c r="F12" s="209"/>
      <c r="G12" s="209"/>
    </row>
    <row r="13" spans="1:18" ht="21.75" customHeight="1">
      <c r="A13" s="334"/>
      <c r="B13" s="254" t="s">
        <v>106</v>
      </c>
      <c r="C13" s="254">
        <f>SUM(C2:C12)</f>
        <v>156</v>
      </c>
      <c r="D13" s="258"/>
      <c r="E13" s="259"/>
      <c r="F13" s="260"/>
      <c r="G13" s="260"/>
    </row>
    <row r="14" spans="1:18" ht="21.75" customHeight="1">
      <c r="A14" s="334"/>
      <c r="B14" s="255" t="s">
        <v>224</v>
      </c>
      <c r="C14" s="255">
        <v>14</v>
      </c>
      <c r="D14" s="212"/>
      <c r="E14" s="214"/>
      <c r="F14" s="209"/>
      <c r="G14" s="209"/>
    </row>
    <row r="15" spans="1:18" ht="21.75" customHeight="1">
      <c r="A15" s="334"/>
      <c r="B15" s="256" t="s">
        <v>51</v>
      </c>
      <c r="C15" s="256">
        <v>5</v>
      </c>
      <c r="D15" s="209"/>
      <c r="E15" s="215"/>
      <c r="F15" s="209"/>
      <c r="G15" s="209"/>
    </row>
    <row r="16" spans="1:18" ht="21.75" customHeight="1">
      <c r="A16" s="334"/>
      <c r="B16" s="256" t="s">
        <v>52</v>
      </c>
      <c r="C16" s="256">
        <v>7</v>
      </c>
      <c r="D16" s="209"/>
      <c r="E16" s="215"/>
      <c r="F16" s="209"/>
      <c r="G16" s="209"/>
    </row>
    <row r="17" spans="1:7" ht="21.75" customHeight="1">
      <c r="A17" s="334"/>
      <c r="B17" s="257" t="s">
        <v>225</v>
      </c>
      <c r="C17" s="257">
        <v>21</v>
      </c>
      <c r="D17" s="210"/>
      <c r="E17" s="217"/>
      <c r="F17" s="210"/>
      <c r="G17" s="210"/>
    </row>
    <row r="18" spans="1:7" ht="21.75" customHeight="1">
      <c r="A18" s="334"/>
      <c r="B18" s="231" t="s">
        <v>106</v>
      </c>
      <c r="C18" s="232">
        <f>SUM(C14:C17)</f>
        <v>47</v>
      </c>
      <c r="D18" s="233"/>
      <c r="E18" s="234"/>
      <c r="F18" s="235"/>
      <c r="G18" s="235"/>
    </row>
    <row r="19" spans="1:7" ht="21.75" customHeight="1">
      <c r="A19" s="330" t="s">
        <v>107</v>
      </c>
      <c r="B19" s="229" t="s">
        <v>54</v>
      </c>
      <c r="C19" s="225">
        <v>21</v>
      </c>
      <c r="D19" s="218"/>
      <c r="E19" s="219"/>
      <c r="F19" s="220"/>
      <c r="G19" s="220"/>
    </row>
    <row r="20" spans="1:7" ht="21.75" customHeight="1">
      <c r="A20" s="331"/>
      <c r="B20" s="224" t="s">
        <v>55</v>
      </c>
      <c r="C20" s="224">
        <v>5</v>
      </c>
      <c r="D20" s="212"/>
      <c r="E20" s="214"/>
      <c r="F20" s="209"/>
      <c r="G20" s="209"/>
    </row>
    <row r="21" spans="1:7" ht="21.75" customHeight="1">
      <c r="A21" s="331"/>
      <c r="B21" s="224" t="s">
        <v>56</v>
      </c>
      <c r="C21" s="224">
        <v>9</v>
      </c>
      <c r="D21" s="212"/>
      <c r="E21" s="214"/>
      <c r="F21" s="209"/>
      <c r="G21" s="209"/>
    </row>
    <row r="22" spans="1:7" ht="21.75" customHeight="1">
      <c r="A22" s="331"/>
      <c r="B22" s="224" t="s">
        <v>57</v>
      </c>
      <c r="C22" s="224">
        <v>6</v>
      </c>
      <c r="D22" s="212"/>
      <c r="E22" s="214"/>
      <c r="F22" s="209"/>
      <c r="G22" s="209"/>
    </row>
    <row r="23" spans="1:7" ht="21.75" customHeight="1">
      <c r="A23" s="331"/>
      <c r="B23" s="224" t="s">
        <v>58</v>
      </c>
      <c r="C23" s="224">
        <v>4</v>
      </c>
      <c r="D23" s="212"/>
      <c r="E23" s="214"/>
      <c r="F23" s="209"/>
      <c r="G23" s="209"/>
    </row>
    <row r="24" spans="1:7" ht="21.75" customHeight="1">
      <c r="A24" s="331"/>
      <c r="B24" s="224" t="s">
        <v>59</v>
      </c>
      <c r="C24" s="224">
        <v>1</v>
      </c>
      <c r="D24" s="212"/>
      <c r="E24" s="214"/>
      <c r="F24" s="209"/>
      <c r="G24" s="209"/>
    </row>
    <row r="25" spans="1:7" ht="21.75" customHeight="1">
      <c r="A25" s="331"/>
      <c r="B25" s="224" t="s">
        <v>60</v>
      </c>
      <c r="C25" s="224">
        <v>2</v>
      </c>
      <c r="D25" s="212"/>
      <c r="E25" s="214"/>
      <c r="F25" s="209"/>
      <c r="G25" s="209"/>
    </row>
    <row r="26" spans="1:7" ht="21.75" customHeight="1">
      <c r="A26" s="331"/>
      <c r="B26" s="224" t="s">
        <v>61</v>
      </c>
      <c r="C26" s="224">
        <v>2</v>
      </c>
      <c r="D26" s="212"/>
      <c r="E26" s="214"/>
      <c r="F26" s="209"/>
      <c r="G26" s="209"/>
    </row>
    <row r="27" spans="1:7" ht="21.75" customHeight="1">
      <c r="A27" s="331"/>
      <c r="B27" s="224" t="s">
        <v>62</v>
      </c>
      <c r="C27" s="224">
        <v>2</v>
      </c>
      <c r="D27" s="212"/>
      <c r="E27" s="214"/>
      <c r="F27" s="209"/>
      <c r="G27" s="209"/>
    </row>
    <row r="28" spans="1:7" ht="21.75" customHeight="1">
      <c r="A28" s="331"/>
      <c r="B28" s="224" t="s">
        <v>63</v>
      </c>
      <c r="C28" s="224">
        <v>9</v>
      </c>
      <c r="D28" s="212"/>
      <c r="E28" s="214"/>
      <c r="F28" s="209"/>
      <c r="G28" s="209"/>
    </row>
    <row r="29" spans="1:7" ht="21.75" customHeight="1">
      <c r="A29" s="331"/>
      <c r="B29" s="226" t="s">
        <v>26</v>
      </c>
      <c r="C29" s="226">
        <v>2</v>
      </c>
      <c r="D29" s="221"/>
      <c r="E29" s="222"/>
      <c r="F29" s="210"/>
      <c r="G29" s="210"/>
    </row>
    <row r="30" spans="1:7" ht="21.75" customHeight="1">
      <c r="A30" s="332"/>
      <c r="B30" s="231" t="s">
        <v>106</v>
      </c>
      <c r="C30" s="231">
        <f>SUM(C19:C29)</f>
        <v>63</v>
      </c>
      <c r="D30" s="233"/>
      <c r="E30" s="234"/>
      <c r="F30" s="235"/>
      <c r="G30" s="235"/>
    </row>
    <row r="31" spans="1:7" ht="21.75" customHeight="1">
      <c r="A31" s="338" t="s">
        <v>226</v>
      </c>
      <c r="B31" s="339"/>
      <c r="C31" s="239">
        <f>SUM(C30,C18)</f>
        <v>110</v>
      </c>
      <c r="D31" s="240"/>
      <c r="E31" s="241"/>
      <c r="F31" s="242"/>
      <c r="G31" s="242"/>
    </row>
    <row r="32" spans="1:7" ht="21.75" customHeight="1">
      <c r="A32" s="335" t="s">
        <v>227</v>
      </c>
      <c r="B32" s="227" t="s">
        <v>85</v>
      </c>
      <c r="C32" s="227"/>
      <c r="D32" s="208"/>
      <c r="E32" s="216"/>
      <c r="F32" s="208"/>
      <c r="G32" s="208"/>
    </row>
    <row r="33" spans="1:7" ht="21.75" customHeight="1">
      <c r="A33" s="336"/>
      <c r="B33" s="228" t="s">
        <v>86</v>
      </c>
      <c r="C33" s="228"/>
      <c r="D33" s="209"/>
      <c r="E33" s="215"/>
      <c r="F33" s="209"/>
      <c r="G33" s="209"/>
    </row>
    <row r="34" spans="1:7" ht="21.75" customHeight="1">
      <c r="A34" s="336"/>
      <c r="B34" s="228" t="s">
        <v>87</v>
      </c>
      <c r="C34" s="228"/>
      <c r="D34" s="209"/>
      <c r="E34" s="215"/>
      <c r="F34" s="209"/>
      <c r="G34" s="209"/>
    </row>
    <row r="35" spans="1:7" ht="21.75" customHeight="1">
      <c r="A35" s="336"/>
      <c r="B35" s="230" t="s">
        <v>228</v>
      </c>
      <c r="C35" s="230"/>
      <c r="D35" s="210"/>
      <c r="E35" s="217"/>
      <c r="F35" s="210"/>
      <c r="G35" s="210"/>
    </row>
    <row r="36" spans="1:7" ht="21.75" customHeight="1">
      <c r="A36" s="337"/>
      <c r="B36" s="238" t="s">
        <v>229</v>
      </c>
      <c r="C36" s="236"/>
      <c r="D36" s="235"/>
      <c r="E36" s="237"/>
      <c r="F36" s="235"/>
      <c r="G36" s="235"/>
    </row>
  </sheetData>
  <mergeCells count="4">
    <mergeCell ref="A19:A30"/>
    <mergeCell ref="A2:A18"/>
    <mergeCell ref="A32:A36"/>
    <mergeCell ref="A31:B31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QP5NLSGSHJOBF7Y5JBHI44QEUK7JFXLO:ms-officescript%3A%2F%2Fonedrive_business_sharinglink%2Fu!aHR0cHM6Ly90Ym9mZm9vZHNwdnRsdGQtbXkuc2hhcmVwb2ludC5jb20vOnU6L2cvcGVyc29uYWwvc2hla2hhcl9zb25hd2FuZV90d29icm90aGVyc2luZGlhX2NvbS9JUURTT2x3U194MUlUbzV5QktLLWt0MXVBWmpQMzc3QmNJZkx3bUhzdDhzdHpybw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152B4464E984C83A542677C553DFD" ma:contentTypeVersion="3" ma:contentTypeDescription="Create a new document." ma:contentTypeScope="" ma:versionID="2b591b1f2becf88a86f289c034f99d21">
  <xsd:schema xmlns:xsd="http://www.w3.org/2001/XMLSchema" xmlns:xs="http://www.w3.org/2001/XMLSchema" xmlns:p="http://schemas.microsoft.com/office/2006/metadata/properties" xmlns:ns2="758ccc67-6075-476f-a59e-b332498085bf" targetNamespace="http://schemas.microsoft.com/office/2006/metadata/properties" ma:root="true" ma:fieldsID="0f319af7f233067754780fead5ce4cce" ns2:_="">
    <xsd:import namespace="758ccc67-6075-476f-a59e-b33249808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ccc67-6075-476f-a59e-b332498085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8E9AAD-C5F3-4A57-9961-B62F9E7BE544}"/>
</file>

<file path=customXml/itemProps2.xml><?xml version="1.0" encoding="utf-8"?>
<ds:datastoreItem xmlns:ds="http://schemas.openxmlformats.org/officeDocument/2006/customXml" ds:itemID="{E1A2D393-2075-439B-ABF6-791EE8699AB3}"/>
</file>

<file path=customXml/itemProps3.xml><?xml version="1.0" encoding="utf-8"?>
<ds:datastoreItem xmlns:ds="http://schemas.openxmlformats.org/officeDocument/2006/customXml" ds:itemID="{D852FF92-C37E-4AFF-87E1-61B80A078DFF}"/>
</file>

<file path=customXml/itemProps4.xml><?xml version="1.0" encoding="utf-8"?>
<ds:datastoreItem xmlns:ds="http://schemas.openxmlformats.org/officeDocument/2006/customXml" ds:itemID="{A2A69D8D-CFD5-4E19-B0EA-026A805BE8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Sudhanshu Kumar</dc:creator>
  <cp:keywords/>
  <dc:description/>
  <cp:lastModifiedBy/>
  <cp:revision/>
  <dcterms:created xsi:type="dcterms:W3CDTF">2026-05-28T17:49:51Z</dcterms:created>
  <dcterms:modified xsi:type="dcterms:W3CDTF">2026-10-13T10:07:00Z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0x010100F5D152B4464E984C83A542677C553DFD</vt:lpwstr>
  </property>
</Properties>
</file>