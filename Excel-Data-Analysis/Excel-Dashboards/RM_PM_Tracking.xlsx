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tboffoodspvtltd.sharepoint.com/sites/TBOFProduction/Shared Documents/"/>
    </mc:Choice>
  </mc:AlternateContent>
  <xr:revisionPtr revIDLastSave="0" documentId="8_{593C0853-F8F6-4CD5-9496-759B3CD43B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7" r:id="rId1"/>
    <sheet name="RM" sheetId="1" r:id="rId2"/>
    <sheet name="PM (Domestic)" sheetId="2" state="hidden" r:id="rId3"/>
    <sheet name="RM Search" sheetId="3" state="hidden" r:id="rId4"/>
    <sheet name="PM Search" sheetId="4" state="hidden" r:id="rId5"/>
    <sheet name="RM_PM_Quantity" sheetId="5" state="hidden" r:id="rId6"/>
    <sheet name="RM_PM_Master" sheetId="6" state="hidden" r:id="rId7"/>
  </sheets>
  <externalReferences>
    <externalReference r:id="rId8"/>
  </externalReferences>
  <definedNames>
    <definedName name="_xlnm._FilterDatabase" localSheetId="2" hidden="1">'PM (Domestic)'!$A$1:$AV$1</definedName>
    <definedName name="_xlnm._FilterDatabase" localSheetId="1" hidden="1">RM!$A$1:$AQ$1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Z6" i="7" l="1" a="1"/>
  <c r="CZ6" i="7"/>
  <c r="A70" i="7" a="1"/>
  <c r="A70" i="7"/>
  <c r="CD2" i="7" a="1"/>
  <c r="CD2" i="7"/>
  <c r="A3" i="7" a="1"/>
  <c r="A3" i="7"/>
  <c r="BT142" i="1"/>
  <c r="BU142" i="1"/>
  <c r="BV142" i="1"/>
  <c r="BW142" i="1"/>
  <c r="BX142" i="1"/>
  <c r="BY142" i="1"/>
  <c r="BT2" i="1"/>
  <c r="BT83" i="1" s="1"/>
  <c r="BU2" i="1"/>
  <c r="BU83" i="1" s="1"/>
  <c r="BV2" i="1"/>
  <c r="BV83" i="1" s="1"/>
  <c r="BW2" i="1"/>
  <c r="BW83" i="1" s="1"/>
  <c r="BX2" i="1"/>
  <c r="BX83" i="1" s="1"/>
  <c r="BY2" i="1"/>
  <c r="BY83" i="1" s="1"/>
  <c r="BT3" i="1"/>
  <c r="BT84" i="1" s="1"/>
  <c r="BU3" i="1"/>
  <c r="BU84" i="1" s="1"/>
  <c r="BV3" i="1"/>
  <c r="BV84" i="1" s="1"/>
  <c r="BW3" i="1"/>
  <c r="BW84" i="1" s="1"/>
  <c r="BX3" i="1"/>
  <c r="BX84" i="1" s="1"/>
  <c r="BY3" i="1"/>
  <c r="BY84" i="1" s="1"/>
  <c r="BT4" i="1"/>
  <c r="BT85" i="1" s="1"/>
  <c r="BU4" i="1"/>
  <c r="BU85" i="1" s="1"/>
  <c r="BV4" i="1"/>
  <c r="BV85" i="1" s="1"/>
  <c r="BW4" i="1"/>
  <c r="BW85" i="1" s="1"/>
  <c r="BX4" i="1"/>
  <c r="BX85" i="1" s="1"/>
  <c r="BY4" i="1"/>
  <c r="BY85" i="1" s="1"/>
  <c r="BT5" i="1"/>
  <c r="BT86" i="1" s="1"/>
  <c r="BU5" i="1"/>
  <c r="BU86" i="1" s="1"/>
  <c r="BV5" i="1"/>
  <c r="BV86" i="1" s="1"/>
  <c r="BW5" i="1"/>
  <c r="BW86" i="1" s="1"/>
  <c r="BX5" i="1"/>
  <c r="BX86" i="1" s="1"/>
  <c r="BY5" i="1"/>
  <c r="BY86" i="1" s="1"/>
  <c r="BT6" i="1"/>
  <c r="BT87" i="1" s="1"/>
  <c r="BU6" i="1"/>
  <c r="BU87" i="1" s="1"/>
  <c r="BV6" i="1"/>
  <c r="BV87" i="1" s="1"/>
  <c r="BW6" i="1"/>
  <c r="BW87" i="1" s="1"/>
  <c r="BX6" i="1"/>
  <c r="BX87" i="1" s="1"/>
  <c r="BY6" i="1"/>
  <c r="BY87" i="1" s="1"/>
  <c r="BT7" i="1"/>
  <c r="BT88" i="1" s="1"/>
  <c r="BU7" i="1"/>
  <c r="BU88" i="1" s="1"/>
  <c r="BV7" i="1"/>
  <c r="BV88" i="1" s="1"/>
  <c r="BW7" i="1"/>
  <c r="BW88" i="1" s="1"/>
  <c r="BX7" i="1"/>
  <c r="BX88" i="1" s="1"/>
  <c r="BY7" i="1"/>
  <c r="BY88" i="1" s="1"/>
  <c r="BT8" i="1"/>
  <c r="BT89" i="1" s="1"/>
  <c r="BU8" i="1"/>
  <c r="BU89" i="1" s="1"/>
  <c r="BV8" i="1"/>
  <c r="BV89" i="1" s="1"/>
  <c r="BW8" i="1"/>
  <c r="BW89" i="1" s="1"/>
  <c r="BX8" i="1"/>
  <c r="BX89" i="1" s="1"/>
  <c r="BY8" i="1"/>
  <c r="BY89" i="1" s="1"/>
  <c r="BT9" i="1"/>
  <c r="BT90" i="1" s="1"/>
  <c r="BU9" i="1"/>
  <c r="BU90" i="1" s="1"/>
  <c r="BV9" i="1"/>
  <c r="BV90" i="1" s="1"/>
  <c r="BW9" i="1"/>
  <c r="BW90" i="1" s="1"/>
  <c r="BX9" i="1"/>
  <c r="BX90" i="1" s="1"/>
  <c r="BY9" i="1"/>
  <c r="BY90" i="1" s="1"/>
  <c r="BT10" i="1"/>
  <c r="BT91" i="1" s="1"/>
  <c r="BU10" i="1"/>
  <c r="BU91" i="1" s="1"/>
  <c r="BV10" i="1"/>
  <c r="BV91" i="1" s="1"/>
  <c r="BW10" i="1"/>
  <c r="BW91" i="1" s="1"/>
  <c r="BX10" i="1"/>
  <c r="BX91" i="1" s="1"/>
  <c r="BY10" i="1"/>
  <c r="BY91" i="1" s="1"/>
  <c r="BT11" i="1"/>
  <c r="BT92" i="1" s="1"/>
  <c r="BU11" i="1"/>
  <c r="BU92" i="1" s="1"/>
  <c r="BV11" i="1"/>
  <c r="BV92" i="1" s="1"/>
  <c r="BW11" i="1"/>
  <c r="BW92" i="1" s="1"/>
  <c r="BX11" i="1"/>
  <c r="BX92" i="1" s="1"/>
  <c r="BY11" i="1"/>
  <c r="BY92" i="1" s="1"/>
  <c r="BT12" i="1"/>
  <c r="BT93" i="1" s="1"/>
  <c r="BU12" i="1"/>
  <c r="BU93" i="1" s="1"/>
  <c r="BV12" i="1"/>
  <c r="BV93" i="1" s="1"/>
  <c r="BW12" i="1"/>
  <c r="BW93" i="1" s="1"/>
  <c r="BX12" i="1"/>
  <c r="BX93" i="1" s="1"/>
  <c r="BY12" i="1"/>
  <c r="BY93" i="1" s="1"/>
  <c r="BT13" i="1"/>
  <c r="BT94" i="1" s="1"/>
  <c r="BU13" i="1"/>
  <c r="BU94" i="1" s="1"/>
  <c r="BV13" i="1"/>
  <c r="BV94" i="1" s="1"/>
  <c r="BW13" i="1"/>
  <c r="BW94" i="1" s="1"/>
  <c r="BX13" i="1"/>
  <c r="BX94" i="1" s="1"/>
  <c r="BY13" i="1"/>
  <c r="BY94" i="1" s="1"/>
  <c r="BT14" i="1"/>
  <c r="BT95" i="1" s="1"/>
  <c r="BU14" i="1"/>
  <c r="BU95" i="1" s="1"/>
  <c r="BV14" i="1"/>
  <c r="BV95" i="1" s="1"/>
  <c r="BW14" i="1"/>
  <c r="BW95" i="1" s="1"/>
  <c r="BX14" i="1"/>
  <c r="BX95" i="1" s="1"/>
  <c r="BY14" i="1"/>
  <c r="BY95" i="1" s="1"/>
  <c r="BT15" i="1"/>
  <c r="BT96" i="1" s="1"/>
  <c r="BU15" i="1"/>
  <c r="BU96" i="1" s="1"/>
  <c r="BV15" i="1"/>
  <c r="BV96" i="1" s="1"/>
  <c r="BW15" i="1"/>
  <c r="BW96" i="1" s="1"/>
  <c r="BX15" i="1"/>
  <c r="BX96" i="1" s="1"/>
  <c r="BY15" i="1"/>
  <c r="BY96" i="1" s="1"/>
  <c r="BT16" i="1"/>
  <c r="BT97" i="1" s="1"/>
  <c r="BU16" i="1"/>
  <c r="BU97" i="1" s="1"/>
  <c r="BV16" i="1"/>
  <c r="BV97" i="1" s="1"/>
  <c r="BW16" i="1"/>
  <c r="BW97" i="1" s="1"/>
  <c r="BX16" i="1"/>
  <c r="BX97" i="1" s="1"/>
  <c r="BY16" i="1"/>
  <c r="BY97" i="1" s="1"/>
  <c r="BT17" i="1"/>
  <c r="BT98" i="1" s="1"/>
  <c r="BU17" i="1"/>
  <c r="BU98" i="1" s="1"/>
  <c r="BV17" i="1"/>
  <c r="BV98" i="1" s="1"/>
  <c r="BW17" i="1"/>
  <c r="BW98" i="1" s="1"/>
  <c r="BX17" i="1"/>
  <c r="BX98" i="1" s="1"/>
  <c r="BY17" i="1"/>
  <c r="BY98" i="1" s="1"/>
  <c r="BT18" i="1"/>
  <c r="BT99" i="1" s="1"/>
  <c r="BU18" i="1"/>
  <c r="BU99" i="1" s="1"/>
  <c r="BV18" i="1"/>
  <c r="BV99" i="1" s="1"/>
  <c r="BW18" i="1"/>
  <c r="BW99" i="1" s="1"/>
  <c r="BX18" i="1"/>
  <c r="BX99" i="1" s="1"/>
  <c r="BY18" i="1"/>
  <c r="BY99" i="1" s="1"/>
  <c r="BT19" i="1"/>
  <c r="BT100" i="1" s="1"/>
  <c r="BU19" i="1"/>
  <c r="BU100" i="1" s="1"/>
  <c r="BV19" i="1"/>
  <c r="BV100" i="1" s="1"/>
  <c r="BW19" i="1"/>
  <c r="BW100" i="1" s="1"/>
  <c r="BX19" i="1"/>
  <c r="BX100" i="1" s="1"/>
  <c r="BY19" i="1"/>
  <c r="BY100" i="1" s="1"/>
  <c r="BT20" i="1"/>
  <c r="BT101" i="1" s="1"/>
  <c r="BU20" i="1"/>
  <c r="BU101" i="1" s="1"/>
  <c r="BV20" i="1"/>
  <c r="BV101" i="1" s="1"/>
  <c r="BW20" i="1"/>
  <c r="BW101" i="1" s="1"/>
  <c r="BX20" i="1"/>
  <c r="BX101" i="1" s="1"/>
  <c r="BY20" i="1"/>
  <c r="BY101" i="1" s="1"/>
  <c r="BT21" i="1"/>
  <c r="BT102" i="1" s="1"/>
  <c r="BU21" i="1"/>
  <c r="BU102" i="1" s="1"/>
  <c r="BV21" i="1"/>
  <c r="BV102" i="1" s="1"/>
  <c r="BW21" i="1"/>
  <c r="BW102" i="1" s="1"/>
  <c r="BX21" i="1"/>
  <c r="BX102" i="1" s="1"/>
  <c r="BY21" i="1"/>
  <c r="BY102" i="1" s="1"/>
  <c r="BT22" i="1"/>
  <c r="BT103" i="1" s="1"/>
  <c r="BU22" i="1"/>
  <c r="BU103" i="1" s="1"/>
  <c r="BV22" i="1"/>
  <c r="BV103" i="1" s="1"/>
  <c r="BW22" i="1"/>
  <c r="BW103" i="1" s="1"/>
  <c r="BX22" i="1"/>
  <c r="BX103" i="1" s="1"/>
  <c r="BY22" i="1"/>
  <c r="BY103" i="1" s="1"/>
  <c r="BT23" i="1"/>
  <c r="BT104" i="1" s="1"/>
  <c r="BU23" i="1"/>
  <c r="BU104" i="1" s="1"/>
  <c r="BV23" i="1"/>
  <c r="BV104" i="1" s="1"/>
  <c r="BW23" i="1"/>
  <c r="BW104" i="1" s="1"/>
  <c r="BX23" i="1"/>
  <c r="BX104" i="1" s="1"/>
  <c r="BY23" i="1"/>
  <c r="BY104" i="1" s="1"/>
  <c r="BT24" i="1"/>
  <c r="BT105" i="1" s="1"/>
  <c r="BU24" i="1"/>
  <c r="BU105" i="1" s="1"/>
  <c r="BV24" i="1"/>
  <c r="BV105" i="1" s="1"/>
  <c r="BW24" i="1"/>
  <c r="BW105" i="1" s="1"/>
  <c r="BX24" i="1"/>
  <c r="BX105" i="1" s="1"/>
  <c r="BY24" i="1"/>
  <c r="BY105" i="1" s="1"/>
  <c r="BT25" i="1"/>
  <c r="BT106" i="1" s="1"/>
  <c r="BU25" i="1"/>
  <c r="BU106" i="1" s="1"/>
  <c r="BV25" i="1"/>
  <c r="BV106" i="1" s="1"/>
  <c r="BW25" i="1"/>
  <c r="BW106" i="1" s="1"/>
  <c r="BX25" i="1"/>
  <c r="BX106" i="1" s="1"/>
  <c r="BY25" i="1"/>
  <c r="BY106" i="1" s="1"/>
  <c r="BT26" i="1"/>
  <c r="BT107" i="1" s="1"/>
  <c r="BU26" i="1"/>
  <c r="BU107" i="1" s="1"/>
  <c r="BV26" i="1"/>
  <c r="BV107" i="1" s="1"/>
  <c r="BW26" i="1"/>
  <c r="BW107" i="1" s="1"/>
  <c r="BX26" i="1"/>
  <c r="BX107" i="1" s="1"/>
  <c r="BY26" i="1"/>
  <c r="BY107" i="1" s="1"/>
  <c r="BT27" i="1"/>
  <c r="BT108" i="1" s="1"/>
  <c r="BU27" i="1"/>
  <c r="BU108" i="1" s="1"/>
  <c r="BV27" i="1"/>
  <c r="BV108" i="1" s="1"/>
  <c r="BW27" i="1"/>
  <c r="BW108" i="1" s="1"/>
  <c r="BX27" i="1"/>
  <c r="BX108" i="1" s="1"/>
  <c r="BY27" i="1"/>
  <c r="BY108" i="1" s="1"/>
  <c r="BT28" i="1"/>
  <c r="BT109" i="1" s="1"/>
  <c r="BU28" i="1"/>
  <c r="BU109" i="1" s="1"/>
  <c r="BV28" i="1"/>
  <c r="BV109" i="1" s="1"/>
  <c r="BW28" i="1"/>
  <c r="BW109" i="1" s="1"/>
  <c r="BX28" i="1"/>
  <c r="BX109" i="1" s="1"/>
  <c r="BY28" i="1"/>
  <c r="BY109" i="1" s="1"/>
  <c r="BT29" i="1"/>
  <c r="BT110" i="1" s="1"/>
  <c r="BU29" i="1"/>
  <c r="BU110" i="1" s="1"/>
  <c r="BV29" i="1"/>
  <c r="BV110" i="1" s="1"/>
  <c r="BW29" i="1"/>
  <c r="BW110" i="1" s="1"/>
  <c r="BX29" i="1"/>
  <c r="BX110" i="1" s="1"/>
  <c r="BY29" i="1"/>
  <c r="BY110" i="1" s="1"/>
  <c r="BT30" i="1"/>
  <c r="BT111" i="1" s="1"/>
  <c r="BU30" i="1"/>
  <c r="BU111" i="1" s="1"/>
  <c r="BV30" i="1"/>
  <c r="BV111" i="1" s="1"/>
  <c r="BW30" i="1"/>
  <c r="BW111" i="1" s="1"/>
  <c r="BX30" i="1"/>
  <c r="BX111" i="1" s="1"/>
  <c r="BY30" i="1"/>
  <c r="BY111" i="1" s="1"/>
  <c r="BT31" i="1"/>
  <c r="BT112" i="1" s="1"/>
  <c r="BU31" i="1"/>
  <c r="BU112" i="1" s="1"/>
  <c r="BV31" i="1"/>
  <c r="BV112" i="1" s="1"/>
  <c r="BW31" i="1"/>
  <c r="BW112" i="1" s="1"/>
  <c r="BX31" i="1"/>
  <c r="BX112" i="1" s="1"/>
  <c r="BY31" i="1"/>
  <c r="BY112" i="1" s="1"/>
  <c r="BT32" i="1"/>
  <c r="BT113" i="1" s="1"/>
  <c r="BU32" i="1"/>
  <c r="BU113" i="1" s="1"/>
  <c r="BV32" i="1"/>
  <c r="BV113" i="1" s="1"/>
  <c r="BW32" i="1"/>
  <c r="BW113" i="1" s="1"/>
  <c r="BX32" i="1"/>
  <c r="BX113" i="1" s="1"/>
  <c r="BY32" i="1"/>
  <c r="BY113" i="1" s="1"/>
  <c r="BT33" i="1"/>
  <c r="BT114" i="1" s="1"/>
  <c r="BU33" i="1"/>
  <c r="BU114" i="1" s="1"/>
  <c r="BV33" i="1"/>
  <c r="BV114" i="1" s="1"/>
  <c r="BW33" i="1"/>
  <c r="BW114" i="1" s="1"/>
  <c r="BX33" i="1"/>
  <c r="BX114" i="1" s="1"/>
  <c r="BY33" i="1"/>
  <c r="BY114" i="1" s="1"/>
  <c r="BT34" i="1"/>
  <c r="BT115" i="1" s="1"/>
  <c r="BU34" i="1"/>
  <c r="BU115" i="1" s="1"/>
  <c r="BV34" i="1"/>
  <c r="BV115" i="1" s="1"/>
  <c r="BW34" i="1"/>
  <c r="BW115" i="1" s="1"/>
  <c r="BX34" i="1"/>
  <c r="BX115" i="1" s="1"/>
  <c r="BY34" i="1"/>
  <c r="BY115" i="1" s="1"/>
  <c r="BT35" i="1"/>
  <c r="BT116" i="1" s="1"/>
  <c r="BU35" i="1"/>
  <c r="BU116" i="1" s="1"/>
  <c r="BV35" i="1"/>
  <c r="BV116" i="1" s="1"/>
  <c r="BW35" i="1"/>
  <c r="BW116" i="1" s="1"/>
  <c r="BX35" i="1"/>
  <c r="BX116" i="1" s="1"/>
  <c r="BY35" i="1"/>
  <c r="BY116" i="1" s="1"/>
  <c r="BT36" i="1"/>
  <c r="BT117" i="1" s="1"/>
  <c r="BU36" i="1"/>
  <c r="BU117" i="1" s="1"/>
  <c r="BV36" i="1"/>
  <c r="BV117" i="1" s="1"/>
  <c r="BW36" i="1"/>
  <c r="BW117" i="1" s="1"/>
  <c r="BX36" i="1"/>
  <c r="BX117" i="1" s="1"/>
  <c r="BY36" i="1"/>
  <c r="BY117" i="1" s="1"/>
  <c r="BT37" i="1"/>
  <c r="BT118" i="1" s="1"/>
  <c r="BU37" i="1"/>
  <c r="BU118" i="1" s="1"/>
  <c r="BV37" i="1"/>
  <c r="BV118" i="1" s="1"/>
  <c r="BW37" i="1"/>
  <c r="BW118" i="1" s="1"/>
  <c r="BX37" i="1"/>
  <c r="BX118" i="1" s="1"/>
  <c r="BY37" i="1"/>
  <c r="BY118" i="1" s="1"/>
  <c r="BT38" i="1"/>
  <c r="BT119" i="1" s="1"/>
  <c r="BU38" i="1"/>
  <c r="BU119" i="1" s="1"/>
  <c r="BV38" i="1"/>
  <c r="BV119" i="1" s="1"/>
  <c r="BW38" i="1"/>
  <c r="BW119" i="1" s="1"/>
  <c r="BX38" i="1"/>
  <c r="BX119" i="1" s="1"/>
  <c r="BY38" i="1"/>
  <c r="BY119" i="1" s="1"/>
  <c r="BT39" i="1"/>
  <c r="BT120" i="1" s="1"/>
  <c r="BU39" i="1"/>
  <c r="BU120" i="1" s="1"/>
  <c r="BV39" i="1"/>
  <c r="BV120" i="1" s="1"/>
  <c r="BW39" i="1"/>
  <c r="BW120" i="1" s="1"/>
  <c r="BX39" i="1"/>
  <c r="BX120" i="1" s="1"/>
  <c r="BY39" i="1"/>
  <c r="BY120" i="1" s="1"/>
  <c r="BT40" i="1"/>
  <c r="BT121" i="1" s="1"/>
  <c r="BU40" i="1"/>
  <c r="BU121" i="1" s="1"/>
  <c r="BV40" i="1"/>
  <c r="BV121" i="1" s="1"/>
  <c r="BW40" i="1"/>
  <c r="BW121" i="1" s="1"/>
  <c r="BX40" i="1"/>
  <c r="BX121" i="1" s="1"/>
  <c r="BY40" i="1"/>
  <c r="BY121" i="1" s="1"/>
  <c r="BT41" i="1"/>
  <c r="BT122" i="1" s="1"/>
  <c r="BU41" i="1"/>
  <c r="BU122" i="1" s="1"/>
  <c r="BV41" i="1"/>
  <c r="BV122" i="1" s="1"/>
  <c r="BW41" i="1"/>
  <c r="BW122" i="1" s="1"/>
  <c r="BX41" i="1"/>
  <c r="BX122" i="1" s="1"/>
  <c r="BY41" i="1"/>
  <c r="BY122" i="1" s="1"/>
  <c r="BT42" i="1"/>
  <c r="BT123" i="1" s="1"/>
  <c r="BU42" i="1"/>
  <c r="BU123" i="1" s="1"/>
  <c r="BV42" i="1"/>
  <c r="BV123" i="1" s="1"/>
  <c r="BW42" i="1"/>
  <c r="BW123" i="1" s="1"/>
  <c r="BX42" i="1"/>
  <c r="BX123" i="1" s="1"/>
  <c r="BY42" i="1"/>
  <c r="BY123" i="1" s="1"/>
  <c r="BT43" i="1"/>
  <c r="BT124" i="1" s="1"/>
  <c r="BU43" i="1"/>
  <c r="BU124" i="1" s="1"/>
  <c r="BV43" i="1"/>
  <c r="BV124" i="1" s="1"/>
  <c r="BW43" i="1"/>
  <c r="BW124" i="1" s="1"/>
  <c r="BX43" i="1"/>
  <c r="BX124" i="1" s="1"/>
  <c r="BY43" i="1"/>
  <c r="BY124" i="1" s="1"/>
  <c r="BT44" i="1"/>
  <c r="BT125" i="1" s="1"/>
  <c r="BU44" i="1"/>
  <c r="BU125" i="1" s="1"/>
  <c r="BV44" i="1"/>
  <c r="BV125" i="1" s="1"/>
  <c r="BW44" i="1"/>
  <c r="BW125" i="1" s="1"/>
  <c r="BX44" i="1"/>
  <c r="BX125" i="1" s="1"/>
  <c r="BY44" i="1"/>
  <c r="BY125" i="1" s="1"/>
  <c r="BT45" i="1"/>
  <c r="BT126" i="1" s="1"/>
  <c r="BU45" i="1"/>
  <c r="BU126" i="1" s="1"/>
  <c r="BV45" i="1"/>
  <c r="BV126" i="1" s="1"/>
  <c r="BW45" i="1"/>
  <c r="BW126" i="1" s="1"/>
  <c r="BX45" i="1"/>
  <c r="BX126" i="1" s="1"/>
  <c r="BY45" i="1"/>
  <c r="BY126" i="1" s="1"/>
  <c r="BT46" i="1"/>
  <c r="BT127" i="1" s="1"/>
  <c r="BU46" i="1"/>
  <c r="BU127" i="1" s="1"/>
  <c r="BV46" i="1"/>
  <c r="BV127" i="1" s="1"/>
  <c r="BW46" i="1"/>
  <c r="BW127" i="1" s="1"/>
  <c r="BX46" i="1"/>
  <c r="BX127" i="1" s="1"/>
  <c r="BY46" i="1"/>
  <c r="BY127" i="1" s="1"/>
  <c r="BT47" i="1"/>
  <c r="BT128" i="1" s="1"/>
  <c r="BU47" i="1"/>
  <c r="BU128" i="1" s="1"/>
  <c r="BV47" i="1"/>
  <c r="BV128" i="1" s="1"/>
  <c r="BW47" i="1"/>
  <c r="BW128" i="1" s="1"/>
  <c r="BX47" i="1"/>
  <c r="BX128" i="1" s="1"/>
  <c r="BY47" i="1"/>
  <c r="BY128" i="1" s="1"/>
  <c r="BT48" i="1"/>
  <c r="BT129" i="1" s="1"/>
  <c r="BU48" i="1"/>
  <c r="BU129" i="1" s="1"/>
  <c r="BV48" i="1"/>
  <c r="BV129" i="1" s="1"/>
  <c r="BW48" i="1"/>
  <c r="BW129" i="1" s="1"/>
  <c r="BX48" i="1"/>
  <c r="BX129" i="1" s="1"/>
  <c r="BY48" i="1"/>
  <c r="BY129" i="1" s="1"/>
  <c r="BT49" i="1"/>
  <c r="BT130" i="1" s="1"/>
  <c r="BU49" i="1"/>
  <c r="BU130" i="1" s="1"/>
  <c r="BV49" i="1"/>
  <c r="BV130" i="1" s="1"/>
  <c r="BW49" i="1"/>
  <c r="BW130" i="1" s="1"/>
  <c r="BX49" i="1"/>
  <c r="BX130" i="1" s="1"/>
  <c r="BY49" i="1"/>
  <c r="BY130" i="1" s="1"/>
  <c r="BT50" i="1"/>
  <c r="BT131" i="1" s="1"/>
  <c r="BU50" i="1"/>
  <c r="BU131" i="1" s="1"/>
  <c r="BV50" i="1"/>
  <c r="BV131" i="1" s="1"/>
  <c r="BW50" i="1"/>
  <c r="BW131" i="1" s="1"/>
  <c r="BX50" i="1"/>
  <c r="BX131" i="1" s="1"/>
  <c r="BY50" i="1"/>
  <c r="BY131" i="1" s="1"/>
  <c r="BT51" i="1"/>
  <c r="BT132" i="1" s="1"/>
  <c r="BU51" i="1"/>
  <c r="BU132" i="1" s="1"/>
  <c r="BV51" i="1"/>
  <c r="BV132" i="1" s="1"/>
  <c r="BW51" i="1"/>
  <c r="BW132" i="1" s="1"/>
  <c r="BX51" i="1"/>
  <c r="BX132" i="1" s="1"/>
  <c r="BY51" i="1"/>
  <c r="BY132" i="1" s="1"/>
  <c r="BT52" i="1"/>
  <c r="BT133" i="1" s="1"/>
  <c r="BU52" i="1"/>
  <c r="BU133" i="1" s="1"/>
  <c r="BV52" i="1"/>
  <c r="BV133" i="1" s="1"/>
  <c r="BW52" i="1"/>
  <c r="BW133" i="1" s="1"/>
  <c r="BX52" i="1"/>
  <c r="BX133" i="1" s="1"/>
  <c r="BY52" i="1"/>
  <c r="BY133" i="1" s="1"/>
  <c r="BT53" i="1"/>
  <c r="BT134" i="1" s="1"/>
  <c r="BU53" i="1"/>
  <c r="BU134" i="1" s="1"/>
  <c r="BV53" i="1"/>
  <c r="BV134" i="1" s="1"/>
  <c r="BW53" i="1"/>
  <c r="BW134" i="1" s="1"/>
  <c r="BX53" i="1"/>
  <c r="BX134" i="1" s="1"/>
  <c r="BY53" i="1"/>
  <c r="BY134" i="1" s="1"/>
  <c r="BT54" i="1"/>
  <c r="BT135" i="1" s="1"/>
  <c r="BU54" i="1"/>
  <c r="BU135" i="1" s="1"/>
  <c r="BV54" i="1"/>
  <c r="BV135" i="1" s="1"/>
  <c r="BW54" i="1"/>
  <c r="BW135" i="1" s="1"/>
  <c r="BX54" i="1"/>
  <c r="BX135" i="1" s="1"/>
  <c r="BY54" i="1"/>
  <c r="BY135" i="1" s="1"/>
  <c r="BT55" i="1"/>
  <c r="BT136" i="1" s="1"/>
  <c r="BU55" i="1"/>
  <c r="BU136" i="1" s="1"/>
  <c r="BV55" i="1"/>
  <c r="BV136" i="1" s="1"/>
  <c r="BW55" i="1"/>
  <c r="BW136" i="1" s="1"/>
  <c r="BX55" i="1"/>
  <c r="BX136" i="1" s="1"/>
  <c r="BY55" i="1"/>
  <c r="BY136" i="1" s="1"/>
  <c r="BT56" i="1"/>
  <c r="BT137" i="1" s="1"/>
  <c r="BU56" i="1"/>
  <c r="BU137" i="1" s="1"/>
  <c r="BV56" i="1"/>
  <c r="BV137" i="1" s="1"/>
  <c r="BW56" i="1"/>
  <c r="BW137" i="1" s="1"/>
  <c r="BX56" i="1"/>
  <c r="BX137" i="1" s="1"/>
  <c r="BY56" i="1"/>
  <c r="BY137" i="1" s="1"/>
  <c r="BT57" i="1"/>
  <c r="BT138" i="1" s="1"/>
  <c r="BU57" i="1"/>
  <c r="BU138" i="1" s="1"/>
  <c r="BV57" i="1"/>
  <c r="BV138" i="1" s="1"/>
  <c r="BW57" i="1"/>
  <c r="BW138" i="1" s="1"/>
  <c r="BX57" i="1"/>
  <c r="BX138" i="1" s="1"/>
  <c r="BY57" i="1"/>
  <c r="BY138" i="1" s="1"/>
  <c r="BT58" i="1"/>
  <c r="BT139" i="1" s="1"/>
  <c r="BU58" i="1"/>
  <c r="BU139" i="1" s="1"/>
  <c r="BV58" i="1"/>
  <c r="BV139" i="1" s="1"/>
  <c r="BW58" i="1"/>
  <c r="BW139" i="1" s="1"/>
  <c r="BX58" i="1"/>
  <c r="BX139" i="1" s="1"/>
  <c r="BY58" i="1"/>
  <c r="BY139" i="1" s="1"/>
  <c r="BT59" i="1"/>
  <c r="BT140" i="1" s="1"/>
  <c r="BU59" i="1"/>
  <c r="BU140" i="1" s="1"/>
  <c r="BV59" i="1"/>
  <c r="BV140" i="1" s="1"/>
  <c r="BW59" i="1"/>
  <c r="BW140" i="1" s="1"/>
  <c r="BX59" i="1"/>
  <c r="BX140" i="1" s="1"/>
  <c r="BY59" i="1"/>
  <c r="BY140" i="1" s="1"/>
  <c r="BT60" i="1"/>
  <c r="BT141" i="1" s="1"/>
  <c r="BU60" i="1"/>
  <c r="BU141" i="1" s="1"/>
  <c r="BV60" i="1"/>
  <c r="BV141" i="1" s="1"/>
  <c r="BW60" i="1"/>
  <c r="BW141" i="1" s="1"/>
  <c r="BX60" i="1"/>
  <c r="BX141" i="1" s="1"/>
  <c r="BY60" i="1"/>
  <c r="BY141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  <c r="F61" i="1" s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AO3" i="1"/>
  <c r="AO84" i="1" s="1"/>
  <c r="AP3" i="1"/>
  <c r="AP84" i="1" s="1"/>
  <c r="AQ3" i="1"/>
  <c r="AQ84" i="1" s="1"/>
  <c r="AR3" i="1"/>
  <c r="AR84" i="1" s="1"/>
  <c r="AS3" i="1"/>
  <c r="AS84" i="1" s="1"/>
  <c r="AT3" i="1"/>
  <c r="AT84" i="1" s="1"/>
  <c r="AU3" i="1"/>
  <c r="AU84" i="1" s="1"/>
  <c r="AV3" i="1"/>
  <c r="AW3" i="1"/>
  <c r="AW84" i="1" s="1"/>
  <c r="AX3" i="1"/>
  <c r="AX84" i="1" s="1"/>
  <c r="AY3" i="1"/>
  <c r="AY84" i="1" s="1"/>
  <c r="AZ3" i="1"/>
  <c r="AZ84" i="1" s="1"/>
  <c r="BA3" i="1"/>
  <c r="BA84" i="1" s="1"/>
  <c r="BB3" i="1"/>
  <c r="BB84" i="1" s="1"/>
  <c r="BC3" i="1"/>
  <c r="BC84" i="1" s="1"/>
  <c r="BD3" i="1"/>
  <c r="BD84" i="1" s="1"/>
  <c r="BE3" i="1"/>
  <c r="BE84" i="1" s="1"/>
  <c r="BF3" i="1"/>
  <c r="BF84" i="1" s="1"/>
  <c r="BG3" i="1"/>
  <c r="BG84" i="1" s="1"/>
  <c r="BH3" i="1"/>
  <c r="BH84" i="1" s="1"/>
  <c r="BI3" i="1"/>
  <c r="BI84" i="1" s="1"/>
  <c r="BJ3" i="1"/>
  <c r="BJ84" i="1" s="1"/>
  <c r="BK3" i="1"/>
  <c r="BK84" i="1" s="1"/>
  <c r="BL3" i="1"/>
  <c r="BL84" i="1" s="1"/>
  <c r="BM3" i="1"/>
  <c r="BM84" i="1" s="1"/>
  <c r="BN3" i="1"/>
  <c r="BN84" i="1" s="1"/>
  <c r="BO3" i="1"/>
  <c r="BO84" i="1" s="1"/>
  <c r="BP3" i="1"/>
  <c r="BP84" i="1" s="1"/>
  <c r="BQ3" i="1"/>
  <c r="BQ84" i="1" s="1"/>
  <c r="BR3" i="1"/>
  <c r="BR84" i="1" s="1"/>
  <c r="BS3" i="1"/>
  <c r="BS84" i="1" s="1"/>
  <c r="AO4" i="1"/>
  <c r="AO85" i="1" s="1"/>
  <c r="AP4" i="1"/>
  <c r="AP85" i="1" s="1"/>
  <c r="AQ4" i="1"/>
  <c r="AQ85" i="1" s="1"/>
  <c r="AR4" i="1"/>
  <c r="AR85" i="1" s="1"/>
  <c r="AS4" i="1"/>
  <c r="AS85" i="1" s="1"/>
  <c r="AT4" i="1"/>
  <c r="AT85" i="1" s="1"/>
  <c r="AU4" i="1"/>
  <c r="AU85" i="1" s="1"/>
  <c r="AV4" i="1"/>
  <c r="AW4" i="1"/>
  <c r="AW85" i="1" s="1"/>
  <c r="AX4" i="1"/>
  <c r="AX85" i="1" s="1"/>
  <c r="AY4" i="1"/>
  <c r="AY85" i="1" s="1"/>
  <c r="AZ4" i="1"/>
  <c r="AZ85" i="1" s="1"/>
  <c r="BA4" i="1"/>
  <c r="BA85" i="1" s="1"/>
  <c r="BB4" i="1"/>
  <c r="BB85" i="1" s="1"/>
  <c r="BC4" i="1"/>
  <c r="BC85" i="1" s="1"/>
  <c r="BD4" i="1"/>
  <c r="BD85" i="1" s="1"/>
  <c r="BE4" i="1"/>
  <c r="BE85" i="1" s="1"/>
  <c r="BF4" i="1"/>
  <c r="BF85" i="1" s="1"/>
  <c r="BG4" i="1"/>
  <c r="BG85" i="1" s="1"/>
  <c r="BH4" i="1"/>
  <c r="BH85" i="1" s="1"/>
  <c r="BI4" i="1"/>
  <c r="BI85" i="1" s="1"/>
  <c r="BJ4" i="1"/>
  <c r="BJ85" i="1" s="1"/>
  <c r="BK4" i="1"/>
  <c r="BK85" i="1" s="1"/>
  <c r="BL4" i="1"/>
  <c r="BL85" i="1" s="1"/>
  <c r="BM4" i="1"/>
  <c r="BM85" i="1" s="1"/>
  <c r="BN4" i="1"/>
  <c r="BN85" i="1" s="1"/>
  <c r="BO4" i="1"/>
  <c r="BO85" i="1" s="1"/>
  <c r="BP4" i="1"/>
  <c r="BP85" i="1" s="1"/>
  <c r="BQ4" i="1"/>
  <c r="BQ85" i="1" s="1"/>
  <c r="BR4" i="1"/>
  <c r="BR85" i="1" s="1"/>
  <c r="BS4" i="1"/>
  <c r="BS85" i="1" s="1"/>
  <c r="AO5" i="1"/>
  <c r="AO86" i="1" s="1"/>
  <c r="AP5" i="1"/>
  <c r="AP86" i="1" s="1"/>
  <c r="AQ5" i="1"/>
  <c r="AQ86" i="1" s="1"/>
  <c r="AR5" i="1"/>
  <c r="AR86" i="1" s="1"/>
  <c r="AS5" i="1"/>
  <c r="AS86" i="1" s="1"/>
  <c r="AT5" i="1"/>
  <c r="AT86" i="1" s="1"/>
  <c r="AU5" i="1"/>
  <c r="AU86" i="1" s="1"/>
  <c r="AV5" i="1"/>
  <c r="AW5" i="1"/>
  <c r="AW86" i="1" s="1"/>
  <c r="AX5" i="1"/>
  <c r="AX86" i="1" s="1"/>
  <c r="AY5" i="1"/>
  <c r="AY86" i="1" s="1"/>
  <c r="AZ5" i="1"/>
  <c r="AZ86" i="1" s="1"/>
  <c r="BA5" i="1"/>
  <c r="BA86" i="1" s="1"/>
  <c r="BB5" i="1"/>
  <c r="BB86" i="1" s="1"/>
  <c r="BC5" i="1"/>
  <c r="BC86" i="1" s="1"/>
  <c r="BD5" i="1"/>
  <c r="BD86" i="1" s="1"/>
  <c r="BE5" i="1"/>
  <c r="BE86" i="1" s="1"/>
  <c r="BF5" i="1"/>
  <c r="BF86" i="1" s="1"/>
  <c r="BG5" i="1"/>
  <c r="BG86" i="1" s="1"/>
  <c r="BH5" i="1"/>
  <c r="BH86" i="1" s="1"/>
  <c r="BI5" i="1"/>
  <c r="BI86" i="1" s="1"/>
  <c r="BJ5" i="1"/>
  <c r="BJ86" i="1" s="1"/>
  <c r="BK5" i="1"/>
  <c r="BK86" i="1" s="1"/>
  <c r="BL5" i="1"/>
  <c r="BL86" i="1" s="1"/>
  <c r="BM5" i="1"/>
  <c r="BM86" i="1" s="1"/>
  <c r="BN5" i="1"/>
  <c r="BN86" i="1" s="1"/>
  <c r="BO5" i="1"/>
  <c r="BO86" i="1" s="1"/>
  <c r="BP5" i="1"/>
  <c r="BP86" i="1" s="1"/>
  <c r="BQ5" i="1"/>
  <c r="BQ86" i="1" s="1"/>
  <c r="BR5" i="1"/>
  <c r="BR86" i="1" s="1"/>
  <c r="BS5" i="1"/>
  <c r="BS86" i="1" s="1"/>
  <c r="AO6" i="1"/>
  <c r="AO87" i="1" s="1"/>
  <c r="AP6" i="1"/>
  <c r="AP87" i="1" s="1"/>
  <c r="AQ6" i="1"/>
  <c r="AQ87" i="1" s="1"/>
  <c r="AR6" i="1"/>
  <c r="AR87" i="1" s="1"/>
  <c r="AS6" i="1"/>
  <c r="AS87" i="1" s="1"/>
  <c r="AT6" i="1"/>
  <c r="AT87" i="1" s="1"/>
  <c r="AU6" i="1"/>
  <c r="AU87" i="1" s="1"/>
  <c r="AV6" i="1"/>
  <c r="AW6" i="1"/>
  <c r="AW87" i="1" s="1"/>
  <c r="AX6" i="1"/>
  <c r="AX87" i="1" s="1"/>
  <c r="AY6" i="1"/>
  <c r="AY87" i="1" s="1"/>
  <c r="AZ6" i="1"/>
  <c r="AZ87" i="1" s="1"/>
  <c r="BA6" i="1"/>
  <c r="BA87" i="1" s="1"/>
  <c r="BB6" i="1"/>
  <c r="BB87" i="1" s="1"/>
  <c r="BC6" i="1"/>
  <c r="BC87" i="1" s="1"/>
  <c r="BD6" i="1"/>
  <c r="BD87" i="1" s="1"/>
  <c r="BE6" i="1"/>
  <c r="BE87" i="1" s="1"/>
  <c r="BF6" i="1"/>
  <c r="BF87" i="1" s="1"/>
  <c r="BG6" i="1"/>
  <c r="BG87" i="1" s="1"/>
  <c r="BH6" i="1"/>
  <c r="BH87" i="1" s="1"/>
  <c r="BI6" i="1"/>
  <c r="BI87" i="1" s="1"/>
  <c r="BJ6" i="1"/>
  <c r="BJ87" i="1" s="1"/>
  <c r="BK6" i="1"/>
  <c r="BK87" i="1" s="1"/>
  <c r="BL6" i="1"/>
  <c r="BL87" i="1" s="1"/>
  <c r="BM6" i="1"/>
  <c r="BM87" i="1" s="1"/>
  <c r="BN6" i="1"/>
  <c r="BN87" i="1" s="1"/>
  <c r="BO6" i="1"/>
  <c r="BO87" i="1" s="1"/>
  <c r="BP6" i="1"/>
  <c r="BP87" i="1" s="1"/>
  <c r="BQ6" i="1"/>
  <c r="BQ87" i="1" s="1"/>
  <c r="BR6" i="1"/>
  <c r="BR87" i="1" s="1"/>
  <c r="BS6" i="1"/>
  <c r="BS87" i="1" s="1"/>
  <c r="AO7" i="1"/>
  <c r="AO88" i="1" s="1"/>
  <c r="AP7" i="1"/>
  <c r="AP88" i="1" s="1"/>
  <c r="AQ7" i="1"/>
  <c r="AQ88" i="1" s="1"/>
  <c r="AR7" i="1"/>
  <c r="AR88" i="1" s="1"/>
  <c r="AS7" i="1"/>
  <c r="AS88" i="1" s="1"/>
  <c r="AT7" i="1"/>
  <c r="AT88" i="1" s="1"/>
  <c r="AU7" i="1"/>
  <c r="AU88" i="1" s="1"/>
  <c r="AV7" i="1"/>
  <c r="AW7" i="1"/>
  <c r="AW88" i="1" s="1"/>
  <c r="AX7" i="1"/>
  <c r="AX88" i="1" s="1"/>
  <c r="AY7" i="1"/>
  <c r="AY88" i="1" s="1"/>
  <c r="AZ7" i="1"/>
  <c r="AZ88" i="1" s="1"/>
  <c r="BA7" i="1"/>
  <c r="BA88" i="1" s="1"/>
  <c r="BB7" i="1"/>
  <c r="BB88" i="1" s="1"/>
  <c r="BC7" i="1"/>
  <c r="BC88" i="1" s="1"/>
  <c r="BD7" i="1"/>
  <c r="BD88" i="1" s="1"/>
  <c r="BE7" i="1"/>
  <c r="BE88" i="1" s="1"/>
  <c r="BF7" i="1"/>
  <c r="BF88" i="1" s="1"/>
  <c r="BG7" i="1"/>
  <c r="BG88" i="1" s="1"/>
  <c r="BH7" i="1"/>
  <c r="BH88" i="1" s="1"/>
  <c r="BI7" i="1"/>
  <c r="BI88" i="1" s="1"/>
  <c r="BJ7" i="1"/>
  <c r="BJ88" i="1" s="1"/>
  <c r="BK7" i="1"/>
  <c r="BK88" i="1" s="1"/>
  <c r="BL7" i="1"/>
  <c r="BL88" i="1" s="1"/>
  <c r="BM7" i="1"/>
  <c r="BM88" i="1" s="1"/>
  <c r="BN7" i="1"/>
  <c r="BN88" i="1" s="1"/>
  <c r="BO7" i="1"/>
  <c r="BO88" i="1" s="1"/>
  <c r="BP7" i="1"/>
  <c r="BP88" i="1" s="1"/>
  <c r="BQ7" i="1"/>
  <c r="BQ88" i="1" s="1"/>
  <c r="BR7" i="1"/>
  <c r="BR88" i="1" s="1"/>
  <c r="BS7" i="1"/>
  <c r="BS88" i="1" s="1"/>
  <c r="AO8" i="1"/>
  <c r="AO89" i="1" s="1"/>
  <c r="AP8" i="1"/>
  <c r="AP89" i="1" s="1"/>
  <c r="AQ8" i="1"/>
  <c r="AQ89" i="1" s="1"/>
  <c r="AR8" i="1"/>
  <c r="AR89" i="1" s="1"/>
  <c r="AS8" i="1"/>
  <c r="AS89" i="1" s="1"/>
  <c r="AT8" i="1"/>
  <c r="AT89" i="1" s="1"/>
  <c r="AU8" i="1"/>
  <c r="AU89" i="1" s="1"/>
  <c r="AV8" i="1"/>
  <c r="AW8" i="1"/>
  <c r="AW89" i="1" s="1"/>
  <c r="AX8" i="1"/>
  <c r="AX89" i="1" s="1"/>
  <c r="AY8" i="1"/>
  <c r="AY89" i="1" s="1"/>
  <c r="AZ8" i="1"/>
  <c r="AZ89" i="1" s="1"/>
  <c r="BA8" i="1"/>
  <c r="BA89" i="1" s="1"/>
  <c r="BB8" i="1"/>
  <c r="BB89" i="1" s="1"/>
  <c r="BC8" i="1"/>
  <c r="BC89" i="1" s="1"/>
  <c r="BD8" i="1"/>
  <c r="BD89" i="1" s="1"/>
  <c r="BE8" i="1"/>
  <c r="BE89" i="1" s="1"/>
  <c r="BF8" i="1"/>
  <c r="BF89" i="1" s="1"/>
  <c r="BG8" i="1"/>
  <c r="BG89" i="1" s="1"/>
  <c r="BH8" i="1"/>
  <c r="BH89" i="1" s="1"/>
  <c r="BI8" i="1"/>
  <c r="BI89" i="1" s="1"/>
  <c r="BJ8" i="1"/>
  <c r="BJ89" i="1" s="1"/>
  <c r="BK8" i="1"/>
  <c r="BK89" i="1" s="1"/>
  <c r="BL8" i="1"/>
  <c r="BL89" i="1" s="1"/>
  <c r="BM8" i="1"/>
  <c r="BM89" i="1" s="1"/>
  <c r="BN8" i="1"/>
  <c r="BN89" i="1" s="1"/>
  <c r="BO8" i="1"/>
  <c r="BO89" i="1" s="1"/>
  <c r="BP8" i="1"/>
  <c r="BP89" i="1" s="1"/>
  <c r="BQ8" i="1"/>
  <c r="BQ89" i="1" s="1"/>
  <c r="BR8" i="1"/>
  <c r="BR89" i="1" s="1"/>
  <c r="BS8" i="1"/>
  <c r="BS89" i="1" s="1"/>
  <c r="AO9" i="1"/>
  <c r="AO90" i="1" s="1"/>
  <c r="AP9" i="1"/>
  <c r="AP90" i="1" s="1"/>
  <c r="AQ9" i="1"/>
  <c r="AQ90" i="1" s="1"/>
  <c r="AR9" i="1"/>
  <c r="AR90" i="1" s="1"/>
  <c r="AS9" i="1"/>
  <c r="AS90" i="1" s="1"/>
  <c r="AT9" i="1"/>
  <c r="AT90" i="1" s="1"/>
  <c r="AU9" i="1"/>
  <c r="AU90" i="1" s="1"/>
  <c r="AV9" i="1"/>
  <c r="AW9" i="1"/>
  <c r="AW90" i="1" s="1"/>
  <c r="AX9" i="1"/>
  <c r="AX90" i="1" s="1"/>
  <c r="AY9" i="1"/>
  <c r="AY90" i="1" s="1"/>
  <c r="AZ9" i="1"/>
  <c r="AZ90" i="1" s="1"/>
  <c r="BA9" i="1"/>
  <c r="BA90" i="1" s="1"/>
  <c r="BB9" i="1"/>
  <c r="BB90" i="1" s="1"/>
  <c r="BC9" i="1"/>
  <c r="BC90" i="1" s="1"/>
  <c r="BD9" i="1"/>
  <c r="BD90" i="1" s="1"/>
  <c r="BE9" i="1"/>
  <c r="BE90" i="1" s="1"/>
  <c r="BF9" i="1"/>
  <c r="BF90" i="1" s="1"/>
  <c r="BG9" i="1"/>
  <c r="BG90" i="1" s="1"/>
  <c r="BH9" i="1"/>
  <c r="BH90" i="1" s="1"/>
  <c r="BI9" i="1"/>
  <c r="BI90" i="1" s="1"/>
  <c r="BJ9" i="1"/>
  <c r="BJ90" i="1" s="1"/>
  <c r="BK9" i="1"/>
  <c r="BK90" i="1" s="1"/>
  <c r="BL9" i="1"/>
  <c r="BL90" i="1" s="1"/>
  <c r="BM9" i="1"/>
  <c r="BM90" i="1" s="1"/>
  <c r="BN9" i="1"/>
  <c r="BN90" i="1" s="1"/>
  <c r="BO9" i="1"/>
  <c r="BO90" i="1" s="1"/>
  <c r="BP9" i="1"/>
  <c r="BP90" i="1" s="1"/>
  <c r="BQ9" i="1"/>
  <c r="BQ90" i="1" s="1"/>
  <c r="BR9" i="1"/>
  <c r="BR90" i="1" s="1"/>
  <c r="BS9" i="1"/>
  <c r="BS90" i="1" s="1"/>
  <c r="AO10" i="1"/>
  <c r="AO91" i="1" s="1"/>
  <c r="AP10" i="1"/>
  <c r="AP91" i="1" s="1"/>
  <c r="AQ10" i="1"/>
  <c r="AQ91" i="1" s="1"/>
  <c r="AR10" i="1"/>
  <c r="AR91" i="1" s="1"/>
  <c r="AS10" i="1"/>
  <c r="AS91" i="1" s="1"/>
  <c r="AT10" i="1"/>
  <c r="AT91" i="1" s="1"/>
  <c r="AU10" i="1"/>
  <c r="AU91" i="1" s="1"/>
  <c r="AV10" i="1"/>
  <c r="AW10" i="1"/>
  <c r="AW91" i="1" s="1"/>
  <c r="AX10" i="1"/>
  <c r="AX91" i="1" s="1"/>
  <c r="AY10" i="1"/>
  <c r="AY91" i="1" s="1"/>
  <c r="AZ10" i="1"/>
  <c r="AZ91" i="1" s="1"/>
  <c r="BA10" i="1"/>
  <c r="BA91" i="1" s="1"/>
  <c r="BB10" i="1"/>
  <c r="BB91" i="1" s="1"/>
  <c r="BC10" i="1"/>
  <c r="BC91" i="1" s="1"/>
  <c r="BD10" i="1"/>
  <c r="BD91" i="1" s="1"/>
  <c r="BE10" i="1"/>
  <c r="BE91" i="1" s="1"/>
  <c r="BF10" i="1"/>
  <c r="BF91" i="1" s="1"/>
  <c r="BG10" i="1"/>
  <c r="BG91" i="1" s="1"/>
  <c r="BH10" i="1"/>
  <c r="BH91" i="1" s="1"/>
  <c r="BI10" i="1"/>
  <c r="BI91" i="1" s="1"/>
  <c r="BJ10" i="1"/>
  <c r="BJ91" i="1" s="1"/>
  <c r="BK10" i="1"/>
  <c r="BK91" i="1" s="1"/>
  <c r="BL10" i="1"/>
  <c r="BL91" i="1" s="1"/>
  <c r="BM10" i="1"/>
  <c r="BM91" i="1" s="1"/>
  <c r="BN10" i="1"/>
  <c r="BN91" i="1" s="1"/>
  <c r="BO10" i="1"/>
  <c r="BO91" i="1" s="1"/>
  <c r="BP10" i="1"/>
  <c r="BP91" i="1" s="1"/>
  <c r="BQ10" i="1"/>
  <c r="BQ91" i="1" s="1"/>
  <c r="BR10" i="1"/>
  <c r="BR91" i="1" s="1"/>
  <c r="BS10" i="1"/>
  <c r="BS91" i="1" s="1"/>
  <c r="AO11" i="1"/>
  <c r="AO92" i="1" s="1"/>
  <c r="AP11" i="1"/>
  <c r="AP92" i="1" s="1"/>
  <c r="AQ11" i="1"/>
  <c r="AQ92" i="1" s="1"/>
  <c r="AR11" i="1"/>
  <c r="AR92" i="1" s="1"/>
  <c r="AS11" i="1"/>
  <c r="AS92" i="1" s="1"/>
  <c r="AT11" i="1"/>
  <c r="AT92" i="1" s="1"/>
  <c r="AU11" i="1"/>
  <c r="AU92" i="1" s="1"/>
  <c r="AV11" i="1"/>
  <c r="AW11" i="1"/>
  <c r="AW92" i="1" s="1"/>
  <c r="AX11" i="1"/>
  <c r="AX92" i="1" s="1"/>
  <c r="AY11" i="1"/>
  <c r="AY92" i="1" s="1"/>
  <c r="AZ11" i="1"/>
  <c r="AZ92" i="1" s="1"/>
  <c r="BA11" i="1"/>
  <c r="BA92" i="1" s="1"/>
  <c r="BB11" i="1"/>
  <c r="BB92" i="1" s="1"/>
  <c r="BC11" i="1"/>
  <c r="BC92" i="1" s="1"/>
  <c r="BD11" i="1"/>
  <c r="BD92" i="1" s="1"/>
  <c r="BE11" i="1"/>
  <c r="BE92" i="1" s="1"/>
  <c r="BF11" i="1"/>
  <c r="BF92" i="1" s="1"/>
  <c r="BG11" i="1"/>
  <c r="BG92" i="1" s="1"/>
  <c r="BH11" i="1"/>
  <c r="BH92" i="1" s="1"/>
  <c r="BI11" i="1"/>
  <c r="BI92" i="1" s="1"/>
  <c r="BJ11" i="1"/>
  <c r="BJ92" i="1" s="1"/>
  <c r="BK11" i="1"/>
  <c r="BK92" i="1" s="1"/>
  <c r="BL11" i="1"/>
  <c r="BL92" i="1" s="1"/>
  <c r="BM11" i="1"/>
  <c r="BM92" i="1" s="1"/>
  <c r="BN11" i="1"/>
  <c r="BN92" i="1" s="1"/>
  <c r="BO11" i="1"/>
  <c r="BO92" i="1" s="1"/>
  <c r="BP11" i="1"/>
  <c r="BP92" i="1" s="1"/>
  <c r="BQ11" i="1"/>
  <c r="BQ92" i="1" s="1"/>
  <c r="BR11" i="1"/>
  <c r="BR92" i="1" s="1"/>
  <c r="BS11" i="1"/>
  <c r="BS92" i="1" s="1"/>
  <c r="AO12" i="1"/>
  <c r="AO93" i="1" s="1"/>
  <c r="AP12" i="1"/>
  <c r="AP93" i="1" s="1"/>
  <c r="AQ12" i="1"/>
  <c r="AQ93" i="1" s="1"/>
  <c r="AR12" i="1"/>
  <c r="AR93" i="1" s="1"/>
  <c r="AS12" i="1"/>
  <c r="AS93" i="1" s="1"/>
  <c r="AT12" i="1"/>
  <c r="AT93" i="1" s="1"/>
  <c r="AU12" i="1"/>
  <c r="AU93" i="1" s="1"/>
  <c r="AV12" i="1"/>
  <c r="AW12" i="1"/>
  <c r="AW93" i="1" s="1"/>
  <c r="AX12" i="1"/>
  <c r="AX93" i="1" s="1"/>
  <c r="AY12" i="1"/>
  <c r="AY93" i="1" s="1"/>
  <c r="AZ12" i="1"/>
  <c r="AZ93" i="1" s="1"/>
  <c r="BA12" i="1"/>
  <c r="BA93" i="1" s="1"/>
  <c r="BB12" i="1"/>
  <c r="BB93" i="1" s="1"/>
  <c r="BC12" i="1"/>
  <c r="BC93" i="1" s="1"/>
  <c r="BD12" i="1"/>
  <c r="BD93" i="1" s="1"/>
  <c r="BE12" i="1"/>
  <c r="BE93" i="1" s="1"/>
  <c r="BF12" i="1"/>
  <c r="BF93" i="1" s="1"/>
  <c r="BG12" i="1"/>
  <c r="BG93" i="1" s="1"/>
  <c r="BH12" i="1"/>
  <c r="BH93" i="1" s="1"/>
  <c r="BI12" i="1"/>
  <c r="BI93" i="1" s="1"/>
  <c r="BJ12" i="1"/>
  <c r="BJ93" i="1" s="1"/>
  <c r="BK12" i="1"/>
  <c r="BK93" i="1" s="1"/>
  <c r="BL12" i="1"/>
  <c r="BL93" i="1" s="1"/>
  <c r="BM12" i="1"/>
  <c r="BM93" i="1" s="1"/>
  <c r="BN12" i="1"/>
  <c r="BN93" i="1" s="1"/>
  <c r="BO12" i="1"/>
  <c r="BO93" i="1" s="1"/>
  <c r="BP12" i="1"/>
  <c r="BP93" i="1" s="1"/>
  <c r="BQ12" i="1"/>
  <c r="BQ93" i="1" s="1"/>
  <c r="BR12" i="1"/>
  <c r="BR93" i="1" s="1"/>
  <c r="BS12" i="1"/>
  <c r="BS93" i="1" s="1"/>
  <c r="AO13" i="1"/>
  <c r="AO94" i="1" s="1"/>
  <c r="AP13" i="1"/>
  <c r="AP94" i="1" s="1"/>
  <c r="AQ13" i="1"/>
  <c r="AQ94" i="1" s="1"/>
  <c r="AR13" i="1"/>
  <c r="AR94" i="1" s="1"/>
  <c r="AS13" i="1"/>
  <c r="AS94" i="1" s="1"/>
  <c r="AT13" i="1"/>
  <c r="AT94" i="1" s="1"/>
  <c r="AU13" i="1"/>
  <c r="AU94" i="1" s="1"/>
  <c r="AV13" i="1"/>
  <c r="AW13" i="1"/>
  <c r="AW94" i="1" s="1"/>
  <c r="AX13" i="1"/>
  <c r="AX94" i="1" s="1"/>
  <c r="AY13" i="1"/>
  <c r="AY94" i="1" s="1"/>
  <c r="AZ13" i="1"/>
  <c r="AZ94" i="1" s="1"/>
  <c r="BA13" i="1"/>
  <c r="BA94" i="1" s="1"/>
  <c r="BB13" i="1"/>
  <c r="BB94" i="1" s="1"/>
  <c r="BC13" i="1"/>
  <c r="BC94" i="1" s="1"/>
  <c r="BD13" i="1"/>
  <c r="BD94" i="1" s="1"/>
  <c r="BE13" i="1"/>
  <c r="BE94" i="1" s="1"/>
  <c r="BF13" i="1"/>
  <c r="BF94" i="1" s="1"/>
  <c r="BG13" i="1"/>
  <c r="BG94" i="1" s="1"/>
  <c r="BH13" i="1"/>
  <c r="BH94" i="1" s="1"/>
  <c r="BI13" i="1"/>
  <c r="BI94" i="1" s="1"/>
  <c r="BJ13" i="1"/>
  <c r="BJ94" i="1" s="1"/>
  <c r="BK13" i="1"/>
  <c r="BK94" i="1" s="1"/>
  <c r="BL13" i="1"/>
  <c r="BL94" i="1" s="1"/>
  <c r="BM13" i="1"/>
  <c r="BM94" i="1" s="1"/>
  <c r="BN13" i="1"/>
  <c r="BN94" i="1" s="1"/>
  <c r="BO13" i="1"/>
  <c r="BO94" i="1" s="1"/>
  <c r="BP13" i="1"/>
  <c r="BP94" i="1" s="1"/>
  <c r="BQ13" i="1"/>
  <c r="BQ94" i="1" s="1"/>
  <c r="BR13" i="1"/>
  <c r="BR94" i="1" s="1"/>
  <c r="BS13" i="1"/>
  <c r="BS94" i="1" s="1"/>
  <c r="AO14" i="1"/>
  <c r="AO95" i="1" s="1"/>
  <c r="AP14" i="1"/>
  <c r="AP95" i="1" s="1"/>
  <c r="AQ14" i="1"/>
  <c r="AQ95" i="1" s="1"/>
  <c r="AR14" i="1"/>
  <c r="AR95" i="1" s="1"/>
  <c r="AS14" i="1"/>
  <c r="AS95" i="1" s="1"/>
  <c r="AT14" i="1"/>
  <c r="AT95" i="1" s="1"/>
  <c r="AU14" i="1"/>
  <c r="AU95" i="1" s="1"/>
  <c r="AV14" i="1"/>
  <c r="AW14" i="1"/>
  <c r="AW95" i="1" s="1"/>
  <c r="AX14" i="1"/>
  <c r="AX95" i="1" s="1"/>
  <c r="AY14" i="1"/>
  <c r="AY95" i="1" s="1"/>
  <c r="AZ14" i="1"/>
  <c r="AZ95" i="1" s="1"/>
  <c r="BA14" i="1"/>
  <c r="BA95" i="1" s="1"/>
  <c r="BB14" i="1"/>
  <c r="BB95" i="1" s="1"/>
  <c r="BC14" i="1"/>
  <c r="BC95" i="1" s="1"/>
  <c r="BD14" i="1"/>
  <c r="BD95" i="1" s="1"/>
  <c r="BE14" i="1"/>
  <c r="BE95" i="1" s="1"/>
  <c r="BF14" i="1"/>
  <c r="BF95" i="1" s="1"/>
  <c r="BG14" i="1"/>
  <c r="BG95" i="1" s="1"/>
  <c r="BH14" i="1"/>
  <c r="BH95" i="1" s="1"/>
  <c r="BI14" i="1"/>
  <c r="BI95" i="1" s="1"/>
  <c r="BJ14" i="1"/>
  <c r="BJ95" i="1" s="1"/>
  <c r="BK14" i="1"/>
  <c r="BK95" i="1" s="1"/>
  <c r="BL14" i="1"/>
  <c r="BL95" i="1" s="1"/>
  <c r="BM14" i="1"/>
  <c r="BM95" i="1" s="1"/>
  <c r="BN14" i="1"/>
  <c r="BN95" i="1" s="1"/>
  <c r="BO14" i="1"/>
  <c r="BO95" i="1" s="1"/>
  <c r="BP14" i="1"/>
  <c r="BP95" i="1" s="1"/>
  <c r="BQ14" i="1"/>
  <c r="BQ95" i="1" s="1"/>
  <c r="BR14" i="1"/>
  <c r="BR95" i="1" s="1"/>
  <c r="BS14" i="1"/>
  <c r="BS95" i="1" s="1"/>
  <c r="AO15" i="1"/>
  <c r="AO96" i="1" s="1"/>
  <c r="AP15" i="1"/>
  <c r="AP96" i="1" s="1"/>
  <c r="AQ15" i="1"/>
  <c r="AQ96" i="1" s="1"/>
  <c r="AR15" i="1"/>
  <c r="AR96" i="1" s="1"/>
  <c r="AS15" i="1"/>
  <c r="AS96" i="1" s="1"/>
  <c r="AT15" i="1"/>
  <c r="AT96" i="1" s="1"/>
  <c r="AU15" i="1"/>
  <c r="AU96" i="1" s="1"/>
  <c r="AV15" i="1"/>
  <c r="AW15" i="1"/>
  <c r="AW96" i="1" s="1"/>
  <c r="AX15" i="1"/>
  <c r="AX96" i="1" s="1"/>
  <c r="AY15" i="1"/>
  <c r="AY96" i="1" s="1"/>
  <c r="AZ15" i="1"/>
  <c r="AZ96" i="1" s="1"/>
  <c r="BA15" i="1"/>
  <c r="BA96" i="1" s="1"/>
  <c r="BB15" i="1"/>
  <c r="BB96" i="1" s="1"/>
  <c r="BC15" i="1"/>
  <c r="BC96" i="1" s="1"/>
  <c r="BD15" i="1"/>
  <c r="BD96" i="1" s="1"/>
  <c r="BE15" i="1"/>
  <c r="BE96" i="1" s="1"/>
  <c r="BF15" i="1"/>
  <c r="BF96" i="1" s="1"/>
  <c r="BG15" i="1"/>
  <c r="BG96" i="1" s="1"/>
  <c r="BH15" i="1"/>
  <c r="BH96" i="1" s="1"/>
  <c r="BI15" i="1"/>
  <c r="BI96" i="1" s="1"/>
  <c r="BJ15" i="1"/>
  <c r="BJ96" i="1" s="1"/>
  <c r="BK15" i="1"/>
  <c r="BK96" i="1" s="1"/>
  <c r="BL15" i="1"/>
  <c r="BL96" i="1" s="1"/>
  <c r="BM15" i="1"/>
  <c r="BM96" i="1" s="1"/>
  <c r="BN15" i="1"/>
  <c r="BN96" i="1" s="1"/>
  <c r="BO15" i="1"/>
  <c r="BO96" i="1" s="1"/>
  <c r="BP15" i="1"/>
  <c r="BP96" i="1" s="1"/>
  <c r="BQ15" i="1"/>
  <c r="BQ96" i="1" s="1"/>
  <c r="BR15" i="1"/>
  <c r="BR96" i="1" s="1"/>
  <c r="BS15" i="1"/>
  <c r="BS96" i="1" s="1"/>
  <c r="AO16" i="1"/>
  <c r="AO97" i="1" s="1"/>
  <c r="AP16" i="1"/>
  <c r="AP97" i="1" s="1"/>
  <c r="AQ16" i="1"/>
  <c r="AQ97" i="1" s="1"/>
  <c r="AR16" i="1"/>
  <c r="AR97" i="1" s="1"/>
  <c r="AS16" i="1"/>
  <c r="AS97" i="1" s="1"/>
  <c r="AT16" i="1"/>
  <c r="AT97" i="1" s="1"/>
  <c r="AU16" i="1"/>
  <c r="AU97" i="1" s="1"/>
  <c r="AV16" i="1"/>
  <c r="AW16" i="1"/>
  <c r="AW97" i="1" s="1"/>
  <c r="AX16" i="1"/>
  <c r="AX97" i="1" s="1"/>
  <c r="AY16" i="1"/>
  <c r="AY97" i="1" s="1"/>
  <c r="AZ16" i="1"/>
  <c r="AZ97" i="1" s="1"/>
  <c r="BA16" i="1"/>
  <c r="BA97" i="1" s="1"/>
  <c r="BB16" i="1"/>
  <c r="BB97" i="1" s="1"/>
  <c r="BC16" i="1"/>
  <c r="BC97" i="1" s="1"/>
  <c r="BD16" i="1"/>
  <c r="BD97" i="1" s="1"/>
  <c r="BE16" i="1"/>
  <c r="BE97" i="1" s="1"/>
  <c r="BF16" i="1"/>
  <c r="BF97" i="1" s="1"/>
  <c r="BG16" i="1"/>
  <c r="BG97" i="1" s="1"/>
  <c r="BH16" i="1"/>
  <c r="BH97" i="1" s="1"/>
  <c r="BI16" i="1"/>
  <c r="BI97" i="1" s="1"/>
  <c r="BJ16" i="1"/>
  <c r="BJ97" i="1" s="1"/>
  <c r="BK16" i="1"/>
  <c r="BK97" i="1" s="1"/>
  <c r="BL16" i="1"/>
  <c r="BL97" i="1" s="1"/>
  <c r="BM16" i="1"/>
  <c r="BM97" i="1" s="1"/>
  <c r="BN16" i="1"/>
  <c r="BN97" i="1" s="1"/>
  <c r="BO16" i="1"/>
  <c r="BO97" i="1" s="1"/>
  <c r="BP16" i="1"/>
  <c r="BP97" i="1" s="1"/>
  <c r="BQ16" i="1"/>
  <c r="BQ97" i="1" s="1"/>
  <c r="BR16" i="1"/>
  <c r="BR97" i="1" s="1"/>
  <c r="BS16" i="1"/>
  <c r="BS97" i="1" s="1"/>
  <c r="AO17" i="1"/>
  <c r="AO98" i="1" s="1"/>
  <c r="AP17" i="1"/>
  <c r="AP98" i="1" s="1"/>
  <c r="AQ17" i="1"/>
  <c r="AQ98" i="1" s="1"/>
  <c r="AR17" i="1"/>
  <c r="AR98" i="1" s="1"/>
  <c r="AS17" i="1"/>
  <c r="AS98" i="1" s="1"/>
  <c r="AT17" i="1"/>
  <c r="AT98" i="1" s="1"/>
  <c r="AU17" i="1"/>
  <c r="AU98" i="1" s="1"/>
  <c r="AV17" i="1"/>
  <c r="AW17" i="1"/>
  <c r="AW98" i="1" s="1"/>
  <c r="AX17" i="1"/>
  <c r="AX98" i="1" s="1"/>
  <c r="AY17" i="1"/>
  <c r="AY98" i="1" s="1"/>
  <c r="AZ17" i="1"/>
  <c r="AZ98" i="1" s="1"/>
  <c r="BA17" i="1"/>
  <c r="BA98" i="1" s="1"/>
  <c r="BB17" i="1"/>
  <c r="BB98" i="1" s="1"/>
  <c r="BC17" i="1"/>
  <c r="BC98" i="1" s="1"/>
  <c r="BD17" i="1"/>
  <c r="BD98" i="1" s="1"/>
  <c r="BE17" i="1"/>
  <c r="BE98" i="1" s="1"/>
  <c r="BF17" i="1"/>
  <c r="BF98" i="1" s="1"/>
  <c r="BG17" i="1"/>
  <c r="BG98" i="1" s="1"/>
  <c r="BH17" i="1"/>
  <c r="BH98" i="1" s="1"/>
  <c r="BI17" i="1"/>
  <c r="BI98" i="1" s="1"/>
  <c r="BJ17" i="1"/>
  <c r="BJ98" i="1" s="1"/>
  <c r="BK17" i="1"/>
  <c r="BK98" i="1" s="1"/>
  <c r="BL17" i="1"/>
  <c r="BL98" i="1" s="1"/>
  <c r="BM17" i="1"/>
  <c r="BM98" i="1" s="1"/>
  <c r="BN17" i="1"/>
  <c r="BN98" i="1" s="1"/>
  <c r="BO17" i="1"/>
  <c r="BO98" i="1" s="1"/>
  <c r="BP17" i="1"/>
  <c r="BP98" i="1" s="1"/>
  <c r="BQ17" i="1"/>
  <c r="BQ98" i="1" s="1"/>
  <c r="BR17" i="1"/>
  <c r="BR98" i="1" s="1"/>
  <c r="BS17" i="1"/>
  <c r="BS98" i="1" s="1"/>
  <c r="AO18" i="1"/>
  <c r="AO99" i="1" s="1"/>
  <c r="AP18" i="1"/>
  <c r="AP99" i="1" s="1"/>
  <c r="AQ18" i="1"/>
  <c r="AQ99" i="1" s="1"/>
  <c r="AR18" i="1"/>
  <c r="AR99" i="1" s="1"/>
  <c r="AS18" i="1"/>
  <c r="AS99" i="1" s="1"/>
  <c r="AT18" i="1"/>
  <c r="AT99" i="1" s="1"/>
  <c r="AU18" i="1"/>
  <c r="AU99" i="1" s="1"/>
  <c r="AV18" i="1"/>
  <c r="AW18" i="1"/>
  <c r="AW99" i="1" s="1"/>
  <c r="AX18" i="1"/>
  <c r="AX99" i="1" s="1"/>
  <c r="AY18" i="1"/>
  <c r="AY99" i="1" s="1"/>
  <c r="AZ18" i="1"/>
  <c r="AZ99" i="1" s="1"/>
  <c r="BA18" i="1"/>
  <c r="BA99" i="1" s="1"/>
  <c r="BB18" i="1"/>
  <c r="BB99" i="1" s="1"/>
  <c r="BC18" i="1"/>
  <c r="BC99" i="1" s="1"/>
  <c r="BD18" i="1"/>
  <c r="BD99" i="1" s="1"/>
  <c r="BE18" i="1"/>
  <c r="BE99" i="1" s="1"/>
  <c r="BF18" i="1"/>
  <c r="BF99" i="1" s="1"/>
  <c r="BG18" i="1"/>
  <c r="BG99" i="1" s="1"/>
  <c r="BH18" i="1"/>
  <c r="BH99" i="1" s="1"/>
  <c r="BI18" i="1"/>
  <c r="BI99" i="1" s="1"/>
  <c r="BJ18" i="1"/>
  <c r="BJ99" i="1" s="1"/>
  <c r="BK18" i="1"/>
  <c r="BK99" i="1" s="1"/>
  <c r="BL18" i="1"/>
  <c r="BL99" i="1" s="1"/>
  <c r="BM18" i="1"/>
  <c r="BM99" i="1" s="1"/>
  <c r="BN18" i="1"/>
  <c r="BN99" i="1" s="1"/>
  <c r="BO18" i="1"/>
  <c r="BO99" i="1" s="1"/>
  <c r="BP18" i="1"/>
  <c r="BP99" i="1" s="1"/>
  <c r="BQ18" i="1"/>
  <c r="BQ99" i="1" s="1"/>
  <c r="BR18" i="1"/>
  <c r="BR99" i="1" s="1"/>
  <c r="BS18" i="1"/>
  <c r="BS99" i="1" s="1"/>
  <c r="AO19" i="1"/>
  <c r="AO100" i="1" s="1"/>
  <c r="AP19" i="1"/>
  <c r="AP100" i="1" s="1"/>
  <c r="AQ19" i="1"/>
  <c r="AQ100" i="1" s="1"/>
  <c r="AR19" i="1"/>
  <c r="AR100" i="1" s="1"/>
  <c r="AS19" i="1"/>
  <c r="AS100" i="1" s="1"/>
  <c r="AT19" i="1"/>
  <c r="AT100" i="1" s="1"/>
  <c r="AU19" i="1"/>
  <c r="AU100" i="1" s="1"/>
  <c r="AV19" i="1"/>
  <c r="AW19" i="1"/>
  <c r="AW100" i="1" s="1"/>
  <c r="AX19" i="1"/>
  <c r="AX100" i="1" s="1"/>
  <c r="AY19" i="1"/>
  <c r="AY100" i="1" s="1"/>
  <c r="AZ19" i="1"/>
  <c r="AZ100" i="1" s="1"/>
  <c r="BA19" i="1"/>
  <c r="BA100" i="1" s="1"/>
  <c r="BB19" i="1"/>
  <c r="BB100" i="1" s="1"/>
  <c r="BC19" i="1"/>
  <c r="BC100" i="1" s="1"/>
  <c r="BD19" i="1"/>
  <c r="BD100" i="1" s="1"/>
  <c r="BE19" i="1"/>
  <c r="BE100" i="1" s="1"/>
  <c r="BF19" i="1"/>
  <c r="BF100" i="1" s="1"/>
  <c r="BG19" i="1"/>
  <c r="BG100" i="1" s="1"/>
  <c r="BH19" i="1"/>
  <c r="BH100" i="1" s="1"/>
  <c r="BI19" i="1"/>
  <c r="BI100" i="1" s="1"/>
  <c r="BJ19" i="1"/>
  <c r="BJ100" i="1" s="1"/>
  <c r="BK19" i="1"/>
  <c r="BK100" i="1" s="1"/>
  <c r="BL19" i="1"/>
  <c r="BL100" i="1" s="1"/>
  <c r="BM19" i="1"/>
  <c r="BM100" i="1" s="1"/>
  <c r="BN19" i="1"/>
  <c r="BN100" i="1" s="1"/>
  <c r="BO19" i="1"/>
  <c r="BO100" i="1" s="1"/>
  <c r="BP19" i="1"/>
  <c r="BP100" i="1" s="1"/>
  <c r="BQ19" i="1"/>
  <c r="BQ100" i="1" s="1"/>
  <c r="BR19" i="1"/>
  <c r="BR100" i="1" s="1"/>
  <c r="BS19" i="1"/>
  <c r="BS100" i="1" s="1"/>
  <c r="AO20" i="1"/>
  <c r="AO101" i="1" s="1"/>
  <c r="AP20" i="1"/>
  <c r="AP101" i="1" s="1"/>
  <c r="AQ20" i="1"/>
  <c r="AQ101" i="1" s="1"/>
  <c r="AR20" i="1"/>
  <c r="AR101" i="1" s="1"/>
  <c r="AS20" i="1"/>
  <c r="AS101" i="1" s="1"/>
  <c r="AT20" i="1"/>
  <c r="AT101" i="1" s="1"/>
  <c r="AU20" i="1"/>
  <c r="AU101" i="1" s="1"/>
  <c r="AV20" i="1"/>
  <c r="AW20" i="1"/>
  <c r="AW101" i="1" s="1"/>
  <c r="AX20" i="1"/>
  <c r="AX101" i="1" s="1"/>
  <c r="AY20" i="1"/>
  <c r="AY101" i="1" s="1"/>
  <c r="AZ20" i="1"/>
  <c r="AZ101" i="1" s="1"/>
  <c r="BA20" i="1"/>
  <c r="BA101" i="1" s="1"/>
  <c r="BB20" i="1"/>
  <c r="BB101" i="1" s="1"/>
  <c r="BC20" i="1"/>
  <c r="BC101" i="1" s="1"/>
  <c r="BD20" i="1"/>
  <c r="BD101" i="1" s="1"/>
  <c r="BE20" i="1"/>
  <c r="BE101" i="1" s="1"/>
  <c r="BF20" i="1"/>
  <c r="BF101" i="1" s="1"/>
  <c r="BG20" i="1"/>
  <c r="BG101" i="1" s="1"/>
  <c r="BH20" i="1"/>
  <c r="BH101" i="1" s="1"/>
  <c r="BI20" i="1"/>
  <c r="BI101" i="1" s="1"/>
  <c r="BJ20" i="1"/>
  <c r="BJ101" i="1" s="1"/>
  <c r="BK20" i="1"/>
  <c r="BK101" i="1" s="1"/>
  <c r="BL20" i="1"/>
  <c r="BL101" i="1" s="1"/>
  <c r="BM20" i="1"/>
  <c r="BM101" i="1" s="1"/>
  <c r="BN20" i="1"/>
  <c r="BN101" i="1" s="1"/>
  <c r="BO20" i="1"/>
  <c r="BO101" i="1" s="1"/>
  <c r="BP20" i="1"/>
  <c r="BP101" i="1" s="1"/>
  <c r="BQ20" i="1"/>
  <c r="BQ101" i="1" s="1"/>
  <c r="BR20" i="1"/>
  <c r="BR101" i="1" s="1"/>
  <c r="BS20" i="1"/>
  <c r="BS101" i="1" s="1"/>
  <c r="AO21" i="1"/>
  <c r="AO102" i="1" s="1"/>
  <c r="AP21" i="1"/>
  <c r="AP102" i="1" s="1"/>
  <c r="AQ21" i="1"/>
  <c r="AQ102" i="1" s="1"/>
  <c r="AR21" i="1"/>
  <c r="AR102" i="1" s="1"/>
  <c r="AS21" i="1"/>
  <c r="AS102" i="1" s="1"/>
  <c r="AT21" i="1"/>
  <c r="AT102" i="1" s="1"/>
  <c r="AU21" i="1"/>
  <c r="AU102" i="1" s="1"/>
  <c r="AV21" i="1"/>
  <c r="AW21" i="1"/>
  <c r="AW102" i="1" s="1"/>
  <c r="AX21" i="1"/>
  <c r="AX102" i="1" s="1"/>
  <c r="AY21" i="1"/>
  <c r="AY102" i="1" s="1"/>
  <c r="AZ21" i="1"/>
  <c r="AZ102" i="1" s="1"/>
  <c r="BA21" i="1"/>
  <c r="BA102" i="1" s="1"/>
  <c r="BB21" i="1"/>
  <c r="BB102" i="1" s="1"/>
  <c r="BC21" i="1"/>
  <c r="BC102" i="1" s="1"/>
  <c r="BD21" i="1"/>
  <c r="BD102" i="1" s="1"/>
  <c r="BE21" i="1"/>
  <c r="BE102" i="1" s="1"/>
  <c r="BF21" i="1"/>
  <c r="BF102" i="1" s="1"/>
  <c r="BG21" i="1"/>
  <c r="BG102" i="1" s="1"/>
  <c r="BH21" i="1"/>
  <c r="BH102" i="1" s="1"/>
  <c r="BI21" i="1"/>
  <c r="BI102" i="1" s="1"/>
  <c r="BJ21" i="1"/>
  <c r="BJ102" i="1" s="1"/>
  <c r="BK21" i="1"/>
  <c r="BK102" i="1" s="1"/>
  <c r="BL21" i="1"/>
  <c r="BL102" i="1" s="1"/>
  <c r="BM21" i="1"/>
  <c r="BM102" i="1" s="1"/>
  <c r="BN21" i="1"/>
  <c r="BN102" i="1" s="1"/>
  <c r="BO21" i="1"/>
  <c r="BO102" i="1" s="1"/>
  <c r="BP21" i="1"/>
  <c r="BP102" i="1" s="1"/>
  <c r="BQ21" i="1"/>
  <c r="BQ102" i="1" s="1"/>
  <c r="BR21" i="1"/>
  <c r="BR102" i="1" s="1"/>
  <c r="BS21" i="1"/>
  <c r="BS102" i="1" s="1"/>
  <c r="AO22" i="1"/>
  <c r="AO103" i="1" s="1"/>
  <c r="AP22" i="1"/>
  <c r="AP103" i="1" s="1"/>
  <c r="AQ22" i="1"/>
  <c r="AQ103" i="1" s="1"/>
  <c r="AR22" i="1"/>
  <c r="AR103" i="1" s="1"/>
  <c r="AS22" i="1"/>
  <c r="AS103" i="1" s="1"/>
  <c r="AT22" i="1"/>
  <c r="AT103" i="1" s="1"/>
  <c r="AU22" i="1"/>
  <c r="AU103" i="1" s="1"/>
  <c r="AV22" i="1"/>
  <c r="AW22" i="1"/>
  <c r="AW103" i="1" s="1"/>
  <c r="AX22" i="1"/>
  <c r="AX103" i="1" s="1"/>
  <c r="AY22" i="1"/>
  <c r="AY103" i="1" s="1"/>
  <c r="AZ22" i="1"/>
  <c r="AZ103" i="1" s="1"/>
  <c r="BA22" i="1"/>
  <c r="BA103" i="1" s="1"/>
  <c r="BB22" i="1"/>
  <c r="BB103" i="1" s="1"/>
  <c r="BC22" i="1"/>
  <c r="BC103" i="1" s="1"/>
  <c r="BD22" i="1"/>
  <c r="BD103" i="1" s="1"/>
  <c r="BE22" i="1"/>
  <c r="BE103" i="1" s="1"/>
  <c r="BF22" i="1"/>
  <c r="BF103" i="1" s="1"/>
  <c r="BG22" i="1"/>
  <c r="BG103" i="1" s="1"/>
  <c r="BH22" i="1"/>
  <c r="BH103" i="1" s="1"/>
  <c r="BI22" i="1"/>
  <c r="BI103" i="1" s="1"/>
  <c r="BJ22" i="1"/>
  <c r="BJ103" i="1" s="1"/>
  <c r="BK22" i="1"/>
  <c r="BK103" i="1" s="1"/>
  <c r="BL22" i="1"/>
  <c r="BL103" i="1" s="1"/>
  <c r="BM22" i="1"/>
  <c r="BM103" i="1" s="1"/>
  <c r="BN22" i="1"/>
  <c r="BN103" i="1" s="1"/>
  <c r="BO22" i="1"/>
  <c r="BO103" i="1" s="1"/>
  <c r="BP22" i="1"/>
  <c r="BP103" i="1" s="1"/>
  <c r="BQ22" i="1"/>
  <c r="BQ103" i="1" s="1"/>
  <c r="BR22" i="1"/>
  <c r="BR103" i="1" s="1"/>
  <c r="BS22" i="1"/>
  <c r="BS103" i="1" s="1"/>
  <c r="AO23" i="1"/>
  <c r="AO104" i="1" s="1"/>
  <c r="AP23" i="1"/>
  <c r="AP104" i="1" s="1"/>
  <c r="AQ23" i="1"/>
  <c r="AQ104" i="1" s="1"/>
  <c r="AR23" i="1"/>
  <c r="AR104" i="1" s="1"/>
  <c r="AS23" i="1"/>
  <c r="AS104" i="1" s="1"/>
  <c r="AT23" i="1"/>
  <c r="AT104" i="1" s="1"/>
  <c r="AU23" i="1"/>
  <c r="AU104" i="1" s="1"/>
  <c r="AV23" i="1"/>
  <c r="AW23" i="1"/>
  <c r="AW104" i="1" s="1"/>
  <c r="AX23" i="1"/>
  <c r="AX104" i="1" s="1"/>
  <c r="AY23" i="1"/>
  <c r="AY104" i="1" s="1"/>
  <c r="AZ23" i="1"/>
  <c r="AZ104" i="1" s="1"/>
  <c r="BA23" i="1"/>
  <c r="BA104" i="1" s="1"/>
  <c r="BB23" i="1"/>
  <c r="BB104" i="1" s="1"/>
  <c r="BC23" i="1"/>
  <c r="BC104" i="1" s="1"/>
  <c r="BD23" i="1"/>
  <c r="BD104" i="1" s="1"/>
  <c r="BE23" i="1"/>
  <c r="BE104" i="1" s="1"/>
  <c r="BF23" i="1"/>
  <c r="BF104" i="1" s="1"/>
  <c r="BG23" i="1"/>
  <c r="BG104" i="1" s="1"/>
  <c r="BH23" i="1"/>
  <c r="BH104" i="1" s="1"/>
  <c r="BI23" i="1"/>
  <c r="BI104" i="1" s="1"/>
  <c r="BJ23" i="1"/>
  <c r="BJ104" i="1" s="1"/>
  <c r="BK23" i="1"/>
  <c r="BK104" i="1" s="1"/>
  <c r="BL23" i="1"/>
  <c r="BL104" i="1" s="1"/>
  <c r="BM23" i="1"/>
  <c r="BM104" i="1" s="1"/>
  <c r="BN23" i="1"/>
  <c r="BN104" i="1" s="1"/>
  <c r="BO23" i="1"/>
  <c r="BO104" i="1" s="1"/>
  <c r="BP23" i="1"/>
  <c r="BP104" i="1" s="1"/>
  <c r="BQ23" i="1"/>
  <c r="BQ104" i="1" s="1"/>
  <c r="BR23" i="1"/>
  <c r="BR104" i="1" s="1"/>
  <c r="BS23" i="1"/>
  <c r="BS104" i="1" s="1"/>
  <c r="AO24" i="1"/>
  <c r="AO105" i="1" s="1"/>
  <c r="AP24" i="1"/>
  <c r="AP105" i="1" s="1"/>
  <c r="AQ24" i="1"/>
  <c r="AQ105" i="1" s="1"/>
  <c r="AR24" i="1"/>
  <c r="AR105" i="1" s="1"/>
  <c r="AS24" i="1"/>
  <c r="AS105" i="1" s="1"/>
  <c r="AT24" i="1"/>
  <c r="AT105" i="1" s="1"/>
  <c r="AU24" i="1"/>
  <c r="AU105" i="1" s="1"/>
  <c r="AV24" i="1"/>
  <c r="AW24" i="1"/>
  <c r="AW105" i="1" s="1"/>
  <c r="AX24" i="1"/>
  <c r="AX105" i="1" s="1"/>
  <c r="AY24" i="1"/>
  <c r="AY105" i="1" s="1"/>
  <c r="AZ24" i="1"/>
  <c r="AZ105" i="1" s="1"/>
  <c r="BA24" i="1"/>
  <c r="BA105" i="1" s="1"/>
  <c r="BB24" i="1"/>
  <c r="BB105" i="1" s="1"/>
  <c r="BC24" i="1"/>
  <c r="BC105" i="1" s="1"/>
  <c r="BD24" i="1"/>
  <c r="BD105" i="1" s="1"/>
  <c r="BE24" i="1"/>
  <c r="BE105" i="1" s="1"/>
  <c r="BF24" i="1"/>
  <c r="BF105" i="1" s="1"/>
  <c r="BG24" i="1"/>
  <c r="BG105" i="1" s="1"/>
  <c r="BH24" i="1"/>
  <c r="BH105" i="1" s="1"/>
  <c r="BI24" i="1"/>
  <c r="BI105" i="1" s="1"/>
  <c r="BJ24" i="1"/>
  <c r="BJ105" i="1" s="1"/>
  <c r="BK24" i="1"/>
  <c r="BK105" i="1" s="1"/>
  <c r="BL24" i="1"/>
  <c r="BL105" i="1" s="1"/>
  <c r="BM24" i="1"/>
  <c r="BM105" i="1" s="1"/>
  <c r="BN24" i="1"/>
  <c r="BN105" i="1" s="1"/>
  <c r="BO24" i="1"/>
  <c r="BO105" i="1" s="1"/>
  <c r="BP24" i="1"/>
  <c r="BP105" i="1" s="1"/>
  <c r="BQ24" i="1"/>
  <c r="BQ105" i="1" s="1"/>
  <c r="BR24" i="1"/>
  <c r="BR105" i="1" s="1"/>
  <c r="BS24" i="1"/>
  <c r="BS105" i="1" s="1"/>
  <c r="AO25" i="1"/>
  <c r="AO106" i="1" s="1"/>
  <c r="AP25" i="1"/>
  <c r="AP106" i="1" s="1"/>
  <c r="AQ25" i="1"/>
  <c r="AQ106" i="1" s="1"/>
  <c r="AR25" i="1"/>
  <c r="AR106" i="1" s="1"/>
  <c r="AS25" i="1"/>
  <c r="AS106" i="1" s="1"/>
  <c r="AT25" i="1"/>
  <c r="AT106" i="1" s="1"/>
  <c r="AU25" i="1"/>
  <c r="AU106" i="1" s="1"/>
  <c r="AV25" i="1"/>
  <c r="AW25" i="1"/>
  <c r="AW106" i="1" s="1"/>
  <c r="AX25" i="1"/>
  <c r="AX106" i="1" s="1"/>
  <c r="AY25" i="1"/>
  <c r="AY106" i="1" s="1"/>
  <c r="AZ25" i="1"/>
  <c r="AZ106" i="1" s="1"/>
  <c r="BA25" i="1"/>
  <c r="BA106" i="1" s="1"/>
  <c r="BB25" i="1"/>
  <c r="BB106" i="1" s="1"/>
  <c r="BC25" i="1"/>
  <c r="BC106" i="1" s="1"/>
  <c r="BD25" i="1"/>
  <c r="BD106" i="1" s="1"/>
  <c r="BE25" i="1"/>
  <c r="BE106" i="1" s="1"/>
  <c r="BF25" i="1"/>
  <c r="BF106" i="1" s="1"/>
  <c r="BG25" i="1"/>
  <c r="BG106" i="1" s="1"/>
  <c r="BH25" i="1"/>
  <c r="BH106" i="1" s="1"/>
  <c r="BI25" i="1"/>
  <c r="BI106" i="1" s="1"/>
  <c r="BJ25" i="1"/>
  <c r="BJ106" i="1" s="1"/>
  <c r="BK25" i="1"/>
  <c r="BK106" i="1" s="1"/>
  <c r="BL25" i="1"/>
  <c r="BL106" i="1" s="1"/>
  <c r="BM25" i="1"/>
  <c r="BM106" i="1" s="1"/>
  <c r="BN25" i="1"/>
  <c r="BN106" i="1" s="1"/>
  <c r="BO25" i="1"/>
  <c r="BO106" i="1" s="1"/>
  <c r="BP25" i="1"/>
  <c r="BP106" i="1" s="1"/>
  <c r="BQ25" i="1"/>
  <c r="BQ106" i="1" s="1"/>
  <c r="BR25" i="1"/>
  <c r="BR106" i="1" s="1"/>
  <c r="BS25" i="1"/>
  <c r="BS106" i="1" s="1"/>
  <c r="AO26" i="1"/>
  <c r="AO107" i="1" s="1"/>
  <c r="AP26" i="1"/>
  <c r="AP107" i="1" s="1"/>
  <c r="AQ26" i="1"/>
  <c r="AQ107" i="1" s="1"/>
  <c r="AR26" i="1"/>
  <c r="AR107" i="1" s="1"/>
  <c r="AS26" i="1"/>
  <c r="AS107" i="1" s="1"/>
  <c r="AT26" i="1"/>
  <c r="AT107" i="1" s="1"/>
  <c r="AU26" i="1"/>
  <c r="AU107" i="1" s="1"/>
  <c r="AV26" i="1"/>
  <c r="AW26" i="1"/>
  <c r="AW107" i="1" s="1"/>
  <c r="AX26" i="1"/>
  <c r="AX107" i="1" s="1"/>
  <c r="AY26" i="1"/>
  <c r="AY107" i="1" s="1"/>
  <c r="AZ26" i="1"/>
  <c r="AZ107" i="1" s="1"/>
  <c r="BA26" i="1"/>
  <c r="BA107" i="1" s="1"/>
  <c r="BB26" i="1"/>
  <c r="BB107" i="1" s="1"/>
  <c r="BC26" i="1"/>
  <c r="BC107" i="1" s="1"/>
  <c r="BD26" i="1"/>
  <c r="BD107" i="1" s="1"/>
  <c r="BE26" i="1"/>
  <c r="BE107" i="1" s="1"/>
  <c r="BF26" i="1"/>
  <c r="BF107" i="1" s="1"/>
  <c r="BG26" i="1"/>
  <c r="BG107" i="1" s="1"/>
  <c r="BH26" i="1"/>
  <c r="BH107" i="1" s="1"/>
  <c r="BI26" i="1"/>
  <c r="BI107" i="1" s="1"/>
  <c r="BJ26" i="1"/>
  <c r="BJ107" i="1" s="1"/>
  <c r="BK26" i="1"/>
  <c r="BK107" i="1" s="1"/>
  <c r="BL26" i="1"/>
  <c r="BL107" i="1" s="1"/>
  <c r="BM26" i="1"/>
  <c r="BM107" i="1" s="1"/>
  <c r="BN26" i="1"/>
  <c r="BN107" i="1" s="1"/>
  <c r="BO26" i="1"/>
  <c r="BO107" i="1" s="1"/>
  <c r="BP26" i="1"/>
  <c r="BP107" i="1" s="1"/>
  <c r="BQ26" i="1"/>
  <c r="BQ107" i="1" s="1"/>
  <c r="BR26" i="1"/>
  <c r="BR107" i="1" s="1"/>
  <c r="BS26" i="1"/>
  <c r="BS107" i="1" s="1"/>
  <c r="AO27" i="1"/>
  <c r="AO108" i="1" s="1"/>
  <c r="AP27" i="1"/>
  <c r="AP108" i="1" s="1"/>
  <c r="AQ27" i="1"/>
  <c r="AQ108" i="1" s="1"/>
  <c r="AR27" i="1"/>
  <c r="AR108" i="1" s="1"/>
  <c r="AS27" i="1"/>
  <c r="AS108" i="1" s="1"/>
  <c r="AT27" i="1"/>
  <c r="AT108" i="1" s="1"/>
  <c r="AU27" i="1"/>
  <c r="AU108" i="1" s="1"/>
  <c r="AV27" i="1"/>
  <c r="AW27" i="1"/>
  <c r="AW108" i="1" s="1"/>
  <c r="AX27" i="1"/>
  <c r="AX108" i="1" s="1"/>
  <c r="AY27" i="1"/>
  <c r="AY108" i="1" s="1"/>
  <c r="AZ27" i="1"/>
  <c r="AZ108" i="1" s="1"/>
  <c r="BA27" i="1"/>
  <c r="BA108" i="1" s="1"/>
  <c r="BB27" i="1"/>
  <c r="BB108" i="1" s="1"/>
  <c r="BC27" i="1"/>
  <c r="BC108" i="1" s="1"/>
  <c r="BD27" i="1"/>
  <c r="BD108" i="1" s="1"/>
  <c r="BE27" i="1"/>
  <c r="BE108" i="1" s="1"/>
  <c r="BF27" i="1"/>
  <c r="BF108" i="1" s="1"/>
  <c r="BG27" i="1"/>
  <c r="BG108" i="1" s="1"/>
  <c r="BH27" i="1"/>
  <c r="BH108" i="1" s="1"/>
  <c r="BI27" i="1"/>
  <c r="BI108" i="1" s="1"/>
  <c r="BJ27" i="1"/>
  <c r="BJ108" i="1" s="1"/>
  <c r="BK27" i="1"/>
  <c r="BK108" i="1" s="1"/>
  <c r="BL27" i="1"/>
  <c r="BL108" i="1" s="1"/>
  <c r="BM27" i="1"/>
  <c r="BM108" i="1" s="1"/>
  <c r="BN27" i="1"/>
  <c r="BN108" i="1" s="1"/>
  <c r="BO27" i="1"/>
  <c r="BO108" i="1" s="1"/>
  <c r="BP27" i="1"/>
  <c r="BP108" i="1" s="1"/>
  <c r="BQ27" i="1"/>
  <c r="BQ108" i="1" s="1"/>
  <c r="BR27" i="1"/>
  <c r="BR108" i="1" s="1"/>
  <c r="BS27" i="1"/>
  <c r="BS108" i="1" s="1"/>
  <c r="AO28" i="1"/>
  <c r="AO109" i="1" s="1"/>
  <c r="AP28" i="1"/>
  <c r="AP109" i="1" s="1"/>
  <c r="AQ28" i="1"/>
  <c r="AQ109" i="1" s="1"/>
  <c r="AR28" i="1"/>
  <c r="AR109" i="1" s="1"/>
  <c r="AS28" i="1"/>
  <c r="AS109" i="1" s="1"/>
  <c r="AT28" i="1"/>
  <c r="AT109" i="1" s="1"/>
  <c r="AU28" i="1"/>
  <c r="AU109" i="1" s="1"/>
  <c r="AV28" i="1"/>
  <c r="AW28" i="1"/>
  <c r="AW109" i="1" s="1"/>
  <c r="AX28" i="1"/>
  <c r="AX109" i="1" s="1"/>
  <c r="AY28" i="1"/>
  <c r="AY109" i="1" s="1"/>
  <c r="AZ28" i="1"/>
  <c r="AZ109" i="1" s="1"/>
  <c r="BA28" i="1"/>
  <c r="BA109" i="1" s="1"/>
  <c r="BB28" i="1"/>
  <c r="BB109" i="1" s="1"/>
  <c r="BC28" i="1"/>
  <c r="BC109" i="1" s="1"/>
  <c r="BD28" i="1"/>
  <c r="BD109" i="1" s="1"/>
  <c r="BE28" i="1"/>
  <c r="BE109" i="1" s="1"/>
  <c r="BF28" i="1"/>
  <c r="BF109" i="1" s="1"/>
  <c r="BG28" i="1"/>
  <c r="BG109" i="1" s="1"/>
  <c r="BH28" i="1"/>
  <c r="BH109" i="1" s="1"/>
  <c r="BI28" i="1"/>
  <c r="BI109" i="1" s="1"/>
  <c r="BJ28" i="1"/>
  <c r="BJ109" i="1" s="1"/>
  <c r="BK28" i="1"/>
  <c r="BK109" i="1" s="1"/>
  <c r="BL28" i="1"/>
  <c r="BL109" i="1" s="1"/>
  <c r="BM28" i="1"/>
  <c r="BM109" i="1" s="1"/>
  <c r="BN28" i="1"/>
  <c r="BN109" i="1" s="1"/>
  <c r="BO28" i="1"/>
  <c r="BO109" i="1" s="1"/>
  <c r="BP28" i="1"/>
  <c r="BP109" i="1" s="1"/>
  <c r="BQ28" i="1"/>
  <c r="BQ109" i="1" s="1"/>
  <c r="BR28" i="1"/>
  <c r="BR109" i="1" s="1"/>
  <c r="BS28" i="1"/>
  <c r="BS109" i="1" s="1"/>
  <c r="AO29" i="1"/>
  <c r="AO110" i="1" s="1"/>
  <c r="AP29" i="1"/>
  <c r="AP110" i="1" s="1"/>
  <c r="AQ29" i="1"/>
  <c r="AQ110" i="1" s="1"/>
  <c r="AR29" i="1"/>
  <c r="AR110" i="1" s="1"/>
  <c r="AS29" i="1"/>
  <c r="AS110" i="1" s="1"/>
  <c r="AT29" i="1"/>
  <c r="AT110" i="1" s="1"/>
  <c r="AU29" i="1"/>
  <c r="AU110" i="1" s="1"/>
  <c r="AV29" i="1"/>
  <c r="AW29" i="1"/>
  <c r="AW110" i="1" s="1"/>
  <c r="AX29" i="1"/>
  <c r="AX110" i="1" s="1"/>
  <c r="AY29" i="1"/>
  <c r="AY110" i="1" s="1"/>
  <c r="AZ29" i="1"/>
  <c r="AZ110" i="1" s="1"/>
  <c r="BA29" i="1"/>
  <c r="BA110" i="1" s="1"/>
  <c r="BB29" i="1"/>
  <c r="BB110" i="1" s="1"/>
  <c r="BC29" i="1"/>
  <c r="BC110" i="1" s="1"/>
  <c r="BD29" i="1"/>
  <c r="BD110" i="1" s="1"/>
  <c r="BE29" i="1"/>
  <c r="BE110" i="1" s="1"/>
  <c r="BF29" i="1"/>
  <c r="BF110" i="1" s="1"/>
  <c r="BG29" i="1"/>
  <c r="BG110" i="1" s="1"/>
  <c r="BH29" i="1"/>
  <c r="BH110" i="1" s="1"/>
  <c r="BI29" i="1"/>
  <c r="BI110" i="1" s="1"/>
  <c r="BJ29" i="1"/>
  <c r="BJ110" i="1" s="1"/>
  <c r="BK29" i="1"/>
  <c r="BK110" i="1" s="1"/>
  <c r="BL29" i="1"/>
  <c r="BL110" i="1" s="1"/>
  <c r="BM29" i="1"/>
  <c r="BM110" i="1" s="1"/>
  <c r="BN29" i="1"/>
  <c r="BN110" i="1" s="1"/>
  <c r="BO29" i="1"/>
  <c r="BO110" i="1" s="1"/>
  <c r="BP29" i="1"/>
  <c r="BP110" i="1" s="1"/>
  <c r="BQ29" i="1"/>
  <c r="BQ110" i="1" s="1"/>
  <c r="BR29" i="1"/>
  <c r="BR110" i="1" s="1"/>
  <c r="BS29" i="1"/>
  <c r="BS110" i="1" s="1"/>
  <c r="AO30" i="1"/>
  <c r="AO111" i="1" s="1"/>
  <c r="AP30" i="1"/>
  <c r="AP111" i="1" s="1"/>
  <c r="AQ30" i="1"/>
  <c r="AQ111" i="1" s="1"/>
  <c r="AR30" i="1"/>
  <c r="AR111" i="1" s="1"/>
  <c r="AS30" i="1"/>
  <c r="AS111" i="1" s="1"/>
  <c r="AT30" i="1"/>
  <c r="AT111" i="1" s="1"/>
  <c r="AU30" i="1"/>
  <c r="AU111" i="1" s="1"/>
  <c r="AV30" i="1"/>
  <c r="AW30" i="1"/>
  <c r="AW111" i="1" s="1"/>
  <c r="AX30" i="1"/>
  <c r="AX111" i="1" s="1"/>
  <c r="AY30" i="1"/>
  <c r="AY111" i="1" s="1"/>
  <c r="AZ30" i="1"/>
  <c r="AZ111" i="1" s="1"/>
  <c r="BA30" i="1"/>
  <c r="BA111" i="1" s="1"/>
  <c r="BB30" i="1"/>
  <c r="BB111" i="1" s="1"/>
  <c r="BC30" i="1"/>
  <c r="BC111" i="1" s="1"/>
  <c r="BD30" i="1"/>
  <c r="BD111" i="1" s="1"/>
  <c r="BE30" i="1"/>
  <c r="BE111" i="1" s="1"/>
  <c r="BF30" i="1"/>
  <c r="BF111" i="1" s="1"/>
  <c r="BG30" i="1"/>
  <c r="BG111" i="1" s="1"/>
  <c r="BH30" i="1"/>
  <c r="BH111" i="1" s="1"/>
  <c r="BI30" i="1"/>
  <c r="BI111" i="1" s="1"/>
  <c r="BJ30" i="1"/>
  <c r="BJ111" i="1" s="1"/>
  <c r="BK30" i="1"/>
  <c r="BK111" i="1" s="1"/>
  <c r="BL30" i="1"/>
  <c r="BL111" i="1" s="1"/>
  <c r="BM30" i="1"/>
  <c r="BM111" i="1" s="1"/>
  <c r="BN30" i="1"/>
  <c r="BN111" i="1" s="1"/>
  <c r="BO30" i="1"/>
  <c r="BO111" i="1" s="1"/>
  <c r="BP30" i="1"/>
  <c r="BP111" i="1" s="1"/>
  <c r="BQ30" i="1"/>
  <c r="BQ111" i="1" s="1"/>
  <c r="BR30" i="1"/>
  <c r="BR111" i="1" s="1"/>
  <c r="BS30" i="1"/>
  <c r="BS111" i="1" s="1"/>
  <c r="AO31" i="1"/>
  <c r="AO112" i="1" s="1"/>
  <c r="AP31" i="1"/>
  <c r="AP112" i="1" s="1"/>
  <c r="AQ31" i="1"/>
  <c r="AQ112" i="1" s="1"/>
  <c r="AR31" i="1"/>
  <c r="AR112" i="1" s="1"/>
  <c r="AS31" i="1"/>
  <c r="AS112" i="1" s="1"/>
  <c r="AT31" i="1"/>
  <c r="AT112" i="1" s="1"/>
  <c r="AU31" i="1"/>
  <c r="AU112" i="1" s="1"/>
  <c r="AV31" i="1"/>
  <c r="AW31" i="1"/>
  <c r="AW112" i="1" s="1"/>
  <c r="AX31" i="1"/>
  <c r="AX112" i="1" s="1"/>
  <c r="AY31" i="1"/>
  <c r="AY112" i="1" s="1"/>
  <c r="AZ31" i="1"/>
  <c r="AZ112" i="1" s="1"/>
  <c r="BA31" i="1"/>
  <c r="BA112" i="1" s="1"/>
  <c r="BB31" i="1"/>
  <c r="BB112" i="1" s="1"/>
  <c r="BC31" i="1"/>
  <c r="BC112" i="1" s="1"/>
  <c r="BD31" i="1"/>
  <c r="BD112" i="1" s="1"/>
  <c r="BE31" i="1"/>
  <c r="BE112" i="1" s="1"/>
  <c r="BF31" i="1"/>
  <c r="BF112" i="1" s="1"/>
  <c r="BG31" i="1"/>
  <c r="BG112" i="1" s="1"/>
  <c r="BH31" i="1"/>
  <c r="BH112" i="1" s="1"/>
  <c r="BI31" i="1"/>
  <c r="BI112" i="1" s="1"/>
  <c r="BJ31" i="1"/>
  <c r="BJ112" i="1" s="1"/>
  <c r="BK31" i="1"/>
  <c r="BK112" i="1" s="1"/>
  <c r="BL31" i="1"/>
  <c r="BL112" i="1" s="1"/>
  <c r="BM31" i="1"/>
  <c r="BM112" i="1" s="1"/>
  <c r="BN31" i="1"/>
  <c r="BN112" i="1" s="1"/>
  <c r="BO31" i="1"/>
  <c r="BO112" i="1" s="1"/>
  <c r="BP31" i="1"/>
  <c r="BP112" i="1" s="1"/>
  <c r="BQ31" i="1"/>
  <c r="BQ112" i="1" s="1"/>
  <c r="BR31" i="1"/>
  <c r="BR112" i="1" s="1"/>
  <c r="BS31" i="1"/>
  <c r="BS112" i="1" s="1"/>
  <c r="AO32" i="1"/>
  <c r="AO113" i="1" s="1"/>
  <c r="AP32" i="1"/>
  <c r="AP113" i="1" s="1"/>
  <c r="AQ32" i="1"/>
  <c r="AQ113" i="1" s="1"/>
  <c r="AR32" i="1"/>
  <c r="AR113" i="1" s="1"/>
  <c r="AS32" i="1"/>
  <c r="AS113" i="1" s="1"/>
  <c r="AT32" i="1"/>
  <c r="AT113" i="1" s="1"/>
  <c r="AU32" i="1"/>
  <c r="AU113" i="1" s="1"/>
  <c r="AV32" i="1"/>
  <c r="AW32" i="1"/>
  <c r="AW113" i="1" s="1"/>
  <c r="AX32" i="1"/>
  <c r="AX113" i="1" s="1"/>
  <c r="AY32" i="1"/>
  <c r="AY113" i="1" s="1"/>
  <c r="AZ32" i="1"/>
  <c r="AZ113" i="1" s="1"/>
  <c r="BA32" i="1"/>
  <c r="BA113" i="1" s="1"/>
  <c r="BB32" i="1"/>
  <c r="BB113" i="1" s="1"/>
  <c r="BC32" i="1"/>
  <c r="BC113" i="1" s="1"/>
  <c r="BD32" i="1"/>
  <c r="BD113" i="1" s="1"/>
  <c r="BE32" i="1"/>
  <c r="BE113" i="1" s="1"/>
  <c r="BF32" i="1"/>
  <c r="BF113" i="1" s="1"/>
  <c r="BG32" i="1"/>
  <c r="BG113" i="1" s="1"/>
  <c r="BH32" i="1"/>
  <c r="BH113" i="1" s="1"/>
  <c r="BI32" i="1"/>
  <c r="BI113" i="1" s="1"/>
  <c r="BJ32" i="1"/>
  <c r="BJ113" i="1" s="1"/>
  <c r="BK32" i="1"/>
  <c r="BK113" i="1" s="1"/>
  <c r="BL32" i="1"/>
  <c r="BL113" i="1" s="1"/>
  <c r="BM32" i="1"/>
  <c r="BM113" i="1" s="1"/>
  <c r="BN32" i="1"/>
  <c r="BN113" i="1" s="1"/>
  <c r="BO32" i="1"/>
  <c r="BO113" i="1" s="1"/>
  <c r="BP32" i="1"/>
  <c r="BP113" i="1" s="1"/>
  <c r="BQ32" i="1"/>
  <c r="BQ113" i="1" s="1"/>
  <c r="BR32" i="1"/>
  <c r="BR113" i="1" s="1"/>
  <c r="BS32" i="1"/>
  <c r="BS113" i="1" s="1"/>
  <c r="AO33" i="1"/>
  <c r="AO114" i="1" s="1"/>
  <c r="AP33" i="1"/>
  <c r="AP114" i="1" s="1"/>
  <c r="AQ33" i="1"/>
  <c r="AQ114" i="1" s="1"/>
  <c r="AR33" i="1"/>
  <c r="AR114" i="1" s="1"/>
  <c r="AS33" i="1"/>
  <c r="AS114" i="1" s="1"/>
  <c r="AT33" i="1"/>
  <c r="AT114" i="1" s="1"/>
  <c r="AU33" i="1"/>
  <c r="AU114" i="1" s="1"/>
  <c r="AV33" i="1"/>
  <c r="AW33" i="1"/>
  <c r="AW114" i="1" s="1"/>
  <c r="AX33" i="1"/>
  <c r="AX114" i="1" s="1"/>
  <c r="AY33" i="1"/>
  <c r="AY114" i="1" s="1"/>
  <c r="AZ33" i="1"/>
  <c r="AZ114" i="1" s="1"/>
  <c r="BA33" i="1"/>
  <c r="BA114" i="1" s="1"/>
  <c r="BB33" i="1"/>
  <c r="BB114" i="1" s="1"/>
  <c r="BC33" i="1"/>
  <c r="BC114" i="1" s="1"/>
  <c r="BD33" i="1"/>
  <c r="BD114" i="1" s="1"/>
  <c r="BE33" i="1"/>
  <c r="BE114" i="1" s="1"/>
  <c r="BF33" i="1"/>
  <c r="BF114" i="1" s="1"/>
  <c r="BG33" i="1"/>
  <c r="BG114" i="1" s="1"/>
  <c r="BH33" i="1"/>
  <c r="BH114" i="1" s="1"/>
  <c r="BI33" i="1"/>
  <c r="BI114" i="1" s="1"/>
  <c r="BJ33" i="1"/>
  <c r="BJ114" i="1" s="1"/>
  <c r="BK33" i="1"/>
  <c r="BK114" i="1" s="1"/>
  <c r="BL33" i="1"/>
  <c r="BL114" i="1" s="1"/>
  <c r="BM33" i="1"/>
  <c r="BM114" i="1" s="1"/>
  <c r="BN33" i="1"/>
  <c r="BN114" i="1" s="1"/>
  <c r="BO33" i="1"/>
  <c r="BO114" i="1" s="1"/>
  <c r="BP33" i="1"/>
  <c r="BP114" i="1" s="1"/>
  <c r="BQ33" i="1"/>
  <c r="BQ114" i="1" s="1"/>
  <c r="BR33" i="1"/>
  <c r="BR114" i="1" s="1"/>
  <c r="BS33" i="1"/>
  <c r="BS114" i="1" s="1"/>
  <c r="AO34" i="1"/>
  <c r="AO115" i="1" s="1"/>
  <c r="AP34" i="1"/>
  <c r="AP115" i="1" s="1"/>
  <c r="AQ34" i="1"/>
  <c r="AQ115" i="1" s="1"/>
  <c r="AR34" i="1"/>
  <c r="AR115" i="1" s="1"/>
  <c r="AS34" i="1"/>
  <c r="AS115" i="1" s="1"/>
  <c r="AT34" i="1"/>
  <c r="AT115" i="1" s="1"/>
  <c r="AU34" i="1"/>
  <c r="AU115" i="1" s="1"/>
  <c r="AV34" i="1"/>
  <c r="AW34" i="1"/>
  <c r="AW115" i="1" s="1"/>
  <c r="AX34" i="1"/>
  <c r="AX115" i="1" s="1"/>
  <c r="AY34" i="1"/>
  <c r="AY115" i="1" s="1"/>
  <c r="AZ34" i="1"/>
  <c r="AZ115" i="1" s="1"/>
  <c r="BA34" i="1"/>
  <c r="BA115" i="1" s="1"/>
  <c r="BB34" i="1"/>
  <c r="BB115" i="1" s="1"/>
  <c r="BC34" i="1"/>
  <c r="BC115" i="1" s="1"/>
  <c r="BD34" i="1"/>
  <c r="BD115" i="1" s="1"/>
  <c r="BE34" i="1"/>
  <c r="BE115" i="1" s="1"/>
  <c r="BF34" i="1"/>
  <c r="BF115" i="1" s="1"/>
  <c r="BG34" i="1"/>
  <c r="BG115" i="1" s="1"/>
  <c r="BH34" i="1"/>
  <c r="BH115" i="1" s="1"/>
  <c r="BI34" i="1"/>
  <c r="BI115" i="1" s="1"/>
  <c r="BJ34" i="1"/>
  <c r="BJ115" i="1" s="1"/>
  <c r="BK34" i="1"/>
  <c r="BK115" i="1" s="1"/>
  <c r="BL34" i="1"/>
  <c r="BL115" i="1" s="1"/>
  <c r="BM34" i="1"/>
  <c r="BM115" i="1" s="1"/>
  <c r="BN34" i="1"/>
  <c r="BN115" i="1" s="1"/>
  <c r="BO34" i="1"/>
  <c r="BO115" i="1" s="1"/>
  <c r="BP34" i="1"/>
  <c r="BP115" i="1" s="1"/>
  <c r="BQ34" i="1"/>
  <c r="BQ115" i="1" s="1"/>
  <c r="BR34" i="1"/>
  <c r="BR115" i="1" s="1"/>
  <c r="BS34" i="1"/>
  <c r="BS115" i="1" s="1"/>
  <c r="AO35" i="1"/>
  <c r="AO116" i="1" s="1"/>
  <c r="AP35" i="1"/>
  <c r="AP116" i="1" s="1"/>
  <c r="AQ35" i="1"/>
  <c r="AQ116" i="1" s="1"/>
  <c r="AR35" i="1"/>
  <c r="AR116" i="1" s="1"/>
  <c r="AS35" i="1"/>
  <c r="AS116" i="1" s="1"/>
  <c r="AT35" i="1"/>
  <c r="AT116" i="1" s="1"/>
  <c r="AU35" i="1"/>
  <c r="AU116" i="1" s="1"/>
  <c r="AV35" i="1"/>
  <c r="AW35" i="1"/>
  <c r="AW116" i="1" s="1"/>
  <c r="AX35" i="1"/>
  <c r="AX116" i="1" s="1"/>
  <c r="AY35" i="1"/>
  <c r="AY116" i="1" s="1"/>
  <c r="AZ35" i="1"/>
  <c r="AZ116" i="1" s="1"/>
  <c r="BA35" i="1"/>
  <c r="BA116" i="1" s="1"/>
  <c r="BB35" i="1"/>
  <c r="BB116" i="1" s="1"/>
  <c r="BC35" i="1"/>
  <c r="BC116" i="1" s="1"/>
  <c r="BD35" i="1"/>
  <c r="BD116" i="1" s="1"/>
  <c r="BE35" i="1"/>
  <c r="BE116" i="1" s="1"/>
  <c r="BF35" i="1"/>
  <c r="BF116" i="1" s="1"/>
  <c r="BG35" i="1"/>
  <c r="BG116" i="1" s="1"/>
  <c r="BH35" i="1"/>
  <c r="BH116" i="1" s="1"/>
  <c r="BI35" i="1"/>
  <c r="BI116" i="1" s="1"/>
  <c r="BJ35" i="1"/>
  <c r="BJ116" i="1" s="1"/>
  <c r="BK35" i="1"/>
  <c r="BK116" i="1" s="1"/>
  <c r="BL35" i="1"/>
  <c r="BL116" i="1" s="1"/>
  <c r="BM35" i="1"/>
  <c r="BM116" i="1" s="1"/>
  <c r="BN35" i="1"/>
  <c r="BN116" i="1" s="1"/>
  <c r="BO35" i="1"/>
  <c r="BO116" i="1" s="1"/>
  <c r="BP35" i="1"/>
  <c r="BP116" i="1" s="1"/>
  <c r="BQ35" i="1"/>
  <c r="BQ116" i="1" s="1"/>
  <c r="BR35" i="1"/>
  <c r="BR116" i="1" s="1"/>
  <c r="BS35" i="1"/>
  <c r="BS116" i="1" s="1"/>
  <c r="AO36" i="1"/>
  <c r="AO117" i="1" s="1"/>
  <c r="AP36" i="1"/>
  <c r="AP117" i="1" s="1"/>
  <c r="AQ36" i="1"/>
  <c r="AQ117" i="1" s="1"/>
  <c r="AR36" i="1"/>
  <c r="AR117" i="1" s="1"/>
  <c r="AS36" i="1"/>
  <c r="AS117" i="1" s="1"/>
  <c r="AT36" i="1"/>
  <c r="AT117" i="1" s="1"/>
  <c r="AU36" i="1"/>
  <c r="AU117" i="1" s="1"/>
  <c r="AV36" i="1"/>
  <c r="AW36" i="1"/>
  <c r="AW117" i="1" s="1"/>
  <c r="AX36" i="1"/>
  <c r="AX117" i="1" s="1"/>
  <c r="AY36" i="1"/>
  <c r="AY117" i="1" s="1"/>
  <c r="AZ36" i="1"/>
  <c r="AZ117" i="1" s="1"/>
  <c r="BA36" i="1"/>
  <c r="BA117" i="1" s="1"/>
  <c r="BB36" i="1"/>
  <c r="BB117" i="1" s="1"/>
  <c r="BC36" i="1"/>
  <c r="BC117" i="1" s="1"/>
  <c r="BD36" i="1"/>
  <c r="BD117" i="1" s="1"/>
  <c r="BE36" i="1"/>
  <c r="BE117" i="1" s="1"/>
  <c r="BF36" i="1"/>
  <c r="BF117" i="1" s="1"/>
  <c r="BG36" i="1"/>
  <c r="BG117" i="1" s="1"/>
  <c r="BH36" i="1"/>
  <c r="BH117" i="1" s="1"/>
  <c r="BI36" i="1"/>
  <c r="BI117" i="1" s="1"/>
  <c r="BJ36" i="1"/>
  <c r="BJ117" i="1" s="1"/>
  <c r="BK36" i="1"/>
  <c r="BK117" i="1" s="1"/>
  <c r="BL36" i="1"/>
  <c r="BL117" i="1" s="1"/>
  <c r="BM36" i="1"/>
  <c r="BM117" i="1" s="1"/>
  <c r="BN36" i="1"/>
  <c r="BN117" i="1" s="1"/>
  <c r="BO36" i="1"/>
  <c r="BO117" i="1" s="1"/>
  <c r="BP36" i="1"/>
  <c r="BP117" i="1" s="1"/>
  <c r="BQ36" i="1"/>
  <c r="BQ117" i="1" s="1"/>
  <c r="BR36" i="1"/>
  <c r="BR117" i="1" s="1"/>
  <c r="BS36" i="1"/>
  <c r="BS117" i="1" s="1"/>
  <c r="AO37" i="1"/>
  <c r="AO118" i="1" s="1"/>
  <c r="AP37" i="1"/>
  <c r="AP118" i="1" s="1"/>
  <c r="AQ37" i="1"/>
  <c r="AQ118" i="1" s="1"/>
  <c r="AR37" i="1"/>
  <c r="AR118" i="1" s="1"/>
  <c r="AS37" i="1"/>
  <c r="AS118" i="1" s="1"/>
  <c r="AT37" i="1"/>
  <c r="AT118" i="1" s="1"/>
  <c r="AU37" i="1"/>
  <c r="AU118" i="1" s="1"/>
  <c r="AV37" i="1"/>
  <c r="AW37" i="1"/>
  <c r="AW118" i="1" s="1"/>
  <c r="AX37" i="1"/>
  <c r="AX118" i="1" s="1"/>
  <c r="AY37" i="1"/>
  <c r="AY118" i="1" s="1"/>
  <c r="AZ37" i="1"/>
  <c r="AZ118" i="1" s="1"/>
  <c r="BA37" i="1"/>
  <c r="BA118" i="1" s="1"/>
  <c r="BB37" i="1"/>
  <c r="BB118" i="1" s="1"/>
  <c r="BC37" i="1"/>
  <c r="BC118" i="1" s="1"/>
  <c r="BD37" i="1"/>
  <c r="BD118" i="1" s="1"/>
  <c r="BE37" i="1"/>
  <c r="BE118" i="1" s="1"/>
  <c r="BF37" i="1"/>
  <c r="BF118" i="1" s="1"/>
  <c r="BG37" i="1"/>
  <c r="BG118" i="1" s="1"/>
  <c r="BH37" i="1"/>
  <c r="BH118" i="1" s="1"/>
  <c r="BI37" i="1"/>
  <c r="BI118" i="1" s="1"/>
  <c r="BJ37" i="1"/>
  <c r="BJ118" i="1" s="1"/>
  <c r="BK37" i="1"/>
  <c r="BK118" i="1" s="1"/>
  <c r="BL37" i="1"/>
  <c r="BL118" i="1" s="1"/>
  <c r="BM37" i="1"/>
  <c r="BM118" i="1" s="1"/>
  <c r="BN37" i="1"/>
  <c r="BN118" i="1" s="1"/>
  <c r="BO37" i="1"/>
  <c r="BO118" i="1" s="1"/>
  <c r="BP37" i="1"/>
  <c r="BP118" i="1" s="1"/>
  <c r="BQ37" i="1"/>
  <c r="BQ118" i="1" s="1"/>
  <c r="BR37" i="1"/>
  <c r="BR118" i="1" s="1"/>
  <c r="BS37" i="1"/>
  <c r="BS118" i="1" s="1"/>
  <c r="AO38" i="1"/>
  <c r="AO119" i="1" s="1"/>
  <c r="AP38" i="1"/>
  <c r="AP119" i="1" s="1"/>
  <c r="AQ38" i="1"/>
  <c r="AQ119" i="1" s="1"/>
  <c r="AR38" i="1"/>
  <c r="AR119" i="1" s="1"/>
  <c r="AS38" i="1"/>
  <c r="AS119" i="1" s="1"/>
  <c r="AT38" i="1"/>
  <c r="AT119" i="1" s="1"/>
  <c r="AU38" i="1"/>
  <c r="AU119" i="1" s="1"/>
  <c r="AV38" i="1"/>
  <c r="AW38" i="1"/>
  <c r="AW119" i="1" s="1"/>
  <c r="AX38" i="1"/>
  <c r="AX119" i="1" s="1"/>
  <c r="AY38" i="1"/>
  <c r="AY119" i="1" s="1"/>
  <c r="AZ38" i="1"/>
  <c r="AZ119" i="1" s="1"/>
  <c r="BA38" i="1"/>
  <c r="BA119" i="1" s="1"/>
  <c r="BB38" i="1"/>
  <c r="BB119" i="1" s="1"/>
  <c r="BC38" i="1"/>
  <c r="BC119" i="1" s="1"/>
  <c r="BD38" i="1"/>
  <c r="BD119" i="1" s="1"/>
  <c r="BE38" i="1"/>
  <c r="BE119" i="1" s="1"/>
  <c r="BF38" i="1"/>
  <c r="BF119" i="1" s="1"/>
  <c r="BG38" i="1"/>
  <c r="BG119" i="1" s="1"/>
  <c r="BH38" i="1"/>
  <c r="BH119" i="1" s="1"/>
  <c r="BI38" i="1"/>
  <c r="BI119" i="1" s="1"/>
  <c r="BJ38" i="1"/>
  <c r="BJ119" i="1" s="1"/>
  <c r="BK38" i="1"/>
  <c r="BK119" i="1" s="1"/>
  <c r="BL38" i="1"/>
  <c r="BL119" i="1" s="1"/>
  <c r="BM38" i="1"/>
  <c r="BM119" i="1" s="1"/>
  <c r="BN38" i="1"/>
  <c r="BN119" i="1" s="1"/>
  <c r="BO38" i="1"/>
  <c r="BO119" i="1" s="1"/>
  <c r="BP38" i="1"/>
  <c r="BP119" i="1" s="1"/>
  <c r="BQ38" i="1"/>
  <c r="BQ119" i="1" s="1"/>
  <c r="BR38" i="1"/>
  <c r="BR119" i="1" s="1"/>
  <c r="BS38" i="1"/>
  <c r="BS119" i="1" s="1"/>
  <c r="AO39" i="1"/>
  <c r="AO120" i="1" s="1"/>
  <c r="AP39" i="1"/>
  <c r="AP120" i="1" s="1"/>
  <c r="AQ39" i="1"/>
  <c r="AQ120" i="1" s="1"/>
  <c r="AR39" i="1"/>
  <c r="AR120" i="1" s="1"/>
  <c r="AS39" i="1"/>
  <c r="AS120" i="1" s="1"/>
  <c r="AT39" i="1"/>
  <c r="AT120" i="1" s="1"/>
  <c r="AU39" i="1"/>
  <c r="AU120" i="1" s="1"/>
  <c r="AV39" i="1"/>
  <c r="AW39" i="1"/>
  <c r="AW120" i="1" s="1"/>
  <c r="AX39" i="1"/>
  <c r="AX120" i="1" s="1"/>
  <c r="AY39" i="1"/>
  <c r="AY120" i="1" s="1"/>
  <c r="AZ39" i="1"/>
  <c r="AZ120" i="1" s="1"/>
  <c r="BA39" i="1"/>
  <c r="BA120" i="1" s="1"/>
  <c r="BB39" i="1"/>
  <c r="BB120" i="1" s="1"/>
  <c r="BC39" i="1"/>
  <c r="BC120" i="1" s="1"/>
  <c r="BD39" i="1"/>
  <c r="BD120" i="1" s="1"/>
  <c r="BE39" i="1"/>
  <c r="BE120" i="1" s="1"/>
  <c r="BF39" i="1"/>
  <c r="BF120" i="1" s="1"/>
  <c r="BG39" i="1"/>
  <c r="BG120" i="1" s="1"/>
  <c r="BH39" i="1"/>
  <c r="BH120" i="1" s="1"/>
  <c r="BI39" i="1"/>
  <c r="BI120" i="1" s="1"/>
  <c r="BJ39" i="1"/>
  <c r="BJ120" i="1" s="1"/>
  <c r="BK39" i="1"/>
  <c r="BK120" i="1" s="1"/>
  <c r="BL39" i="1"/>
  <c r="BL120" i="1" s="1"/>
  <c r="BM39" i="1"/>
  <c r="BM120" i="1" s="1"/>
  <c r="BN39" i="1"/>
  <c r="BN120" i="1" s="1"/>
  <c r="BO39" i="1"/>
  <c r="BO120" i="1" s="1"/>
  <c r="BP39" i="1"/>
  <c r="BP120" i="1" s="1"/>
  <c r="BQ39" i="1"/>
  <c r="BQ120" i="1" s="1"/>
  <c r="BR39" i="1"/>
  <c r="BR120" i="1" s="1"/>
  <c r="BS39" i="1"/>
  <c r="BS120" i="1" s="1"/>
  <c r="AO40" i="1"/>
  <c r="AO121" i="1" s="1"/>
  <c r="AP40" i="1"/>
  <c r="AP121" i="1" s="1"/>
  <c r="AQ40" i="1"/>
  <c r="AQ121" i="1" s="1"/>
  <c r="AR40" i="1"/>
  <c r="AR121" i="1" s="1"/>
  <c r="AS40" i="1"/>
  <c r="AS121" i="1" s="1"/>
  <c r="AT40" i="1"/>
  <c r="AT121" i="1" s="1"/>
  <c r="AU40" i="1"/>
  <c r="AU121" i="1" s="1"/>
  <c r="AV40" i="1"/>
  <c r="AW40" i="1"/>
  <c r="AW121" i="1" s="1"/>
  <c r="AX40" i="1"/>
  <c r="AX121" i="1" s="1"/>
  <c r="AY40" i="1"/>
  <c r="AY121" i="1" s="1"/>
  <c r="AZ40" i="1"/>
  <c r="AZ121" i="1" s="1"/>
  <c r="BA40" i="1"/>
  <c r="BA121" i="1" s="1"/>
  <c r="BB40" i="1"/>
  <c r="BB121" i="1" s="1"/>
  <c r="BC40" i="1"/>
  <c r="BC121" i="1" s="1"/>
  <c r="BD40" i="1"/>
  <c r="BD121" i="1" s="1"/>
  <c r="BE40" i="1"/>
  <c r="BE121" i="1" s="1"/>
  <c r="BF40" i="1"/>
  <c r="BF121" i="1" s="1"/>
  <c r="BG40" i="1"/>
  <c r="BG121" i="1" s="1"/>
  <c r="BH40" i="1"/>
  <c r="BH121" i="1" s="1"/>
  <c r="BI40" i="1"/>
  <c r="BI121" i="1" s="1"/>
  <c r="BJ40" i="1"/>
  <c r="BJ121" i="1" s="1"/>
  <c r="BK40" i="1"/>
  <c r="BK121" i="1" s="1"/>
  <c r="BL40" i="1"/>
  <c r="BL121" i="1" s="1"/>
  <c r="BM40" i="1"/>
  <c r="BM121" i="1" s="1"/>
  <c r="BN40" i="1"/>
  <c r="BN121" i="1" s="1"/>
  <c r="BO40" i="1"/>
  <c r="BO121" i="1" s="1"/>
  <c r="BP40" i="1"/>
  <c r="BP121" i="1" s="1"/>
  <c r="BQ40" i="1"/>
  <c r="BQ121" i="1" s="1"/>
  <c r="BR40" i="1"/>
  <c r="BR121" i="1" s="1"/>
  <c r="BS40" i="1"/>
  <c r="BS121" i="1" s="1"/>
  <c r="AO41" i="1"/>
  <c r="AO122" i="1" s="1"/>
  <c r="AP41" i="1"/>
  <c r="AP122" i="1" s="1"/>
  <c r="AQ41" i="1"/>
  <c r="AQ122" i="1" s="1"/>
  <c r="AR41" i="1"/>
  <c r="AR122" i="1" s="1"/>
  <c r="AS41" i="1"/>
  <c r="AS122" i="1" s="1"/>
  <c r="AT41" i="1"/>
  <c r="AT122" i="1" s="1"/>
  <c r="AU41" i="1"/>
  <c r="AU122" i="1" s="1"/>
  <c r="AV41" i="1"/>
  <c r="AW41" i="1"/>
  <c r="AW122" i="1" s="1"/>
  <c r="AX41" i="1"/>
  <c r="AX122" i="1" s="1"/>
  <c r="AY41" i="1"/>
  <c r="AY122" i="1" s="1"/>
  <c r="AZ41" i="1"/>
  <c r="AZ122" i="1" s="1"/>
  <c r="BA41" i="1"/>
  <c r="BA122" i="1" s="1"/>
  <c r="BB41" i="1"/>
  <c r="BB122" i="1" s="1"/>
  <c r="BC41" i="1"/>
  <c r="BC122" i="1" s="1"/>
  <c r="BD41" i="1"/>
  <c r="BD122" i="1" s="1"/>
  <c r="BE41" i="1"/>
  <c r="BE122" i="1" s="1"/>
  <c r="BF41" i="1"/>
  <c r="BF122" i="1" s="1"/>
  <c r="BG41" i="1"/>
  <c r="BG122" i="1" s="1"/>
  <c r="BH41" i="1"/>
  <c r="BH122" i="1" s="1"/>
  <c r="BI41" i="1"/>
  <c r="BI122" i="1" s="1"/>
  <c r="BJ41" i="1"/>
  <c r="BJ122" i="1" s="1"/>
  <c r="BK41" i="1"/>
  <c r="BK122" i="1" s="1"/>
  <c r="BL41" i="1"/>
  <c r="BL122" i="1" s="1"/>
  <c r="BM41" i="1"/>
  <c r="BM122" i="1" s="1"/>
  <c r="BN41" i="1"/>
  <c r="BN122" i="1" s="1"/>
  <c r="BO41" i="1"/>
  <c r="BO122" i="1" s="1"/>
  <c r="BP41" i="1"/>
  <c r="BP122" i="1" s="1"/>
  <c r="BQ41" i="1"/>
  <c r="BQ122" i="1" s="1"/>
  <c r="BR41" i="1"/>
  <c r="BR122" i="1" s="1"/>
  <c r="BS41" i="1"/>
  <c r="BS122" i="1" s="1"/>
  <c r="AO42" i="1"/>
  <c r="AO123" i="1" s="1"/>
  <c r="AP42" i="1"/>
  <c r="AP123" i="1" s="1"/>
  <c r="AQ42" i="1"/>
  <c r="AQ123" i="1" s="1"/>
  <c r="AR42" i="1"/>
  <c r="AR123" i="1" s="1"/>
  <c r="AS42" i="1"/>
  <c r="AS123" i="1" s="1"/>
  <c r="AT42" i="1"/>
  <c r="AT123" i="1" s="1"/>
  <c r="AU42" i="1"/>
  <c r="AU123" i="1" s="1"/>
  <c r="AV42" i="1"/>
  <c r="AW42" i="1"/>
  <c r="AW123" i="1" s="1"/>
  <c r="AX42" i="1"/>
  <c r="AX123" i="1" s="1"/>
  <c r="AY42" i="1"/>
  <c r="AY123" i="1" s="1"/>
  <c r="AZ42" i="1"/>
  <c r="AZ123" i="1" s="1"/>
  <c r="BA42" i="1"/>
  <c r="BA123" i="1" s="1"/>
  <c r="BB42" i="1"/>
  <c r="BB123" i="1" s="1"/>
  <c r="BC42" i="1"/>
  <c r="BC123" i="1" s="1"/>
  <c r="BD42" i="1"/>
  <c r="BD123" i="1" s="1"/>
  <c r="BE42" i="1"/>
  <c r="BE123" i="1" s="1"/>
  <c r="BF42" i="1"/>
  <c r="BF123" i="1" s="1"/>
  <c r="BG42" i="1"/>
  <c r="BG123" i="1" s="1"/>
  <c r="BH42" i="1"/>
  <c r="BH123" i="1" s="1"/>
  <c r="BI42" i="1"/>
  <c r="BI123" i="1" s="1"/>
  <c r="BJ42" i="1"/>
  <c r="BJ123" i="1" s="1"/>
  <c r="BK42" i="1"/>
  <c r="BK123" i="1" s="1"/>
  <c r="BL42" i="1"/>
  <c r="BL123" i="1" s="1"/>
  <c r="BM42" i="1"/>
  <c r="BM123" i="1" s="1"/>
  <c r="BN42" i="1"/>
  <c r="BN123" i="1" s="1"/>
  <c r="BO42" i="1"/>
  <c r="BO123" i="1" s="1"/>
  <c r="BP42" i="1"/>
  <c r="BP123" i="1" s="1"/>
  <c r="BQ42" i="1"/>
  <c r="BQ123" i="1" s="1"/>
  <c r="BR42" i="1"/>
  <c r="BR123" i="1" s="1"/>
  <c r="BS42" i="1"/>
  <c r="BS123" i="1" s="1"/>
  <c r="AO43" i="1"/>
  <c r="AO124" i="1" s="1"/>
  <c r="AP43" i="1"/>
  <c r="AP124" i="1" s="1"/>
  <c r="AQ43" i="1"/>
  <c r="AQ124" i="1" s="1"/>
  <c r="AR43" i="1"/>
  <c r="AR124" i="1" s="1"/>
  <c r="AS43" i="1"/>
  <c r="AS124" i="1" s="1"/>
  <c r="AT43" i="1"/>
  <c r="AT124" i="1" s="1"/>
  <c r="AU43" i="1"/>
  <c r="AU124" i="1" s="1"/>
  <c r="AV43" i="1"/>
  <c r="AW43" i="1"/>
  <c r="AW124" i="1" s="1"/>
  <c r="AX43" i="1"/>
  <c r="AX124" i="1" s="1"/>
  <c r="AY43" i="1"/>
  <c r="AY124" i="1" s="1"/>
  <c r="AZ43" i="1"/>
  <c r="AZ124" i="1" s="1"/>
  <c r="BA43" i="1"/>
  <c r="BA124" i="1" s="1"/>
  <c r="BB43" i="1"/>
  <c r="BB124" i="1" s="1"/>
  <c r="BC43" i="1"/>
  <c r="BC124" i="1" s="1"/>
  <c r="BD43" i="1"/>
  <c r="BD124" i="1" s="1"/>
  <c r="BE43" i="1"/>
  <c r="BE124" i="1" s="1"/>
  <c r="BF43" i="1"/>
  <c r="BF124" i="1" s="1"/>
  <c r="BG43" i="1"/>
  <c r="BG124" i="1" s="1"/>
  <c r="BH43" i="1"/>
  <c r="BH124" i="1" s="1"/>
  <c r="BI43" i="1"/>
  <c r="BI124" i="1" s="1"/>
  <c r="BJ43" i="1"/>
  <c r="BJ124" i="1" s="1"/>
  <c r="BK43" i="1"/>
  <c r="BK124" i="1" s="1"/>
  <c r="BL43" i="1"/>
  <c r="BL124" i="1" s="1"/>
  <c r="BM43" i="1"/>
  <c r="BM124" i="1" s="1"/>
  <c r="BN43" i="1"/>
  <c r="BN124" i="1" s="1"/>
  <c r="BO43" i="1"/>
  <c r="BO124" i="1" s="1"/>
  <c r="BP43" i="1"/>
  <c r="BP124" i="1" s="1"/>
  <c r="BQ43" i="1"/>
  <c r="BQ124" i="1" s="1"/>
  <c r="BR43" i="1"/>
  <c r="BR124" i="1" s="1"/>
  <c r="BS43" i="1"/>
  <c r="BS124" i="1" s="1"/>
  <c r="AO44" i="1"/>
  <c r="AO125" i="1" s="1"/>
  <c r="AP44" i="1"/>
  <c r="AP125" i="1" s="1"/>
  <c r="AQ44" i="1"/>
  <c r="AQ125" i="1" s="1"/>
  <c r="AR44" i="1"/>
  <c r="AR125" i="1" s="1"/>
  <c r="AS44" i="1"/>
  <c r="AS125" i="1" s="1"/>
  <c r="AT44" i="1"/>
  <c r="AT125" i="1" s="1"/>
  <c r="AU44" i="1"/>
  <c r="AU125" i="1" s="1"/>
  <c r="AV44" i="1"/>
  <c r="AW44" i="1"/>
  <c r="AW125" i="1" s="1"/>
  <c r="AX44" i="1"/>
  <c r="AX125" i="1" s="1"/>
  <c r="AY44" i="1"/>
  <c r="AY125" i="1" s="1"/>
  <c r="AZ44" i="1"/>
  <c r="AZ125" i="1" s="1"/>
  <c r="BA44" i="1"/>
  <c r="BA125" i="1" s="1"/>
  <c r="BB44" i="1"/>
  <c r="BB125" i="1" s="1"/>
  <c r="BC44" i="1"/>
  <c r="BC125" i="1" s="1"/>
  <c r="BD44" i="1"/>
  <c r="BD125" i="1" s="1"/>
  <c r="BE44" i="1"/>
  <c r="BE125" i="1" s="1"/>
  <c r="BF44" i="1"/>
  <c r="BF125" i="1" s="1"/>
  <c r="BG44" i="1"/>
  <c r="BG125" i="1" s="1"/>
  <c r="BH44" i="1"/>
  <c r="BH125" i="1" s="1"/>
  <c r="BI44" i="1"/>
  <c r="BI125" i="1" s="1"/>
  <c r="BJ44" i="1"/>
  <c r="BJ125" i="1" s="1"/>
  <c r="BK44" i="1"/>
  <c r="BK125" i="1" s="1"/>
  <c r="BL44" i="1"/>
  <c r="BL125" i="1" s="1"/>
  <c r="BM44" i="1"/>
  <c r="BM125" i="1" s="1"/>
  <c r="BN44" i="1"/>
  <c r="BN125" i="1" s="1"/>
  <c r="BO44" i="1"/>
  <c r="BO125" i="1" s="1"/>
  <c r="BP44" i="1"/>
  <c r="BP125" i="1" s="1"/>
  <c r="BQ44" i="1"/>
  <c r="BQ125" i="1" s="1"/>
  <c r="BR44" i="1"/>
  <c r="BR125" i="1" s="1"/>
  <c r="BS44" i="1"/>
  <c r="BS125" i="1" s="1"/>
  <c r="AO45" i="1"/>
  <c r="AO126" i="1" s="1"/>
  <c r="AP45" i="1"/>
  <c r="AP126" i="1" s="1"/>
  <c r="AQ45" i="1"/>
  <c r="AQ126" i="1" s="1"/>
  <c r="AR45" i="1"/>
  <c r="AR126" i="1" s="1"/>
  <c r="AS45" i="1"/>
  <c r="AS126" i="1" s="1"/>
  <c r="AT45" i="1"/>
  <c r="AT126" i="1" s="1"/>
  <c r="AU45" i="1"/>
  <c r="AU126" i="1" s="1"/>
  <c r="AV45" i="1"/>
  <c r="AW45" i="1"/>
  <c r="AW126" i="1" s="1"/>
  <c r="AX45" i="1"/>
  <c r="AX126" i="1" s="1"/>
  <c r="AY45" i="1"/>
  <c r="AY126" i="1" s="1"/>
  <c r="AZ45" i="1"/>
  <c r="AZ126" i="1" s="1"/>
  <c r="BA45" i="1"/>
  <c r="BA126" i="1" s="1"/>
  <c r="BB45" i="1"/>
  <c r="BB126" i="1" s="1"/>
  <c r="BC45" i="1"/>
  <c r="BC126" i="1" s="1"/>
  <c r="BD45" i="1"/>
  <c r="BD126" i="1" s="1"/>
  <c r="BE45" i="1"/>
  <c r="BE126" i="1" s="1"/>
  <c r="BF45" i="1"/>
  <c r="BF126" i="1" s="1"/>
  <c r="BG45" i="1"/>
  <c r="BG126" i="1" s="1"/>
  <c r="BH45" i="1"/>
  <c r="BH126" i="1" s="1"/>
  <c r="BI45" i="1"/>
  <c r="BI126" i="1" s="1"/>
  <c r="BJ45" i="1"/>
  <c r="BJ126" i="1" s="1"/>
  <c r="BK45" i="1"/>
  <c r="BK126" i="1" s="1"/>
  <c r="BL45" i="1"/>
  <c r="BL126" i="1" s="1"/>
  <c r="BM45" i="1"/>
  <c r="BM126" i="1" s="1"/>
  <c r="BN45" i="1"/>
  <c r="BN126" i="1" s="1"/>
  <c r="BO45" i="1"/>
  <c r="BO126" i="1" s="1"/>
  <c r="BP45" i="1"/>
  <c r="BP126" i="1" s="1"/>
  <c r="BQ45" i="1"/>
  <c r="BQ126" i="1" s="1"/>
  <c r="BR45" i="1"/>
  <c r="BR126" i="1" s="1"/>
  <c r="BS45" i="1"/>
  <c r="BS126" i="1" s="1"/>
  <c r="AO46" i="1"/>
  <c r="AO127" i="1" s="1"/>
  <c r="AP46" i="1"/>
  <c r="AP127" i="1" s="1"/>
  <c r="AQ46" i="1"/>
  <c r="AQ127" i="1" s="1"/>
  <c r="AR46" i="1"/>
  <c r="AR127" i="1" s="1"/>
  <c r="AS46" i="1"/>
  <c r="AS127" i="1" s="1"/>
  <c r="AT46" i="1"/>
  <c r="AT127" i="1" s="1"/>
  <c r="AU46" i="1"/>
  <c r="AU127" i="1" s="1"/>
  <c r="AV46" i="1"/>
  <c r="AW46" i="1"/>
  <c r="AW127" i="1" s="1"/>
  <c r="AX46" i="1"/>
  <c r="AX127" i="1" s="1"/>
  <c r="AY46" i="1"/>
  <c r="AY127" i="1" s="1"/>
  <c r="AZ46" i="1"/>
  <c r="AZ127" i="1" s="1"/>
  <c r="BA46" i="1"/>
  <c r="BA127" i="1" s="1"/>
  <c r="BB46" i="1"/>
  <c r="BB127" i="1" s="1"/>
  <c r="BC46" i="1"/>
  <c r="BC127" i="1" s="1"/>
  <c r="BD46" i="1"/>
  <c r="BD127" i="1" s="1"/>
  <c r="BE46" i="1"/>
  <c r="BE127" i="1" s="1"/>
  <c r="BF46" i="1"/>
  <c r="BF127" i="1" s="1"/>
  <c r="BG46" i="1"/>
  <c r="BG127" i="1" s="1"/>
  <c r="BH46" i="1"/>
  <c r="BH127" i="1" s="1"/>
  <c r="BI46" i="1"/>
  <c r="BI127" i="1" s="1"/>
  <c r="BJ46" i="1"/>
  <c r="BJ127" i="1" s="1"/>
  <c r="BK46" i="1"/>
  <c r="BK127" i="1" s="1"/>
  <c r="BL46" i="1"/>
  <c r="BL127" i="1" s="1"/>
  <c r="BM46" i="1"/>
  <c r="BM127" i="1" s="1"/>
  <c r="BN46" i="1"/>
  <c r="BN127" i="1" s="1"/>
  <c r="BO46" i="1"/>
  <c r="BO127" i="1" s="1"/>
  <c r="BP46" i="1"/>
  <c r="BP127" i="1" s="1"/>
  <c r="BQ46" i="1"/>
  <c r="BQ127" i="1" s="1"/>
  <c r="BR46" i="1"/>
  <c r="BR127" i="1" s="1"/>
  <c r="BS46" i="1"/>
  <c r="BS127" i="1" s="1"/>
  <c r="AO47" i="1"/>
  <c r="AO128" i="1" s="1"/>
  <c r="AP47" i="1"/>
  <c r="AP128" i="1" s="1"/>
  <c r="AQ47" i="1"/>
  <c r="AQ128" i="1" s="1"/>
  <c r="AR47" i="1"/>
  <c r="AR128" i="1" s="1"/>
  <c r="AS47" i="1"/>
  <c r="AS128" i="1" s="1"/>
  <c r="AT47" i="1"/>
  <c r="AT128" i="1" s="1"/>
  <c r="AU47" i="1"/>
  <c r="AU128" i="1" s="1"/>
  <c r="AV47" i="1"/>
  <c r="AW47" i="1"/>
  <c r="AW128" i="1" s="1"/>
  <c r="AX47" i="1"/>
  <c r="AX128" i="1" s="1"/>
  <c r="AY47" i="1"/>
  <c r="AY128" i="1" s="1"/>
  <c r="AZ47" i="1"/>
  <c r="AZ128" i="1" s="1"/>
  <c r="BA47" i="1"/>
  <c r="BA128" i="1" s="1"/>
  <c r="BB47" i="1"/>
  <c r="BB128" i="1" s="1"/>
  <c r="BC47" i="1"/>
  <c r="BC128" i="1" s="1"/>
  <c r="BD47" i="1"/>
  <c r="BD128" i="1" s="1"/>
  <c r="BE47" i="1"/>
  <c r="BE128" i="1" s="1"/>
  <c r="BF47" i="1"/>
  <c r="BF128" i="1" s="1"/>
  <c r="BG47" i="1"/>
  <c r="BG128" i="1" s="1"/>
  <c r="BH47" i="1"/>
  <c r="BH128" i="1" s="1"/>
  <c r="BI47" i="1"/>
  <c r="BI128" i="1" s="1"/>
  <c r="BJ47" i="1"/>
  <c r="BJ128" i="1" s="1"/>
  <c r="BK47" i="1"/>
  <c r="BK128" i="1" s="1"/>
  <c r="BL47" i="1"/>
  <c r="BL128" i="1" s="1"/>
  <c r="BM47" i="1"/>
  <c r="BM128" i="1" s="1"/>
  <c r="BN47" i="1"/>
  <c r="BN128" i="1" s="1"/>
  <c r="BO47" i="1"/>
  <c r="BO128" i="1" s="1"/>
  <c r="BP47" i="1"/>
  <c r="BP128" i="1" s="1"/>
  <c r="BQ47" i="1"/>
  <c r="BQ128" i="1" s="1"/>
  <c r="BR47" i="1"/>
  <c r="BR128" i="1" s="1"/>
  <c r="BS47" i="1"/>
  <c r="BS128" i="1" s="1"/>
  <c r="AO48" i="1"/>
  <c r="AO129" i="1" s="1"/>
  <c r="AP48" i="1"/>
  <c r="AP129" i="1" s="1"/>
  <c r="AQ48" i="1"/>
  <c r="AQ129" i="1" s="1"/>
  <c r="AR48" i="1"/>
  <c r="AR129" i="1" s="1"/>
  <c r="AS48" i="1"/>
  <c r="AS129" i="1" s="1"/>
  <c r="AT48" i="1"/>
  <c r="AT129" i="1" s="1"/>
  <c r="AU48" i="1"/>
  <c r="AU129" i="1" s="1"/>
  <c r="AV48" i="1"/>
  <c r="AW48" i="1"/>
  <c r="AW129" i="1" s="1"/>
  <c r="AX48" i="1"/>
  <c r="AX129" i="1" s="1"/>
  <c r="AY48" i="1"/>
  <c r="AY129" i="1" s="1"/>
  <c r="AZ48" i="1"/>
  <c r="AZ129" i="1" s="1"/>
  <c r="BA48" i="1"/>
  <c r="BA129" i="1" s="1"/>
  <c r="BB48" i="1"/>
  <c r="BB129" i="1" s="1"/>
  <c r="BC48" i="1"/>
  <c r="BC129" i="1" s="1"/>
  <c r="BD48" i="1"/>
  <c r="BD129" i="1" s="1"/>
  <c r="BE48" i="1"/>
  <c r="BE129" i="1" s="1"/>
  <c r="BF48" i="1"/>
  <c r="BF129" i="1" s="1"/>
  <c r="BG48" i="1"/>
  <c r="BG129" i="1" s="1"/>
  <c r="BH48" i="1"/>
  <c r="BH129" i="1" s="1"/>
  <c r="BI48" i="1"/>
  <c r="BI129" i="1" s="1"/>
  <c r="BJ48" i="1"/>
  <c r="BJ129" i="1" s="1"/>
  <c r="BK48" i="1"/>
  <c r="BK129" i="1" s="1"/>
  <c r="BL48" i="1"/>
  <c r="BL129" i="1" s="1"/>
  <c r="BM48" i="1"/>
  <c r="BM129" i="1" s="1"/>
  <c r="BN48" i="1"/>
  <c r="BN129" i="1" s="1"/>
  <c r="BO48" i="1"/>
  <c r="BO129" i="1" s="1"/>
  <c r="BP48" i="1"/>
  <c r="BP129" i="1" s="1"/>
  <c r="BQ48" i="1"/>
  <c r="BQ129" i="1" s="1"/>
  <c r="BR48" i="1"/>
  <c r="BR129" i="1" s="1"/>
  <c r="BS48" i="1"/>
  <c r="BS129" i="1" s="1"/>
  <c r="AO49" i="1"/>
  <c r="AO130" i="1" s="1"/>
  <c r="AP49" i="1"/>
  <c r="AP130" i="1" s="1"/>
  <c r="AQ49" i="1"/>
  <c r="AQ130" i="1" s="1"/>
  <c r="AR49" i="1"/>
  <c r="AR130" i="1" s="1"/>
  <c r="AS49" i="1"/>
  <c r="AS130" i="1" s="1"/>
  <c r="AT49" i="1"/>
  <c r="AT130" i="1" s="1"/>
  <c r="AU49" i="1"/>
  <c r="AU130" i="1" s="1"/>
  <c r="AV49" i="1"/>
  <c r="AW49" i="1"/>
  <c r="AW130" i="1" s="1"/>
  <c r="AX49" i="1"/>
  <c r="AX130" i="1" s="1"/>
  <c r="AY49" i="1"/>
  <c r="AY130" i="1" s="1"/>
  <c r="AZ49" i="1"/>
  <c r="AZ130" i="1" s="1"/>
  <c r="BA49" i="1"/>
  <c r="BA130" i="1" s="1"/>
  <c r="BB49" i="1"/>
  <c r="BB130" i="1" s="1"/>
  <c r="BC49" i="1"/>
  <c r="BC130" i="1" s="1"/>
  <c r="BD49" i="1"/>
  <c r="BD130" i="1" s="1"/>
  <c r="BE49" i="1"/>
  <c r="BE130" i="1" s="1"/>
  <c r="BF49" i="1"/>
  <c r="BF130" i="1" s="1"/>
  <c r="BG49" i="1"/>
  <c r="BG130" i="1" s="1"/>
  <c r="BH49" i="1"/>
  <c r="BH130" i="1" s="1"/>
  <c r="BI49" i="1"/>
  <c r="BI130" i="1" s="1"/>
  <c r="BJ49" i="1"/>
  <c r="BJ130" i="1" s="1"/>
  <c r="BK49" i="1"/>
  <c r="BK130" i="1" s="1"/>
  <c r="BL49" i="1"/>
  <c r="BL130" i="1" s="1"/>
  <c r="BM49" i="1"/>
  <c r="BM130" i="1" s="1"/>
  <c r="BN49" i="1"/>
  <c r="BN130" i="1" s="1"/>
  <c r="BO49" i="1"/>
  <c r="BO130" i="1" s="1"/>
  <c r="BP49" i="1"/>
  <c r="BP130" i="1" s="1"/>
  <c r="BQ49" i="1"/>
  <c r="BQ130" i="1" s="1"/>
  <c r="BR49" i="1"/>
  <c r="BR130" i="1" s="1"/>
  <c r="BS49" i="1"/>
  <c r="BS130" i="1" s="1"/>
  <c r="AO50" i="1"/>
  <c r="AO131" i="1" s="1"/>
  <c r="AP50" i="1"/>
  <c r="AP131" i="1" s="1"/>
  <c r="AQ50" i="1"/>
  <c r="AQ131" i="1" s="1"/>
  <c r="AR50" i="1"/>
  <c r="AR131" i="1" s="1"/>
  <c r="AS50" i="1"/>
  <c r="AS131" i="1" s="1"/>
  <c r="AT50" i="1"/>
  <c r="AT131" i="1" s="1"/>
  <c r="AU50" i="1"/>
  <c r="AU131" i="1" s="1"/>
  <c r="AV50" i="1"/>
  <c r="AW50" i="1"/>
  <c r="AW131" i="1" s="1"/>
  <c r="AX50" i="1"/>
  <c r="AX131" i="1" s="1"/>
  <c r="AY50" i="1"/>
  <c r="AY131" i="1" s="1"/>
  <c r="AZ50" i="1"/>
  <c r="AZ131" i="1" s="1"/>
  <c r="BA50" i="1"/>
  <c r="BA131" i="1" s="1"/>
  <c r="BB50" i="1"/>
  <c r="BB131" i="1" s="1"/>
  <c r="BC50" i="1"/>
  <c r="BC131" i="1" s="1"/>
  <c r="BD50" i="1"/>
  <c r="BD131" i="1" s="1"/>
  <c r="BE50" i="1"/>
  <c r="BE131" i="1" s="1"/>
  <c r="BF50" i="1"/>
  <c r="BF131" i="1" s="1"/>
  <c r="BG50" i="1"/>
  <c r="BG131" i="1" s="1"/>
  <c r="BH50" i="1"/>
  <c r="BH131" i="1" s="1"/>
  <c r="BI50" i="1"/>
  <c r="BI131" i="1" s="1"/>
  <c r="BJ50" i="1"/>
  <c r="BJ131" i="1" s="1"/>
  <c r="BK50" i="1"/>
  <c r="BK131" i="1" s="1"/>
  <c r="BL50" i="1"/>
  <c r="BL131" i="1" s="1"/>
  <c r="BM50" i="1"/>
  <c r="BM131" i="1" s="1"/>
  <c r="BN50" i="1"/>
  <c r="BN131" i="1" s="1"/>
  <c r="BO50" i="1"/>
  <c r="BO131" i="1" s="1"/>
  <c r="BP50" i="1"/>
  <c r="BP131" i="1" s="1"/>
  <c r="BQ50" i="1"/>
  <c r="BQ131" i="1" s="1"/>
  <c r="BR50" i="1"/>
  <c r="BR131" i="1" s="1"/>
  <c r="BS50" i="1"/>
  <c r="BS131" i="1" s="1"/>
  <c r="AO51" i="1"/>
  <c r="AO132" i="1" s="1"/>
  <c r="AP51" i="1"/>
  <c r="AP132" i="1" s="1"/>
  <c r="AQ51" i="1"/>
  <c r="AQ132" i="1" s="1"/>
  <c r="AR51" i="1"/>
  <c r="AR132" i="1" s="1"/>
  <c r="AS51" i="1"/>
  <c r="AS132" i="1" s="1"/>
  <c r="AT51" i="1"/>
  <c r="AT132" i="1" s="1"/>
  <c r="AU51" i="1"/>
  <c r="AU132" i="1" s="1"/>
  <c r="AV51" i="1"/>
  <c r="AW51" i="1"/>
  <c r="AW132" i="1" s="1"/>
  <c r="AX51" i="1"/>
  <c r="AX132" i="1" s="1"/>
  <c r="AY51" i="1"/>
  <c r="AY132" i="1" s="1"/>
  <c r="AZ51" i="1"/>
  <c r="AZ132" i="1" s="1"/>
  <c r="BA51" i="1"/>
  <c r="BA132" i="1" s="1"/>
  <c r="BB51" i="1"/>
  <c r="BB132" i="1" s="1"/>
  <c r="BC51" i="1"/>
  <c r="BC132" i="1" s="1"/>
  <c r="BD51" i="1"/>
  <c r="BD132" i="1" s="1"/>
  <c r="BE51" i="1"/>
  <c r="BE132" i="1" s="1"/>
  <c r="BF51" i="1"/>
  <c r="BF132" i="1" s="1"/>
  <c r="BG51" i="1"/>
  <c r="BG132" i="1" s="1"/>
  <c r="BH51" i="1"/>
  <c r="BH132" i="1" s="1"/>
  <c r="BI51" i="1"/>
  <c r="BI132" i="1" s="1"/>
  <c r="BJ51" i="1"/>
  <c r="BJ132" i="1" s="1"/>
  <c r="BK51" i="1"/>
  <c r="BK132" i="1" s="1"/>
  <c r="BL51" i="1"/>
  <c r="BL132" i="1" s="1"/>
  <c r="BM51" i="1"/>
  <c r="BM132" i="1" s="1"/>
  <c r="BN51" i="1"/>
  <c r="BN132" i="1" s="1"/>
  <c r="BO51" i="1"/>
  <c r="BO132" i="1" s="1"/>
  <c r="BP51" i="1"/>
  <c r="BP132" i="1" s="1"/>
  <c r="BQ51" i="1"/>
  <c r="BQ132" i="1" s="1"/>
  <c r="BR51" i="1"/>
  <c r="BR132" i="1" s="1"/>
  <c r="BS51" i="1"/>
  <c r="BS132" i="1" s="1"/>
  <c r="AO52" i="1"/>
  <c r="AO133" i="1" s="1"/>
  <c r="AP52" i="1"/>
  <c r="AP133" i="1" s="1"/>
  <c r="AQ52" i="1"/>
  <c r="AQ133" i="1" s="1"/>
  <c r="AR52" i="1"/>
  <c r="AR133" i="1" s="1"/>
  <c r="AS52" i="1"/>
  <c r="AS133" i="1" s="1"/>
  <c r="AT52" i="1"/>
  <c r="AT133" i="1" s="1"/>
  <c r="AU52" i="1"/>
  <c r="AU133" i="1" s="1"/>
  <c r="AV52" i="1"/>
  <c r="AW52" i="1"/>
  <c r="AW133" i="1" s="1"/>
  <c r="AX52" i="1"/>
  <c r="AX133" i="1" s="1"/>
  <c r="AY52" i="1"/>
  <c r="AY133" i="1" s="1"/>
  <c r="AZ52" i="1"/>
  <c r="AZ133" i="1" s="1"/>
  <c r="BA52" i="1"/>
  <c r="BA133" i="1" s="1"/>
  <c r="BB52" i="1"/>
  <c r="BB133" i="1" s="1"/>
  <c r="BC52" i="1"/>
  <c r="BC133" i="1" s="1"/>
  <c r="BD52" i="1"/>
  <c r="BD133" i="1" s="1"/>
  <c r="BE52" i="1"/>
  <c r="BE133" i="1" s="1"/>
  <c r="BF52" i="1"/>
  <c r="BF133" i="1" s="1"/>
  <c r="BG52" i="1"/>
  <c r="BG133" i="1" s="1"/>
  <c r="BH52" i="1"/>
  <c r="BH133" i="1" s="1"/>
  <c r="BI52" i="1"/>
  <c r="BI133" i="1" s="1"/>
  <c r="BJ52" i="1"/>
  <c r="BJ133" i="1" s="1"/>
  <c r="BK52" i="1"/>
  <c r="BK133" i="1" s="1"/>
  <c r="BL52" i="1"/>
  <c r="BL133" i="1" s="1"/>
  <c r="BM52" i="1"/>
  <c r="BM133" i="1" s="1"/>
  <c r="BN52" i="1"/>
  <c r="BN133" i="1" s="1"/>
  <c r="BO52" i="1"/>
  <c r="BO133" i="1" s="1"/>
  <c r="BP52" i="1"/>
  <c r="BP133" i="1" s="1"/>
  <c r="BQ52" i="1"/>
  <c r="BQ133" i="1" s="1"/>
  <c r="BR52" i="1"/>
  <c r="BR133" i="1" s="1"/>
  <c r="BS52" i="1"/>
  <c r="BS133" i="1" s="1"/>
  <c r="AO53" i="1"/>
  <c r="AO134" i="1" s="1"/>
  <c r="AP53" i="1"/>
  <c r="AP134" i="1" s="1"/>
  <c r="AQ53" i="1"/>
  <c r="AQ134" i="1" s="1"/>
  <c r="AR53" i="1"/>
  <c r="AR134" i="1" s="1"/>
  <c r="AS53" i="1"/>
  <c r="AS134" i="1" s="1"/>
  <c r="AT53" i="1"/>
  <c r="AT134" i="1" s="1"/>
  <c r="AU53" i="1"/>
  <c r="AU134" i="1" s="1"/>
  <c r="AV53" i="1"/>
  <c r="AW53" i="1"/>
  <c r="AW134" i="1" s="1"/>
  <c r="AX53" i="1"/>
  <c r="AX134" i="1" s="1"/>
  <c r="AY53" i="1"/>
  <c r="AY134" i="1" s="1"/>
  <c r="AZ53" i="1"/>
  <c r="AZ134" i="1" s="1"/>
  <c r="BA53" i="1"/>
  <c r="BA134" i="1" s="1"/>
  <c r="BB53" i="1"/>
  <c r="BB134" i="1" s="1"/>
  <c r="BC53" i="1"/>
  <c r="BC134" i="1" s="1"/>
  <c r="BD53" i="1"/>
  <c r="BD134" i="1" s="1"/>
  <c r="BE53" i="1"/>
  <c r="BE134" i="1" s="1"/>
  <c r="BF53" i="1"/>
  <c r="BF134" i="1" s="1"/>
  <c r="BG53" i="1"/>
  <c r="BG134" i="1" s="1"/>
  <c r="BH53" i="1"/>
  <c r="BH134" i="1" s="1"/>
  <c r="BI53" i="1"/>
  <c r="BI134" i="1" s="1"/>
  <c r="BJ53" i="1"/>
  <c r="BJ134" i="1" s="1"/>
  <c r="BK53" i="1"/>
  <c r="BK134" i="1" s="1"/>
  <c r="BL53" i="1"/>
  <c r="BL134" i="1" s="1"/>
  <c r="BM53" i="1"/>
  <c r="BM134" i="1" s="1"/>
  <c r="BN53" i="1"/>
  <c r="BN134" i="1" s="1"/>
  <c r="BO53" i="1"/>
  <c r="BO134" i="1" s="1"/>
  <c r="BP53" i="1"/>
  <c r="BP134" i="1" s="1"/>
  <c r="BQ53" i="1"/>
  <c r="BQ134" i="1" s="1"/>
  <c r="BR53" i="1"/>
  <c r="BR134" i="1" s="1"/>
  <c r="BS53" i="1"/>
  <c r="BS134" i="1" s="1"/>
  <c r="AO54" i="1"/>
  <c r="AO135" i="1" s="1"/>
  <c r="AP54" i="1"/>
  <c r="AP135" i="1" s="1"/>
  <c r="AQ54" i="1"/>
  <c r="AQ135" i="1" s="1"/>
  <c r="AR54" i="1"/>
  <c r="AR135" i="1" s="1"/>
  <c r="AS54" i="1"/>
  <c r="AS135" i="1" s="1"/>
  <c r="AT54" i="1"/>
  <c r="AT135" i="1" s="1"/>
  <c r="AU54" i="1"/>
  <c r="AU135" i="1" s="1"/>
  <c r="AV54" i="1"/>
  <c r="AW54" i="1"/>
  <c r="AW135" i="1" s="1"/>
  <c r="AX54" i="1"/>
  <c r="AX135" i="1" s="1"/>
  <c r="AY54" i="1"/>
  <c r="AY135" i="1" s="1"/>
  <c r="AZ54" i="1"/>
  <c r="AZ135" i="1" s="1"/>
  <c r="BA54" i="1"/>
  <c r="BA135" i="1" s="1"/>
  <c r="BB54" i="1"/>
  <c r="BB135" i="1" s="1"/>
  <c r="BC54" i="1"/>
  <c r="BC135" i="1" s="1"/>
  <c r="BD54" i="1"/>
  <c r="BD135" i="1" s="1"/>
  <c r="BE54" i="1"/>
  <c r="BE135" i="1" s="1"/>
  <c r="BF54" i="1"/>
  <c r="BF135" i="1" s="1"/>
  <c r="BG54" i="1"/>
  <c r="BG135" i="1" s="1"/>
  <c r="BH54" i="1"/>
  <c r="BH135" i="1" s="1"/>
  <c r="BI54" i="1"/>
  <c r="BI135" i="1" s="1"/>
  <c r="BJ54" i="1"/>
  <c r="BJ135" i="1" s="1"/>
  <c r="BK54" i="1"/>
  <c r="BK135" i="1" s="1"/>
  <c r="BL54" i="1"/>
  <c r="BL135" i="1" s="1"/>
  <c r="BM54" i="1"/>
  <c r="BM135" i="1" s="1"/>
  <c r="BN54" i="1"/>
  <c r="BN135" i="1" s="1"/>
  <c r="BO54" i="1"/>
  <c r="BO135" i="1" s="1"/>
  <c r="BP54" i="1"/>
  <c r="BP135" i="1" s="1"/>
  <c r="BQ54" i="1"/>
  <c r="BQ135" i="1" s="1"/>
  <c r="BR54" i="1"/>
  <c r="BR135" i="1" s="1"/>
  <c r="BS54" i="1"/>
  <c r="BS135" i="1" s="1"/>
  <c r="AO55" i="1"/>
  <c r="AO136" i="1" s="1"/>
  <c r="AP55" i="1"/>
  <c r="AP136" i="1" s="1"/>
  <c r="AQ55" i="1"/>
  <c r="AQ136" i="1" s="1"/>
  <c r="AR55" i="1"/>
  <c r="AR136" i="1" s="1"/>
  <c r="AS55" i="1"/>
  <c r="AS136" i="1" s="1"/>
  <c r="AT55" i="1"/>
  <c r="AT136" i="1" s="1"/>
  <c r="AU55" i="1"/>
  <c r="AU136" i="1" s="1"/>
  <c r="AV55" i="1"/>
  <c r="AW55" i="1"/>
  <c r="AW136" i="1" s="1"/>
  <c r="AX55" i="1"/>
  <c r="AX136" i="1" s="1"/>
  <c r="AY55" i="1"/>
  <c r="AY136" i="1" s="1"/>
  <c r="AZ55" i="1"/>
  <c r="AZ136" i="1" s="1"/>
  <c r="BA55" i="1"/>
  <c r="BA136" i="1" s="1"/>
  <c r="BB55" i="1"/>
  <c r="BB136" i="1" s="1"/>
  <c r="BC55" i="1"/>
  <c r="BC136" i="1" s="1"/>
  <c r="BD55" i="1"/>
  <c r="BD136" i="1" s="1"/>
  <c r="BE55" i="1"/>
  <c r="BE136" i="1" s="1"/>
  <c r="BF55" i="1"/>
  <c r="BF136" i="1" s="1"/>
  <c r="BG55" i="1"/>
  <c r="BG136" i="1" s="1"/>
  <c r="BH55" i="1"/>
  <c r="BH136" i="1" s="1"/>
  <c r="BI55" i="1"/>
  <c r="BI136" i="1" s="1"/>
  <c r="BJ55" i="1"/>
  <c r="BJ136" i="1" s="1"/>
  <c r="BK55" i="1"/>
  <c r="BK136" i="1" s="1"/>
  <c r="BL55" i="1"/>
  <c r="BL136" i="1" s="1"/>
  <c r="BM55" i="1"/>
  <c r="BM136" i="1" s="1"/>
  <c r="BN55" i="1"/>
  <c r="BN136" i="1" s="1"/>
  <c r="BO55" i="1"/>
  <c r="BO136" i="1" s="1"/>
  <c r="BP55" i="1"/>
  <c r="BP136" i="1" s="1"/>
  <c r="BQ55" i="1"/>
  <c r="BQ136" i="1" s="1"/>
  <c r="BR55" i="1"/>
  <c r="BR136" i="1" s="1"/>
  <c r="BS55" i="1"/>
  <c r="BS136" i="1" s="1"/>
  <c r="AO56" i="1"/>
  <c r="AO137" i="1" s="1"/>
  <c r="AP56" i="1"/>
  <c r="AP137" i="1" s="1"/>
  <c r="AQ56" i="1"/>
  <c r="AQ137" i="1" s="1"/>
  <c r="AR56" i="1"/>
  <c r="AR137" i="1" s="1"/>
  <c r="AS56" i="1"/>
  <c r="AS137" i="1" s="1"/>
  <c r="AT56" i="1"/>
  <c r="AT137" i="1" s="1"/>
  <c r="AU56" i="1"/>
  <c r="AU137" i="1" s="1"/>
  <c r="AV56" i="1"/>
  <c r="AW56" i="1"/>
  <c r="AW137" i="1" s="1"/>
  <c r="AX56" i="1"/>
  <c r="AX137" i="1" s="1"/>
  <c r="AY56" i="1"/>
  <c r="AY137" i="1" s="1"/>
  <c r="AZ56" i="1"/>
  <c r="AZ137" i="1" s="1"/>
  <c r="BA56" i="1"/>
  <c r="BA137" i="1" s="1"/>
  <c r="BB56" i="1"/>
  <c r="BB137" i="1" s="1"/>
  <c r="BC56" i="1"/>
  <c r="BC137" i="1" s="1"/>
  <c r="BD56" i="1"/>
  <c r="BD137" i="1" s="1"/>
  <c r="BE56" i="1"/>
  <c r="BE137" i="1" s="1"/>
  <c r="BF56" i="1"/>
  <c r="BF137" i="1" s="1"/>
  <c r="BG56" i="1"/>
  <c r="BG137" i="1" s="1"/>
  <c r="BH56" i="1"/>
  <c r="BH137" i="1" s="1"/>
  <c r="BI56" i="1"/>
  <c r="BI137" i="1" s="1"/>
  <c r="BJ56" i="1"/>
  <c r="BJ137" i="1" s="1"/>
  <c r="BK56" i="1"/>
  <c r="BK137" i="1" s="1"/>
  <c r="BL56" i="1"/>
  <c r="BL137" i="1" s="1"/>
  <c r="BM56" i="1"/>
  <c r="BM137" i="1" s="1"/>
  <c r="BN56" i="1"/>
  <c r="BN137" i="1" s="1"/>
  <c r="BO56" i="1"/>
  <c r="BO137" i="1" s="1"/>
  <c r="BP56" i="1"/>
  <c r="BP137" i="1" s="1"/>
  <c r="BQ56" i="1"/>
  <c r="BQ137" i="1" s="1"/>
  <c r="BR56" i="1"/>
  <c r="BR137" i="1" s="1"/>
  <c r="BS56" i="1"/>
  <c r="BS137" i="1" s="1"/>
  <c r="AO57" i="1"/>
  <c r="AO138" i="1" s="1"/>
  <c r="AP57" i="1"/>
  <c r="AP138" i="1" s="1"/>
  <c r="AQ57" i="1"/>
  <c r="AQ138" i="1" s="1"/>
  <c r="AR57" i="1"/>
  <c r="AR138" i="1" s="1"/>
  <c r="AS57" i="1"/>
  <c r="AS138" i="1" s="1"/>
  <c r="AT57" i="1"/>
  <c r="AT138" i="1" s="1"/>
  <c r="AU57" i="1"/>
  <c r="AU138" i="1" s="1"/>
  <c r="AV57" i="1"/>
  <c r="AW57" i="1"/>
  <c r="AW138" i="1" s="1"/>
  <c r="AX57" i="1"/>
  <c r="AX138" i="1" s="1"/>
  <c r="AY57" i="1"/>
  <c r="AY138" i="1" s="1"/>
  <c r="AZ57" i="1"/>
  <c r="AZ138" i="1" s="1"/>
  <c r="BA57" i="1"/>
  <c r="BA138" i="1" s="1"/>
  <c r="BB57" i="1"/>
  <c r="BB138" i="1" s="1"/>
  <c r="BC57" i="1"/>
  <c r="BC138" i="1" s="1"/>
  <c r="BD57" i="1"/>
  <c r="BD138" i="1" s="1"/>
  <c r="BE57" i="1"/>
  <c r="BE138" i="1" s="1"/>
  <c r="BF57" i="1"/>
  <c r="BF138" i="1" s="1"/>
  <c r="BG57" i="1"/>
  <c r="BG138" i="1" s="1"/>
  <c r="BH57" i="1"/>
  <c r="BH138" i="1" s="1"/>
  <c r="BI57" i="1"/>
  <c r="BI138" i="1" s="1"/>
  <c r="BJ57" i="1"/>
  <c r="BJ138" i="1" s="1"/>
  <c r="BK57" i="1"/>
  <c r="BK138" i="1" s="1"/>
  <c r="BL57" i="1"/>
  <c r="BL138" i="1" s="1"/>
  <c r="BM57" i="1"/>
  <c r="BM138" i="1" s="1"/>
  <c r="BN57" i="1"/>
  <c r="BN138" i="1" s="1"/>
  <c r="BO57" i="1"/>
  <c r="BO138" i="1" s="1"/>
  <c r="BP57" i="1"/>
  <c r="BP138" i="1" s="1"/>
  <c r="BQ57" i="1"/>
  <c r="BQ138" i="1" s="1"/>
  <c r="BR57" i="1"/>
  <c r="BR138" i="1" s="1"/>
  <c r="BS57" i="1"/>
  <c r="BS138" i="1" s="1"/>
  <c r="AO58" i="1"/>
  <c r="AO139" i="1" s="1"/>
  <c r="AP58" i="1"/>
  <c r="AP139" i="1" s="1"/>
  <c r="AQ58" i="1"/>
  <c r="AQ139" i="1" s="1"/>
  <c r="AR58" i="1"/>
  <c r="AR139" i="1" s="1"/>
  <c r="AS58" i="1"/>
  <c r="AS139" i="1" s="1"/>
  <c r="AT58" i="1"/>
  <c r="AT139" i="1" s="1"/>
  <c r="AU58" i="1"/>
  <c r="AU139" i="1" s="1"/>
  <c r="AV58" i="1"/>
  <c r="AW58" i="1"/>
  <c r="AW139" i="1" s="1"/>
  <c r="AX58" i="1"/>
  <c r="AX139" i="1" s="1"/>
  <c r="AY58" i="1"/>
  <c r="AY139" i="1" s="1"/>
  <c r="AZ58" i="1"/>
  <c r="AZ139" i="1" s="1"/>
  <c r="BA58" i="1"/>
  <c r="BA139" i="1" s="1"/>
  <c r="BB58" i="1"/>
  <c r="BB139" i="1" s="1"/>
  <c r="BC58" i="1"/>
  <c r="BC139" i="1" s="1"/>
  <c r="BD58" i="1"/>
  <c r="BD139" i="1" s="1"/>
  <c r="BE58" i="1"/>
  <c r="BE139" i="1" s="1"/>
  <c r="BF58" i="1"/>
  <c r="BF139" i="1" s="1"/>
  <c r="BG58" i="1"/>
  <c r="BG139" i="1" s="1"/>
  <c r="BH58" i="1"/>
  <c r="BH139" i="1" s="1"/>
  <c r="BI58" i="1"/>
  <c r="BI139" i="1" s="1"/>
  <c r="BJ58" i="1"/>
  <c r="BJ139" i="1" s="1"/>
  <c r="BK58" i="1"/>
  <c r="BK139" i="1" s="1"/>
  <c r="BL58" i="1"/>
  <c r="BL139" i="1" s="1"/>
  <c r="BM58" i="1"/>
  <c r="BM139" i="1" s="1"/>
  <c r="BN58" i="1"/>
  <c r="BN139" i="1" s="1"/>
  <c r="BO58" i="1"/>
  <c r="BO139" i="1" s="1"/>
  <c r="BP58" i="1"/>
  <c r="BP139" i="1" s="1"/>
  <c r="BQ58" i="1"/>
  <c r="BQ139" i="1" s="1"/>
  <c r="BR58" i="1"/>
  <c r="BR139" i="1" s="1"/>
  <c r="BS58" i="1"/>
  <c r="BS139" i="1" s="1"/>
  <c r="AO59" i="1"/>
  <c r="AO140" i="1" s="1"/>
  <c r="AP59" i="1"/>
  <c r="AP140" i="1" s="1"/>
  <c r="AQ59" i="1"/>
  <c r="AQ140" i="1" s="1"/>
  <c r="AR59" i="1"/>
  <c r="AR140" i="1" s="1"/>
  <c r="AS59" i="1"/>
  <c r="AS140" i="1" s="1"/>
  <c r="AT59" i="1"/>
  <c r="AT140" i="1" s="1"/>
  <c r="AU59" i="1"/>
  <c r="AU140" i="1" s="1"/>
  <c r="AV59" i="1"/>
  <c r="AW59" i="1"/>
  <c r="AW140" i="1" s="1"/>
  <c r="AX59" i="1"/>
  <c r="AX140" i="1" s="1"/>
  <c r="AY59" i="1"/>
  <c r="AY140" i="1" s="1"/>
  <c r="AZ59" i="1"/>
  <c r="AZ140" i="1" s="1"/>
  <c r="BA59" i="1"/>
  <c r="BA140" i="1" s="1"/>
  <c r="BB59" i="1"/>
  <c r="BB140" i="1" s="1"/>
  <c r="BC59" i="1"/>
  <c r="BC140" i="1" s="1"/>
  <c r="BD59" i="1"/>
  <c r="BD140" i="1" s="1"/>
  <c r="BE59" i="1"/>
  <c r="BE140" i="1" s="1"/>
  <c r="BF59" i="1"/>
  <c r="BF140" i="1" s="1"/>
  <c r="BG59" i="1"/>
  <c r="BG140" i="1" s="1"/>
  <c r="BH59" i="1"/>
  <c r="BH140" i="1" s="1"/>
  <c r="BI59" i="1"/>
  <c r="BI140" i="1" s="1"/>
  <c r="BJ59" i="1"/>
  <c r="BJ140" i="1" s="1"/>
  <c r="BK59" i="1"/>
  <c r="BK140" i="1" s="1"/>
  <c r="BL59" i="1"/>
  <c r="BL140" i="1" s="1"/>
  <c r="BM59" i="1"/>
  <c r="BM140" i="1" s="1"/>
  <c r="BN59" i="1"/>
  <c r="BN140" i="1" s="1"/>
  <c r="BO59" i="1"/>
  <c r="BO140" i="1" s="1"/>
  <c r="BP59" i="1"/>
  <c r="BP140" i="1" s="1"/>
  <c r="BQ59" i="1"/>
  <c r="BQ140" i="1" s="1"/>
  <c r="BR59" i="1"/>
  <c r="BR140" i="1" s="1"/>
  <c r="BS59" i="1"/>
  <c r="BS140" i="1" s="1"/>
  <c r="AO60" i="1"/>
  <c r="AO141" i="1" s="1"/>
  <c r="AP60" i="1"/>
  <c r="AP141" i="1" s="1"/>
  <c r="AQ60" i="1"/>
  <c r="AQ141" i="1" s="1"/>
  <c r="AR60" i="1"/>
  <c r="AR141" i="1" s="1"/>
  <c r="AS60" i="1"/>
  <c r="AS141" i="1" s="1"/>
  <c r="AT60" i="1"/>
  <c r="AT141" i="1" s="1"/>
  <c r="AU60" i="1"/>
  <c r="AU141" i="1" s="1"/>
  <c r="AV60" i="1"/>
  <c r="AW60" i="1"/>
  <c r="AW141" i="1" s="1"/>
  <c r="AX60" i="1"/>
  <c r="AX141" i="1" s="1"/>
  <c r="AY60" i="1"/>
  <c r="AY141" i="1" s="1"/>
  <c r="AZ60" i="1"/>
  <c r="AZ141" i="1" s="1"/>
  <c r="BA60" i="1"/>
  <c r="BA141" i="1" s="1"/>
  <c r="BB60" i="1"/>
  <c r="BB141" i="1" s="1"/>
  <c r="BC60" i="1"/>
  <c r="BC141" i="1" s="1"/>
  <c r="BD60" i="1"/>
  <c r="BD141" i="1" s="1"/>
  <c r="BE60" i="1"/>
  <c r="BE141" i="1" s="1"/>
  <c r="BF60" i="1"/>
  <c r="BF141" i="1" s="1"/>
  <c r="BG60" i="1"/>
  <c r="BG141" i="1" s="1"/>
  <c r="BH60" i="1"/>
  <c r="BH141" i="1" s="1"/>
  <c r="BI60" i="1"/>
  <c r="BI141" i="1" s="1"/>
  <c r="BJ60" i="1"/>
  <c r="BJ141" i="1" s="1"/>
  <c r="BK60" i="1"/>
  <c r="BK141" i="1" s="1"/>
  <c r="BL60" i="1"/>
  <c r="BL141" i="1" s="1"/>
  <c r="BM60" i="1"/>
  <c r="BM141" i="1" s="1"/>
  <c r="BN60" i="1"/>
  <c r="BN141" i="1" s="1"/>
  <c r="BO60" i="1"/>
  <c r="BO141" i="1" s="1"/>
  <c r="BP60" i="1"/>
  <c r="BP141" i="1" s="1"/>
  <c r="BQ60" i="1"/>
  <c r="BQ141" i="1" s="1"/>
  <c r="BR60" i="1"/>
  <c r="BR141" i="1" s="1"/>
  <c r="BS60" i="1"/>
  <c r="BS141" i="1" s="1"/>
  <c r="AO2" i="1"/>
  <c r="AO83" i="1" s="1"/>
  <c r="AP2" i="1"/>
  <c r="AP83" i="1" s="1"/>
  <c r="AQ2" i="1"/>
  <c r="AQ83" i="1" s="1"/>
  <c r="AR2" i="1"/>
  <c r="AR83" i="1" s="1"/>
  <c r="AS2" i="1"/>
  <c r="AS83" i="1" s="1"/>
  <c r="AT2" i="1"/>
  <c r="AT83" i="1" s="1"/>
  <c r="AU2" i="1"/>
  <c r="AU83" i="1" s="1"/>
  <c r="AV2" i="1"/>
  <c r="AW2" i="1"/>
  <c r="AW83" i="1" s="1"/>
  <c r="AX2" i="1"/>
  <c r="AX83" i="1" s="1"/>
  <c r="AY2" i="1"/>
  <c r="AY83" i="1" s="1"/>
  <c r="AZ2" i="1"/>
  <c r="AZ83" i="1" s="1"/>
  <c r="BA2" i="1"/>
  <c r="BA83" i="1" s="1"/>
  <c r="BB2" i="1"/>
  <c r="BB83" i="1" s="1"/>
  <c r="BC2" i="1"/>
  <c r="BC83" i="1" s="1"/>
  <c r="BD2" i="1"/>
  <c r="BD83" i="1" s="1"/>
  <c r="BE2" i="1"/>
  <c r="BE83" i="1" s="1"/>
  <c r="BF2" i="1"/>
  <c r="BF83" i="1" s="1"/>
  <c r="BG2" i="1"/>
  <c r="BG83" i="1" s="1"/>
  <c r="BH2" i="1"/>
  <c r="BH83" i="1" s="1"/>
  <c r="BI2" i="1"/>
  <c r="BI83" i="1" s="1"/>
  <c r="BJ2" i="1"/>
  <c r="BJ83" i="1" s="1"/>
  <c r="BK2" i="1"/>
  <c r="BK83" i="1" s="1"/>
  <c r="BL2" i="1"/>
  <c r="BL83" i="1" s="1"/>
  <c r="BM2" i="1"/>
  <c r="BM83" i="1" s="1"/>
  <c r="BN2" i="1"/>
  <c r="BN83" i="1" s="1"/>
  <c r="BO2" i="1"/>
  <c r="BO83" i="1" s="1"/>
  <c r="BP2" i="1"/>
  <c r="BP83" i="1" s="1"/>
  <c r="BQ2" i="1"/>
  <c r="BQ83" i="1" s="1"/>
  <c r="BR2" i="1"/>
  <c r="BR83" i="1" s="1"/>
  <c r="BS2" i="1"/>
  <c r="BS83" i="1" s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J32" i="1"/>
  <c r="K32" i="1"/>
  <c r="K113" i="1" s="1"/>
  <c r="L32" i="1"/>
  <c r="L113" i="1" s="1"/>
  <c r="M32" i="1"/>
  <c r="M113" i="1" s="1"/>
  <c r="N32" i="1"/>
  <c r="N113" i="1" s="1"/>
  <c r="O32" i="1"/>
  <c r="O113" i="1" s="1"/>
  <c r="P32" i="1"/>
  <c r="P113" i="1" s="1"/>
  <c r="Q32" i="1"/>
  <c r="Q113" i="1" s="1"/>
  <c r="R32" i="1"/>
  <c r="S32" i="1"/>
  <c r="S113" i="1" s="1"/>
  <c r="T32" i="1"/>
  <c r="T113" i="1" s="1"/>
  <c r="U32" i="1"/>
  <c r="U113" i="1" s="1"/>
  <c r="V32" i="1"/>
  <c r="V113" i="1" s="1"/>
  <c r="W32" i="1"/>
  <c r="W113" i="1" s="1"/>
  <c r="X32" i="1"/>
  <c r="X113" i="1" s="1"/>
  <c r="Y32" i="1"/>
  <c r="Z32" i="1"/>
  <c r="Z113" i="1" s="1"/>
  <c r="AA32" i="1"/>
  <c r="AA113" i="1" s="1"/>
  <c r="AB32" i="1"/>
  <c r="AB113" i="1" s="1"/>
  <c r="AC32" i="1"/>
  <c r="AC113" i="1" s="1"/>
  <c r="AD32" i="1"/>
  <c r="AD113" i="1" s="1"/>
  <c r="AE32" i="1"/>
  <c r="AE113" i="1" s="1"/>
  <c r="AF32" i="1"/>
  <c r="AG32" i="1"/>
  <c r="AG113" i="1" s="1"/>
  <c r="AH32" i="1"/>
  <c r="AH113" i="1" s="1"/>
  <c r="AI32" i="1"/>
  <c r="AI113" i="1" s="1"/>
  <c r="AJ32" i="1"/>
  <c r="AJ113" i="1" s="1"/>
  <c r="AK32" i="1"/>
  <c r="AK113" i="1" s="1"/>
  <c r="AL32" i="1"/>
  <c r="AL113" i="1" s="1"/>
  <c r="AM32" i="1"/>
  <c r="AM113" i="1" s="1"/>
  <c r="AN32" i="1"/>
  <c r="AN113" i="1" s="1"/>
  <c r="A83" i="1"/>
  <c r="Q3" i="1"/>
  <c r="Q84" i="1" s="1"/>
  <c r="Q4" i="1"/>
  <c r="Q85" i="1" s="1"/>
  <c r="Q5" i="1"/>
  <c r="Q86" i="1" s="1"/>
  <c r="Q6" i="1"/>
  <c r="Q87" i="1" s="1"/>
  <c r="Q7" i="1"/>
  <c r="Q88" i="1" s="1"/>
  <c r="Q8" i="1"/>
  <c r="Q89" i="1" s="1"/>
  <c r="Q9" i="1"/>
  <c r="Q90" i="1" s="1"/>
  <c r="Q10" i="1"/>
  <c r="Q91" i="1" s="1"/>
  <c r="Q11" i="1"/>
  <c r="Q92" i="1" s="1"/>
  <c r="Q12" i="1"/>
  <c r="Q93" i="1" s="1"/>
  <c r="Q13" i="1"/>
  <c r="Q94" i="1" s="1"/>
  <c r="Q14" i="1"/>
  <c r="Q95" i="1" s="1"/>
  <c r="Q15" i="1"/>
  <c r="Q96" i="1" s="1"/>
  <c r="Q16" i="1"/>
  <c r="Q97" i="1" s="1"/>
  <c r="Q17" i="1"/>
  <c r="Q98" i="1" s="1"/>
  <c r="Q18" i="1"/>
  <c r="Q99" i="1" s="1"/>
  <c r="Q19" i="1"/>
  <c r="Q100" i="1" s="1"/>
  <c r="Q20" i="1"/>
  <c r="Q101" i="1" s="1"/>
  <c r="Q21" i="1"/>
  <c r="Q102" i="1" s="1"/>
  <c r="Q22" i="1"/>
  <c r="Q103" i="1" s="1"/>
  <c r="Q23" i="1"/>
  <c r="Q104" i="1" s="1"/>
  <c r="Q24" i="1"/>
  <c r="Q105" i="1" s="1"/>
  <c r="Q25" i="1"/>
  <c r="Q106" i="1" s="1"/>
  <c r="Q26" i="1"/>
  <c r="Q107" i="1" s="1"/>
  <c r="Q27" i="1"/>
  <c r="Q108" i="1" s="1"/>
  <c r="Q28" i="1"/>
  <c r="Q109" i="1" s="1"/>
  <c r="Q29" i="1"/>
  <c r="Q110" i="1" s="1"/>
  <c r="Q30" i="1"/>
  <c r="Q111" i="1" s="1"/>
  <c r="Q31" i="1"/>
  <c r="Q112" i="1" s="1"/>
  <c r="Q33" i="1"/>
  <c r="Q114" i="1" s="1"/>
  <c r="Q34" i="1"/>
  <c r="Q115" i="1" s="1"/>
  <c r="Q35" i="1"/>
  <c r="Q116" i="1" s="1"/>
  <c r="Q36" i="1"/>
  <c r="Q117" i="1" s="1"/>
  <c r="Q37" i="1"/>
  <c r="Q118" i="1" s="1"/>
  <c r="Q38" i="1"/>
  <c r="Q119" i="1" s="1"/>
  <c r="Q39" i="1"/>
  <c r="Q120" i="1" s="1"/>
  <c r="Q40" i="1"/>
  <c r="Q121" i="1" s="1"/>
  <c r="Q41" i="1"/>
  <c r="Q122" i="1" s="1"/>
  <c r="Q42" i="1"/>
  <c r="Q123" i="1" s="1"/>
  <c r="Q43" i="1"/>
  <c r="Q124" i="1" s="1"/>
  <c r="Q44" i="1"/>
  <c r="Q125" i="1" s="1"/>
  <c r="Q45" i="1"/>
  <c r="Q126" i="1" s="1"/>
  <c r="Q46" i="1"/>
  <c r="Q127" i="1" s="1"/>
  <c r="Q47" i="1"/>
  <c r="Q128" i="1" s="1"/>
  <c r="Q48" i="1"/>
  <c r="Q129" i="1" s="1"/>
  <c r="Q49" i="1"/>
  <c r="Q130" i="1" s="1"/>
  <c r="Q50" i="1"/>
  <c r="Q131" i="1" s="1"/>
  <c r="Q51" i="1"/>
  <c r="Q132" i="1" s="1"/>
  <c r="Q52" i="1"/>
  <c r="Q133" i="1" s="1"/>
  <c r="Q53" i="1"/>
  <c r="Q134" i="1" s="1"/>
  <c r="Q54" i="1"/>
  <c r="Q135" i="1" s="1"/>
  <c r="Q55" i="1"/>
  <c r="Q136" i="1" s="1"/>
  <c r="Q56" i="1"/>
  <c r="Q137" i="1" s="1"/>
  <c r="Q57" i="1"/>
  <c r="Q138" i="1" s="1"/>
  <c r="Q58" i="1"/>
  <c r="Q139" i="1" s="1"/>
  <c r="Q59" i="1"/>
  <c r="Q140" i="1" s="1"/>
  <c r="Q60" i="1"/>
  <c r="Q141" i="1" s="1"/>
  <c r="Q2" i="1"/>
  <c r="Q83" i="1" s="1"/>
  <c r="P2" i="1"/>
  <c r="P83" i="1" s="1"/>
  <c r="AN60" i="1"/>
  <c r="AN141" i="1" s="1"/>
  <c r="AM60" i="1"/>
  <c r="AM141" i="1" s="1"/>
  <c r="AL60" i="1"/>
  <c r="AL141" i="1" s="1"/>
  <c r="AK60" i="1"/>
  <c r="AK141" i="1" s="1"/>
  <c r="AJ60" i="1"/>
  <c r="AJ141" i="1" s="1"/>
  <c r="AI60" i="1"/>
  <c r="AI141" i="1" s="1"/>
  <c r="AH60" i="1"/>
  <c r="AH141" i="1" s="1"/>
  <c r="AG60" i="1"/>
  <c r="AG141" i="1" s="1"/>
  <c r="AF60" i="1"/>
  <c r="AN59" i="1"/>
  <c r="AN140" i="1" s="1"/>
  <c r="AM59" i="1"/>
  <c r="AM140" i="1" s="1"/>
  <c r="AL59" i="1"/>
  <c r="AL140" i="1" s="1"/>
  <c r="AK59" i="1"/>
  <c r="AK140" i="1" s="1"/>
  <c r="AJ59" i="1"/>
  <c r="AJ140" i="1" s="1"/>
  <c r="AI59" i="1"/>
  <c r="AI140" i="1" s="1"/>
  <c r="AH59" i="1"/>
  <c r="AH140" i="1" s="1"/>
  <c r="AG59" i="1"/>
  <c r="AG140" i="1" s="1"/>
  <c r="AF59" i="1"/>
  <c r="AN58" i="1"/>
  <c r="AN139" i="1" s="1"/>
  <c r="AM58" i="1"/>
  <c r="AM139" i="1" s="1"/>
  <c r="AL58" i="1"/>
  <c r="AL139" i="1" s="1"/>
  <c r="AK58" i="1"/>
  <c r="AK139" i="1" s="1"/>
  <c r="AJ58" i="1"/>
  <c r="AJ139" i="1" s="1"/>
  <c r="AI58" i="1"/>
  <c r="AI139" i="1" s="1"/>
  <c r="AH58" i="1"/>
  <c r="AH139" i="1" s="1"/>
  <c r="AG58" i="1"/>
  <c r="AG139" i="1" s="1"/>
  <c r="AF58" i="1"/>
  <c r="AN57" i="1"/>
  <c r="AN138" i="1" s="1"/>
  <c r="AM57" i="1"/>
  <c r="AM138" i="1" s="1"/>
  <c r="AL57" i="1"/>
  <c r="AL138" i="1" s="1"/>
  <c r="AK57" i="1"/>
  <c r="AK138" i="1" s="1"/>
  <c r="AJ57" i="1"/>
  <c r="AJ138" i="1" s="1"/>
  <c r="AI57" i="1"/>
  <c r="AI138" i="1" s="1"/>
  <c r="AH57" i="1"/>
  <c r="AH138" i="1" s="1"/>
  <c r="AG57" i="1"/>
  <c r="AG138" i="1" s="1"/>
  <c r="AF57" i="1"/>
  <c r="AN56" i="1"/>
  <c r="AN137" i="1" s="1"/>
  <c r="AM56" i="1"/>
  <c r="AM137" i="1" s="1"/>
  <c r="AL56" i="1"/>
  <c r="AL137" i="1" s="1"/>
  <c r="AK56" i="1"/>
  <c r="AK137" i="1" s="1"/>
  <c r="AJ56" i="1"/>
  <c r="AJ137" i="1" s="1"/>
  <c r="AI56" i="1"/>
  <c r="AI137" i="1" s="1"/>
  <c r="AH56" i="1"/>
  <c r="AH137" i="1" s="1"/>
  <c r="AG56" i="1"/>
  <c r="AG137" i="1" s="1"/>
  <c r="AF56" i="1"/>
  <c r="AN55" i="1"/>
  <c r="AN136" i="1" s="1"/>
  <c r="AM55" i="1"/>
  <c r="AM136" i="1" s="1"/>
  <c r="AL55" i="1"/>
  <c r="AL136" i="1" s="1"/>
  <c r="AK55" i="1"/>
  <c r="AK136" i="1" s="1"/>
  <c r="AJ55" i="1"/>
  <c r="AJ136" i="1" s="1"/>
  <c r="AI55" i="1"/>
  <c r="AI136" i="1" s="1"/>
  <c r="AH55" i="1"/>
  <c r="AH136" i="1" s="1"/>
  <c r="AG55" i="1"/>
  <c r="AG136" i="1" s="1"/>
  <c r="AF55" i="1"/>
  <c r="AN54" i="1"/>
  <c r="AN135" i="1" s="1"/>
  <c r="AM54" i="1"/>
  <c r="AM135" i="1" s="1"/>
  <c r="AL54" i="1"/>
  <c r="AL135" i="1" s="1"/>
  <c r="AK54" i="1"/>
  <c r="AK135" i="1" s="1"/>
  <c r="AJ54" i="1"/>
  <c r="AJ135" i="1" s="1"/>
  <c r="AI54" i="1"/>
  <c r="AI135" i="1" s="1"/>
  <c r="AH54" i="1"/>
  <c r="AH135" i="1" s="1"/>
  <c r="AG54" i="1"/>
  <c r="AG135" i="1" s="1"/>
  <c r="AF54" i="1"/>
  <c r="AN53" i="1"/>
  <c r="AN134" i="1" s="1"/>
  <c r="AM53" i="1"/>
  <c r="AM134" i="1" s="1"/>
  <c r="AL53" i="1"/>
  <c r="AL134" i="1" s="1"/>
  <c r="AK53" i="1"/>
  <c r="AK134" i="1" s="1"/>
  <c r="AJ53" i="1"/>
  <c r="AJ134" i="1" s="1"/>
  <c r="AI53" i="1"/>
  <c r="AI134" i="1" s="1"/>
  <c r="AH53" i="1"/>
  <c r="AH134" i="1" s="1"/>
  <c r="AG53" i="1"/>
  <c r="AG134" i="1" s="1"/>
  <c r="AF53" i="1"/>
  <c r="AN52" i="1"/>
  <c r="AN133" i="1" s="1"/>
  <c r="AM52" i="1"/>
  <c r="AM133" i="1" s="1"/>
  <c r="AL52" i="1"/>
  <c r="AL133" i="1" s="1"/>
  <c r="AK52" i="1"/>
  <c r="AK133" i="1" s="1"/>
  <c r="AJ52" i="1"/>
  <c r="AJ133" i="1" s="1"/>
  <c r="AI52" i="1"/>
  <c r="AI133" i="1" s="1"/>
  <c r="AH52" i="1"/>
  <c r="AH133" i="1" s="1"/>
  <c r="AG52" i="1"/>
  <c r="AG133" i="1" s="1"/>
  <c r="AF52" i="1"/>
  <c r="AN51" i="1"/>
  <c r="AN132" i="1" s="1"/>
  <c r="AM51" i="1"/>
  <c r="AM132" i="1" s="1"/>
  <c r="AL51" i="1"/>
  <c r="AL132" i="1" s="1"/>
  <c r="AK51" i="1"/>
  <c r="AK132" i="1" s="1"/>
  <c r="AJ51" i="1"/>
  <c r="AJ132" i="1" s="1"/>
  <c r="AI51" i="1"/>
  <c r="AI132" i="1" s="1"/>
  <c r="AH51" i="1"/>
  <c r="AH132" i="1" s="1"/>
  <c r="AG51" i="1"/>
  <c r="AG132" i="1" s="1"/>
  <c r="AF51" i="1"/>
  <c r="AN50" i="1"/>
  <c r="AN131" i="1" s="1"/>
  <c r="AM50" i="1"/>
  <c r="AM131" i="1" s="1"/>
  <c r="AL50" i="1"/>
  <c r="AL131" i="1" s="1"/>
  <c r="AK50" i="1"/>
  <c r="AK131" i="1" s="1"/>
  <c r="AJ50" i="1"/>
  <c r="AJ131" i="1" s="1"/>
  <c r="AI50" i="1"/>
  <c r="AI131" i="1" s="1"/>
  <c r="AH50" i="1"/>
  <c r="AH131" i="1" s="1"/>
  <c r="AG50" i="1"/>
  <c r="AG131" i="1" s="1"/>
  <c r="AF50" i="1"/>
  <c r="AN49" i="1"/>
  <c r="AN130" i="1" s="1"/>
  <c r="AM49" i="1"/>
  <c r="AM130" i="1" s="1"/>
  <c r="AL49" i="1"/>
  <c r="AL130" i="1" s="1"/>
  <c r="AK49" i="1"/>
  <c r="AK130" i="1" s="1"/>
  <c r="AJ49" i="1"/>
  <c r="AJ130" i="1" s="1"/>
  <c r="AI49" i="1"/>
  <c r="AI130" i="1" s="1"/>
  <c r="AH49" i="1"/>
  <c r="AH130" i="1" s="1"/>
  <c r="AG49" i="1"/>
  <c r="AG130" i="1" s="1"/>
  <c r="AF49" i="1"/>
  <c r="AN48" i="1"/>
  <c r="AN129" i="1" s="1"/>
  <c r="AM48" i="1"/>
  <c r="AM129" i="1" s="1"/>
  <c r="AL48" i="1"/>
  <c r="AL129" i="1" s="1"/>
  <c r="AK48" i="1"/>
  <c r="AK129" i="1" s="1"/>
  <c r="AJ48" i="1"/>
  <c r="AJ129" i="1" s="1"/>
  <c r="AI48" i="1"/>
  <c r="AI129" i="1" s="1"/>
  <c r="AH48" i="1"/>
  <c r="AH129" i="1" s="1"/>
  <c r="AG48" i="1"/>
  <c r="AG129" i="1" s="1"/>
  <c r="AF48" i="1"/>
  <c r="AN47" i="1"/>
  <c r="AN128" i="1" s="1"/>
  <c r="AM47" i="1"/>
  <c r="AM128" i="1" s="1"/>
  <c r="AL47" i="1"/>
  <c r="AL128" i="1" s="1"/>
  <c r="AK47" i="1"/>
  <c r="AK128" i="1" s="1"/>
  <c r="AJ47" i="1"/>
  <c r="AJ128" i="1" s="1"/>
  <c r="AI47" i="1"/>
  <c r="AI128" i="1" s="1"/>
  <c r="AH47" i="1"/>
  <c r="AH128" i="1" s="1"/>
  <c r="AG47" i="1"/>
  <c r="AG128" i="1" s="1"/>
  <c r="AF47" i="1"/>
  <c r="AN46" i="1"/>
  <c r="AN127" i="1" s="1"/>
  <c r="AM46" i="1"/>
  <c r="AM127" i="1" s="1"/>
  <c r="AL46" i="1"/>
  <c r="AL127" i="1" s="1"/>
  <c r="AK46" i="1"/>
  <c r="AK127" i="1" s="1"/>
  <c r="AJ46" i="1"/>
  <c r="AJ127" i="1" s="1"/>
  <c r="AI46" i="1"/>
  <c r="AI127" i="1" s="1"/>
  <c r="AH46" i="1"/>
  <c r="AH127" i="1" s="1"/>
  <c r="AG46" i="1"/>
  <c r="AG127" i="1" s="1"/>
  <c r="AF46" i="1"/>
  <c r="AN45" i="1"/>
  <c r="AN126" i="1" s="1"/>
  <c r="AM45" i="1"/>
  <c r="AM126" i="1" s="1"/>
  <c r="AL45" i="1"/>
  <c r="AL126" i="1" s="1"/>
  <c r="AK45" i="1"/>
  <c r="AK126" i="1" s="1"/>
  <c r="AJ45" i="1"/>
  <c r="AJ126" i="1" s="1"/>
  <c r="AI45" i="1"/>
  <c r="AI126" i="1" s="1"/>
  <c r="AH45" i="1"/>
  <c r="AH126" i="1" s="1"/>
  <c r="AG45" i="1"/>
  <c r="AG126" i="1" s="1"/>
  <c r="AF45" i="1"/>
  <c r="AN44" i="1"/>
  <c r="AN125" i="1" s="1"/>
  <c r="AM44" i="1"/>
  <c r="AM125" i="1" s="1"/>
  <c r="AL44" i="1"/>
  <c r="AL125" i="1" s="1"/>
  <c r="AK44" i="1"/>
  <c r="AK125" i="1" s="1"/>
  <c r="AJ44" i="1"/>
  <c r="AJ125" i="1" s="1"/>
  <c r="AI44" i="1"/>
  <c r="AI125" i="1" s="1"/>
  <c r="AH44" i="1"/>
  <c r="AH125" i="1" s="1"/>
  <c r="AG44" i="1"/>
  <c r="AG125" i="1" s="1"/>
  <c r="AF44" i="1"/>
  <c r="AN43" i="1"/>
  <c r="AN124" i="1" s="1"/>
  <c r="AM43" i="1"/>
  <c r="AM124" i="1" s="1"/>
  <c r="AL43" i="1"/>
  <c r="AL124" i="1" s="1"/>
  <c r="AK43" i="1"/>
  <c r="AK124" i="1" s="1"/>
  <c r="AJ43" i="1"/>
  <c r="AJ124" i="1" s="1"/>
  <c r="AI43" i="1"/>
  <c r="AI124" i="1" s="1"/>
  <c r="AH43" i="1"/>
  <c r="AH124" i="1" s="1"/>
  <c r="AG43" i="1"/>
  <c r="AG124" i="1" s="1"/>
  <c r="AF43" i="1"/>
  <c r="AN42" i="1"/>
  <c r="AN123" i="1" s="1"/>
  <c r="AM42" i="1"/>
  <c r="AM123" i="1" s="1"/>
  <c r="AL42" i="1"/>
  <c r="AL123" i="1" s="1"/>
  <c r="AK42" i="1"/>
  <c r="AK123" i="1" s="1"/>
  <c r="AJ42" i="1"/>
  <c r="AJ123" i="1" s="1"/>
  <c r="AI42" i="1"/>
  <c r="AI123" i="1" s="1"/>
  <c r="AH42" i="1"/>
  <c r="AH123" i="1" s="1"/>
  <c r="AG42" i="1"/>
  <c r="AG123" i="1" s="1"/>
  <c r="AF42" i="1"/>
  <c r="AN41" i="1"/>
  <c r="AN122" i="1" s="1"/>
  <c r="AM41" i="1"/>
  <c r="AM122" i="1" s="1"/>
  <c r="AL41" i="1"/>
  <c r="AL122" i="1" s="1"/>
  <c r="AK41" i="1"/>
  <c r="AK122" i="1" s="1"/>
  <c r="AJ41" i="1"/>
  <c r="AJ122" i="1" s="1"/>
  <c r="AI41" i="1"/>
  <c r="AI122" i="1" s="1"/>
  <c r="AH41" i="1"/>
  <c r="AH122" i="1" s="1"/>
  <c r="AG41" i="1"/>
  <c r="AG122" i="1" s="1"/>
  <c r="AF41" i="1"/>
  <c r="AN40" i="1"/>
  <c r="AN121" i="1" s="1"/>
  <c r="AM40" i="1"/>
  <c r="AM121" i="1" s="1"/>
  <c r="AL40" i="1"/>
  <c r="AL121" i="1" s="1"/>
  <c r="AK40" i="1"/>
  <c r="AK121" i="1" s="1"/>
  <c r="AJ40" i="1"/>
  <c r="AJ121" i="1" s="1"/>
  <c r="AI40" i="1"/>
  <c r="AI121" i="1" s="1"/>
  <c r="AH40" i="1"/>
  <c r="AH121" i="1" s="1"/>
  <c r="AG40" i="1"/>
  <c r="AG121" i="1" s="1"/>
  <c r="AF40" i="1"/>
  <c r="AN39" i="1"/>
  <c r="AN120" i="1" s="1"/>
  <c r="AM39" i="1"/>
  <c r="AM120" i="1" s="1"/>
  <c r="AL39" i="1"/>
  <c r="AL120" i="1" s="1"/>
  <c r="AK39" i="1"/>
  <c r="AK120" i="1" s="1"/>
  <c r="AJ39" i="1"/>
  <c r="AJ120" i="1" s="1"/>
  <c r="AI39" i="1"/>
  <c r="AI120" i="1" s="1"/>
  <c r="AH39" i="1"/>
  <c r="AH120" i="1" s="1"/>
  <c r="AG39" i="1"/>
  <c r="AG120" i="1" s="1"/>
  <c r="AF39" i="1"/>
  <c r="AN38" i="1"/>
  <c r="AN119" i="1" s="1"/>
  <c r="AM38" i="1"/>
  <c r="AM119" i="1" s="1"/>
  <c r="AL38" i="1"/>
  <c r="AL119" i="1" s="1"/>
  <c r="AK38" i="1"/>
  <c r="AK119" i="1" s="1"/>
  <c r="AJ38" i="1"/>
  <c r="AJ119" i="1" s="1"/>
  <c r="AI38" i="1"/>
  <c r="AI119" i="1" s="1"/>
  <c r="AH38" i="1"/>
  <c r="AH119" i="1" s="1"/>
  <c r="AG38" i="1"/>
  <c r="AG119" i="1" s="1"/>
  <c r="AF38" i="1"/>
  <c r="AN37" i="1"/>
  <c r="AN118" i="1" s="1"/>
  <c r="AM37" i="1"/>
  <c r="AM118" i="1" s="1"/>
  <c r="AL37" i="1"/>
  <c r="AL118" i="1" s="1"/>
  <c r="AK37" i="1"/>
  <c r="AK118" i="1" s="1"/>
  <c r="AJ37" i="1"/>
  <c r="AJ118" i="1" s="1"/>
  <c r="AI37" i="1"/>
  <c r="AI118" i="1" s="1"/>
  <c r="AH37" i="1"/>
  <c r="AH118" i="1" s="1"/>
  <c r="AG37" i="1"/>
  <c r="AG118" i="1" s="1"/>
  <c r="AF37" i="1"/>
  <c r="AN36" i="1"/>
  <c r="AN117" i="1" s="1"/>
  <c r="AM36" i="1"/>
  <c r="AM117" i="1" s="1"/>
  <c r="AL36" i="1"/>
  <c r="AL117" i="1" s="1"/>
  <c r="AK36" i="1"/>
  <c r="AK117" i="1" s="1"/>
  <c r="AJ36" i="1"/>
  <c r="AJ117" i="1" s="1"/>
  <c r="AI36" i="1"/>
  <c r="AI117" i="1" s="1"/>
  <c r="AH36" i="1"/>
  <c r="AH117" i="1" s="1"/>
  <c r="AG36" i="1"/>
  <c r="AG117" i="1" s="1"/>
  <c r="AF36" i="1"/>
  <c r="AN35" i="1"/>
  <c r="AN116" i="1" s="1"/>
  <c r="AM35" i="1"/>
  <c r="AM116" i="1" s="1"/>
  <c r="AL35" i="1"/>
  <c r="AL116" i="1" s="1"/>
  <c r="AK35" i="1"/>
  <c r="AK116" i="1" s="1"/>
  <c r="AJ35" i="1"/>
  <c r="AJ116" i="1" s="1"/>
  <c r="AI35" i="1"/>
  <c r="AI116" i="1" s="1"/>
  <c r="AH35" i="1"/>
  <c r="AH116" i="1" s="1"/>
  <c r="AG35" i="1"/>
  <c r="AG116" i="1" s="1"/>
  <c r="AF35" i="1"/>
  <c r="AN34" i="1"/>
  <c r="AN115" i="1" s="1"/>
  <c r="AM34" i="1"/>
  <c r="AM115" i="1" s="1"/>
  <c r="AL34" i="1"/>
  <c r="AL115" i="1" s="1"/>
  <c r="AK34" i="1"/>
  <c r="AK115" i="1" s="1"/>
  <c r="AJ34" i="1"/>
  <c r="AJ115" i="1" s="1"/>
  <c r="AI34" i="1"/>
  <c r="AI115" i="1" s="1"/>
  <c r="AH34" i="1"/>
  <c r="AH115" i="1" s="1"/>
  <c r="AG34" i="1"/>
  <c r="AG115" i="1" s="1"/>
  <c r="AF34" i="1"/>
  <c r="AN33" i="1"/>
  <c r="AN114" i="1" s="1"/>
  <c r="AM33" i="1"/>
  <c r="AM114" i="1" s="1"/>
  <c r="AL33" i="1"/>
  <c r="AL114" i="1" s="1"/>
  <c r="AK33" i="1"/>
  <c r="AK114" i="1" s="1"/>
  <c r="AJ33" i="1"/>
  <c r="AJ114" i="1" s="1"/>
  <c r="AI33" i="1"/>
  <c r="AI114" i="1" s="1"/>
  <c r="AH33" i="1"/>
  <c r="AH114" i="1" s="1"/>
  <c r="AG33" i="1"/>
  <c r="AG114" i="1" s="1"/>
  <c r="AF33" i="1"/>
  <c r="AN31" i="1"/>
  <c r="AN112" i="1" s="1"/>
  <c r="AM31" i="1"/>
  <c r="AM112" i="1" s="1"/>
  <c r="AL31" i="1"/>
  <c r="AL112" i="1" s="1"/>
  <c r="AK31" i="1"/>
  <c r="AK112" i="1" s="1"/>
  <c r="AJ31" i="1"/>
  <c r="AJ112" i="1" s="1"/>
  <c r="AI31" i="1"/>
  <c r="AI112" i="1" s="1"/>
  <c r="AH31" i="1"/>
  <c r="AH112" i="1" s="1"/>
  <c r="AG31" i="1"/>
  <c r="AG112" i="1" s="1"/>
  <c r="AF31" i="1"/>
  <c r="AN30" i="1"/>
  <c r="AN111" i="1" s="1"/>
  <c r="AM30" i="1"/>
  <c r="AM111" i="1" s="1"/>
  <c r="AL30" i="1"/>
  <c r="AL111" i="1" s="1"/>
  <c r="AK30" i="1"/>
  <c r="AK111" i="1" s="1"/>
  <c r="AJ30" i="1"/>
  <c r="AJ111" i="1" s="1"/>
  <c r="AI30" i="1"/>
  <c r="AI111" i="1" s="1"/>
  <c r="AH30" i="1"/>
  <c r="AH111" i="1" s="1"/>
  <c r="AG30" i="1"/>
  <c r="AG111" i="1" s="1"/>
  <c r="AF30" i="1"/>
  <c r="AN29" i="1"/>
  <c r="AN110" i="1" s="1"/>
  <c r="AM29" i="1"/>
  <c r="AM110" i="1" s="1"/>
  <c r="AL29" i="1"/>
  <c r="AL110" i="1" s="1"/>
  <c r="AK29" i="1"/>
  <c r="AK110" i="1" s="1"/>
  <c r="AJ29" i="1"/>
  <c r="AJ110" i="1" s="1"/>
  <c r="AI29" i="1"/>
  <c r="AI110" i="1" s="1"/>
  <c r="AH29" i="1"/>
  <c r="AH110" i="1" s="1"/>
  <c r="AG29" i="1"/>
  <c r="AG110" i="1" s="1"/>
  <c r="AF29" i="1"/>
  <c r="AN28" i="1"/>
  <c r="AN109" i="1" s="1"/>
  <c r="AM28" i="1"/>
  <c r="AM109" i="1" s="1"/>
  <c r="AL28" i="1"/>
  <c r="AL109" i="1" s="1"/>
  <c r="AK28" i="1"/>
  <c r="AK109" i="1" s="1"/>
  <c r="AJ28" i="1"/>
  <c r="AJ109" i="1" s="1"/>
  <c r="AI28" i="1"/>
  <c r="AI109" i="1" s="1"/>
  <c r="AH28" i="1"/>
  <c r="AH109" i="1" s="1"/>
  <c r="AG28" i="1"/>
  <c r="AG109" i="1" s="1"/>
  <c r="AF28" i="1"/>
  <c r="AN27" i="1"/>
  <c r="AN108" i="1" s="1"/>
  <c r="AM27" i="1"/>
  <c r="AM108" i="1" s="1"/>
  <c r="AL27" i="1"/>
  <c r="AL108" i="1" s="1"/>
  <c r="AK27" i="1"/>
  <c r="AK108" i="1" s="1"/>
  <c r="AJ27" i="1"/>
  <c r="AJ108" i="1" s="1"/>
  <c r="AI27" i="1"/>
  <c r="AI108" i="1" s="1"/>
  <c r="AH27" i="1"/>
  <c r="AH108" i="1" s="1"/>
  <c r="AG27" i="1"/>
  <c r="AG108" i="1" s="1"/>
  <c r="AF27" i="1"/>
  <c r="AN26" i="1"/>
  <c r="AN107" i="1" s="1"/>
  <c r="AM26" i="1"/>
  <c r="AM107" i="1" s="1"/>
  <c r="AL26" i="1"/>
  <c r="AL107" i="1" s="1"/>
  <c r="AK26" i="1"/>
  <c r="AK107" i="1" s="1"/>
  <c r="AJ26" i="1"/>
  <c r="AJ107" i="1" s="1"/>
  <c r="AI26" i="1"/>
  <c r="AI107" i="1" s="1"/>
  <c r="AH26" i="1"/>
  <c r="AH107" i="1" s="1"/>
  <c r="AG26" i="1"/>
  <c r="AG107" i="1" s="1"/>
  <c r="AF26" i="1"/>
  <c r="AN25" i="1"/>
  <c r="AN106" i="1" s="1"/>
  <c r="AM25" i="1"/>
  <c r="AM106" i="1" s="1"/>
  <c r="AL25" i="1"/>
  <c r="AL106" i="1" s="1"/>
  <c r="AK25" i="1"/>
  <c r="AK106" i="1" s="1"/>
  <c r="AJ25" i="1"/>
  <c r="AJ106" i="1" s="1"/>
  <c r="AI25" i="1"/>
  <c r="AI106" i="1" s="1"/>
  <c r="AH25" i="1"/>
  <c r="AH106" i="1" s="1"/>
  <c r="AG25" i="1"/>
  <c r="AG106" i="1" s="1"/>
  <c r="AF25" i="1"/>
  <c r="AN24" i="1"/>
  <c r="AN105" i="1" s="1"/>
  <c r="AM24" i="1"/>
  <c r="AM105" i="1" s="1"/>
  <c r="AL24" i="1"/>
  <c r="AL105" i="1" s="1"/>
  <c r="AK24" i="1"/>
  <c r="AK105" i="1" s="1"/>
  <c r="AJ24" i="1"/>
  <c r="AJ105" i="1" s="1"/>
  <c r="AI24" i="1"/>
  <c r="AI105" i="1" s="1"/>
  <c r="AH24" i="1"/>
  <c r="AH105" i="1" s="1"/>
  <c r="AG24" i="1"/>
  <c r="AG105" i="1" s="1"/>
  <c r="AF24" i="1"/>
  <c r="AN23" i="1"/>
  <c r="AN104" i="1" s="1"/>
  <c r="AM23" i="1"/>
  <c r="AM104" i="1" s="1"/>
  <c r="AL23" i="1"/>
  <c r="AL104" i="1" s="1"/>
  <c r="AK23" i="1"/>
  <c r="AK104" i="1" s="1"/>
  <c r="AJ23" i="1"/>
  <c r="AJ104" i="1" s="1"/>
  <c r="AI23" i="1"/>
  <c r="AI104" i="1" s="1"/>
  <c r="AH23" i="1"/>
  <c r="AH104" i="1" s="1"/>
  <c r="AG23" i="1"/>
  <c r="AG104" i="1" s="1"/>
  <c r="AF23" i="1"/>
  <c r="AN22" i="1"/>
  <c r="AN103" i="1" s="1"/>
  <c r="AM22" i="1"/>
  <c r="AM103" i="1" s="1"/>
  <c r="AL22" i="1"/>
  <c r="AL103" i="1" s="1"/>
  <c r="AK22" i="1"/>
  <c r="AK103" i="1" s="1"/>
  <c r="AJ22" i="1"/>
  <c r="AJ103" i="1" s="1"/>
  <c r="AI22" i="1"/>
  <c r="AI103" i="1" s="1"/>
  <c r="AH22" i="1"/>
  <c r="AH103" i="1" s="1"/>
  <c r="AG22" i="1"/>
  <c r="AG103" i="1" s="1"/>
  <c r="AF22" i="1"/>
  <c r="AN21" i="1"/>
  <c r="AN102" i="1" s="1"/>
  <c r="AM21" i="1"/>
  <c r="AM102" i="1" s="1"/>
  <c r="AL21" i="1"/>
  <c r="AL102" i="1" s="1"/>
  <c r="AK21" i="1"/>
  <c r="AK102" i="1" s="1"/>
  <c r="AJ21" i="1"/>
  <c r="AJ102" i="1" s="1"/>
  <c r="AI21" i="1"/>
  <c r="AI102" i="1" s="1"/>
  <c r="AH21" i="1"/>
  <c r="AH102" i="1" s="1"/>
  <c r="AG21" i="1"/>
  <c r="AG102" i="1" s="1"/>
  <c r="AF21" i="1"/>
  <c r="AN20" i="1"/>
  <c r="AN101" i="1" s="1"/>
  <c r="AM20" i="1"/>
  <c r="AM101" i="1" s="1"/>
  <c r="AL20" i="1"/>
  <c r="AL101" i="1" s="1"/>
  <c r="AK20" i="1"/>
  <c r="AK101" i="1" s="1"/>
  <c r="AJ20" i="1"/>
  <c r="AJ101" i="1" s="1"/>
  <c r="AI20" i="1"/>
  <c r="AI101" i="1" s="1"/>
  <c r="AH20" i="1"/>
  <c r="AH101" i="1" s="1"/>
  <c r="AG20" i="1"/>
  <c r="AG101" i="1" s="1"/>
  <c r="AF20" i="1"/>
  <c r="AN19" i="1"/>
  <c r="AN100" i="1" s="1"/>
  <c r="AM19" i="1"/>
  <c r="AM100" i="1" s="1"/>
  <c r="AL19" i="1"/>
  <c r="AL100" i="1" s="1"/>
  <c r="AK19" i="1"/>
  <c r="AK100" i="1" s="1"/>
  <c r="AJ19" i="1"/>
  <c r="AJ100" i="1" s="1"/>
  <c r="AI19" i="1"/>
  <c r="AI100" i="1" s="1"/>
  <c r="AH19" i="1"/>
  <c r="AH100" i="1" s="1"/>
  <c r="AG19" i="1"/>
  <c r="AG100" i="1" s="1"/>
  <c r="AF19" i="1"/>
  <c r="AN18" i="1"/>
  <c r="AN99" i="1" s="1"/>
  <c r="AM18" i="1"/>
  <c r="AM99" i="1" s="1"/>
  <c r="AL18" i="1"/>
  <c r="AL99" i="1" s="1"/>
  <c r="AK18" i="1"/>
  <c r="AK99" i="1" s="1"/>
  <c r="AJ18" i="1"/>
  <c r="AJ99" i="1" s="1"/>
  <c r="AI18" i="1"/>
  <c r="AI99" i="1" s="1"/>
  <c r="AH18" i="1"/>
  <c r="AH99" i="1" s="1"/>
  <c r="AG18" i="1"/>
  <c r="AG99" i="1" s="1"/>
  <c r="AF18" i="1"/>
  <c r="AN17" i="1"/>
  <c r="AN98" i="1" s="1"/>
  <c r="AM17" i="1"/>
  <c r="AM98" i="1" s="1"/>
  <c r="AL17" i="1"/>
  <c r="AL98" i="1" s="1"/>
  <c r="AK17" i="1"/>
  <c r="AK98" i="1" s="1"/>
  <c r="AJ17" i="1"/>
  <c r="AJ98" i="1" s="1"/>
  <c r="AI17" i="1"/>
  <c r="AI98" i="1" s="1"/>
  <c r="AH17" i="1"/>
  <c r="AH98" i="1" s="1"/>
  <c r="AG17" i="1"/>
  <c r="AG98" i="1" s="1"/>
  <c r="AF17" i="1"/>
  <c r="AN16" i="1"/>
  <c r="AN97" i="1" s="1"/>
  <c r="AM16" i="1"/>
  <c r="AM97" i="1" s="1"/>
  <c r="AL16" i="1"/>
  <c r="AL97" i="1" s="1"/>
  <c r="AK16" i="1"/>
  <c r="AK97" i="1" s="1"/>
  <c r="AJ16" i="1"/>
  <c r="AJ97" i="1" s="1"/>
  <c r="AI16" i="1"/>
  <c r="AI97" i="1" s="1"/>
  <c r="AH16" i="1"/>
  <c r="AH97" i="1" s="1"/>
  <c r="AG16" i="1"/>
  <c r="AG97" i="1" s="1"/>
  <c r="AF16" i="1"/>
  <c r="AN15" i="1"/>
  <c r="AN96" i="1" s="1"/>
  <c r="AM15" i="1"/>
  <c r="AM96" i="1" s="1"/>
  <c r="AL15" i="1"/>
  <c r="AL96" i="1" s="1"/>
  <c r="AK15" i="1"/>
  <c r="AK96" i="1" s="1"/>
  <c r="AJ15" i="1"/>
  <c r="AJ96" i="1" s="1"/>
  <c r="AI15" i="1"/>
  <c r="AI96" i="1" s="1"/>
  <c r="AH15" i="1"/>
  <c r="AH96" i="1" s="1"/>
  <c r="AG15" i="1"/>
  <c r="AG96" i="1" s="1"/>
  <c r="AF15" i="1"/>
  <c r="AN14" i="1"/>
  <c r="AN95" i="1" s="1"/>
  <c r="AM14" i="1"/>
  <c r="AM95" i="1" s="1"/>
  <c r="AL14" i="1"/>
  <c r="AL95" i="1" s="1"/>
  <c r="AK14" i="1"/>
  <c r="AK95" i="1" s="1"/>
  <c r="AJ14" i="1"/>
  <c r="AJ95" i="1" s="1"/>
  <c r="AI14" i="1"/>
  <c r="AI95" i="1" s="1"/>
  <c r="AH14" i="1"/>
  <c r="AH95" i="1" s="1"/>
  <c r="AG14" i="1"/>
  <c r="AG95" i="1" s="1"/>
  <c r="AF14" i="1"/>
  <c r="AN13" i="1"/>
  <c r="AN94" i="1" s="1"/>
  <c r="AM13" i="1"/>
  <c r="AM94" i="1" s="1"/>
  <c r="AL13" i="1"/>
  <c r="AL94" i="1" s="1"/>
  <c r="AK13" i="1"/>
  <c r="AK94" i="1" s="1"/>
  <c r="AJ13" i="1"/>
  <c r="AJ94" i="1" s="1"/>
  <c r="AI13" i="1"/>
  <c r="AI94" i="1" s="1"/>
  <c r="AH13" i="1"/>
  <c r="AH94" i="1" s="1"/>
  <c r="AG13" i="1"/>
  <c r="AG94" i="1" s="1"/>
  <c r="AF13" i="1"/>
  <c r="AN12" i="1"/>
  <c r="AN93" i="1" s="1"/>
  <c r="AM12" i="1"/>
  <c r="AM93" i="1" s="1"/>
  <c r="AL12" i="1"/>
  <c r="AL93" i="1" s="1"/>
  <c r="AK12" i="1"/>
  <c r="AK93" i="1" s="1"/>
  <c r="AJ12" i="1"/>
  <c r="AJ93" i="1" s="1"/>
  <c r="AI12" i="1"/>
  <c r="AI93" i="1" s="1"/>
  <c r="AH12" i="1"/>
  <c r="AH93" i="1" s="1"/>
  <c r="AG12" i="1"/>
  <c r="AG93" i="1" s="1"/>
  <c r="AF12" i="1"/>
  <c r="AN11" i="1"/>
  <c r="AN92" i="1" s="1"/>
  <c r="AM11" i="1"/>
  <c r="AM92" i="1" s="1"/>
  <c r="AL11" i="1"/>
  <c r="AL92" i="1" s="1"/>
  <c r="AK11" i="1"/>
  <c r="AK92" i="1" s="1"/>
  <c r="AJ11" i="1"/>
  <c r="AJ92" i="1" s="1"/>
  <c r="AI11" i="1"/>
  <c r="AI92" i="1" s="1"/>
  <c r="AH11" i="1"/>
  <c r="AH92" i="1" s="1"/>
  <c r="AG11" i="1"/>
  <c r="AG92" i="1" s="1"/>
  <c r="AF11" i="1"/>
  <c r="AN10" i="1"/>
  <c r="AN91" i="1" s="1"/>
  <c r="AM10" i="1"/>
  <c r="AM91" i="1" s="1"/>
  <c r="AL10" i="1"/>
  <c r="AL91" i="1" s="1"/>
  <c r="AK10" i="1"/>
  <c r="AK91" i="1" s="1"/>
  <c r="AJ10" i="1"/>
  <c r="AJ91" i="1" s="1"/>
  <c r="AI10" i="1"/>
  <c r="AI91" i="1" s="1"/>
  <c r="AH10" i="1"/>
  <c r="AH91" i="1" s="1"/>
  <c r="AG10" i="1"/>
  <c r="AG91" i="1" s="1"/>
  <c r="AF10" i="1"/>
  <c r="AN9" i="1"/>
  <c r="AN90" i="1" s="1"/>
  <c r="AM9" i="1"/>
  <c r="AM90" i="1" s="1"/>
  <c r="AL9" i="1"/>
  <c r="AL90" i="1" s="1"/>
  <c r="AK9" i="1"/>
  <c r="AK90" i="1" s="1"/>
  <c r="AJ9" i="1"/>
  <c r="AJ90" i="1" s="1"/>
  <c r="AI9" i="1"/>
  <c r="AI90" i="1" s="1"/>
  <c r="AH9" i="1"/>
  <c r="AH90" i="1" s="1"/>
  <c r="AG9" i="1"/>
  <c r="AG90" i="1" s="1"/>
  <c r="AF9" i="1"/>
  <c r="AN8" i="1"/>
  <c r="AN89" i="1" s="1"/>
  <c r="AM8" i="1"/>
  <c r="AM89" i="1" s="1"/>
  <c r="AL8" i="1"/>
  <c r="AL89" i="1" s="1"/>
  <c r="AK8" i="1"/>
  <c r="AK89" i="1" s="1"/>
  <c r="AJ8" i="1"/>
  <c r="AJ89" i="1" s="1"/>
  <c r="AI8" i="1"/>
  <c r="AI89" i="1" s="1"/>
  <c r="AH8" i="1"/>
  <c r="AH89" i="1" s="1"/>
  <c r="AG8" i="1"/>
  <c r="AG89" i="1" s="1"/>
  <c r="AF8" i="1"/>
  <c r="AN7" i="1"/>
  <c r="AN88" i="1" s="1"/>
  <c r="AM7" i="1"/>
  <c r="AM88" i="1" s="1"/>
  <c r="AL7" i="1"/>
  <c r="AL88" i="1" s="1"/>
  <c r="AK7" i="1"/>
  <c r="AK88" i="1" s="1"/>
  <c r="AJ7" i="1"/>
  <c r="AJ88" i="1" s="1"/>
  <c r="AI7" i="1"/>
  <c r="AI88" i="1" s="1"/>
  <c r="AH7" i="1"/>
  <c r="AH88" i="1" s="1"/>
  <c r="AG7" i="1"/>
  <c r="AG88" i="1" s="1"/>
  <c r="AF7" i="1"/>
  <c r="AN6" i="1"/>
  <c r="AN87" i="1" s="1"/>
  <c r="AM6" i="1"/>
  <c r="AM87" i="1" s="1"/>
  <c r="AL6" i="1"/>
  <c r="AL87" i="1" s="1"/>
  <c r="AK6" i="1"/>
  <c r="AK87" i="1" s="1"/>
  <c r="AJ6" i="1"/>
  <c r="AJ87" i="1" s="1"/>
  <c r="AI6" i="1"/>
  <c r="AI87" i="1" s="1"/>
  <c r="AH6" i="1"/>
  <c r="AH87" i="1" s="1"/>
  <c r="AG6" i="1"/>
  <c r="AG87" i="1" s="1"/>
  <c r="AF6" i="1"/>
  <c r="AN5" i="1"/>
  <c r="AN86" i="1" s="1"/>
  <c r="AM5" i="1"/>
  <c r="AM86" i="1" s="1"/>
  <c r="AL5" i="1"/>
  <c r="AL86" i="1" s="1"/>
  <c r="AK5" i="1"/>
  <c r="AK86" i="1" s="1"/>
  <c r="AJ5" i="1"/>
  <c r="AJ86" i="1" s="1"/>
  <c r="AI5" i="1"/>
  <c r="AI86" i="1" s="1"/>
  <c r="AH5" i="1"/>
  <c r="AH86" i="1" s="1"/>
  <c r="AG5" i="1"/>
  <c r="AG86" i="1" s="1"/>
  <c r="AF5" i="1"/>
  <c r="AN4" i="1"/>
  <c r="AN85" i="1" s="1"/>
  <c r="AM4" i="1"/>
  <c r="AM85" i="1" s="1"/>
  <c r="AL4" i="1"/>
  <c r="AL85" i="1" s="1"/>
  <c r="AK4" i="1"/>
  <c r="AK85" i="1" s="1"/>
  <c r="AJ4" i="1"/>
  <c r="AJ85" i="1" s="1"/>
  <c r="AI4" i="1"/>
  <c r="AI85" i="1" s="1"/>
  <c r="AH4" i="1"/>
  <c r="AH85" i="1" s="1"/>
  <c r="AG4" i="1"/>
  <c r="AG85" i="1" s="1"/>
  <c r="AF4" i="1"/>
  <c r="AN3" i="1"/>
  <c r="AN84" i="1" s="1"/>
  <c r="AM3" i="1"/>
  <c r="AM84" i="1" s="1"/>
  <c r="AL3" i="1"/>
  <c r="AL84" i="1" s="1"/>
  <c r="AK3" i="1"/>
  <c r="AK84" i="1" s="1"/>
  <c r="AJ3" i="1"/>
  <c r="AJ84" i="1" s="1"/>
  <c r="AI3" i="1"/>
  <c r="AI84" i="1" s="1"/>
  <c r="AH3" i="1"/>
  <c r="AH84" i="1" s="1"/>
  <c r="AG3" i="1"/>
  <c r="AG84" i="1" s="1"/>
  <c r="AF3" i="1"/>
  <c r="AN2" i="1"/>
  <c r="AN83" i="1" s="1"/>
  <c r="AM2" i="1"/>
  <c r="AM83" i="1" s="1"/>
  <c r="AL2" i="1"/>
  <c r="AL83" i="1" s="1"/>
  <c r="AK2" i="1"/>
  <c r="AK83" i="1" s="1"/>
  <c r="AJ2" i="1"/>
  <c r="AJ83" i="1" s="1"/>
  <c r="AI2" i="1"/>
  <c r="AI83" i="1" s="1"/>
  <c r="AH2" i="1"/>
  <c r="AH83" i="1" s="1"/>
  <c r="AG2" i="1"/>
  <c r="AG83" i="1" s="1"/>
  <c r="AF2" i="1"/>
  <c r="AF83" i="1" s="1"/>
  <c r="AE60" i="1"/>
  <c r="AE141" i="1" s="1"/>
  <c r="AD60" i="1"/>
  <c r="AD141" i="1" s="1"/>
  <c r="AC60" i="1"/>
  <c r="AC141" i="1" s="1"/>
  <c r="AB60" i="1"/>
  <c r="AB141" i="1" s="1"/>
  <c r="AA60" i="1"/>
  <c r="AA141" i="1" s="1"/>
  <c r="Z60" i="1"/>
  <c r="Z141" i="1" s="1"/>
  <c r="Y60" i="1"/>
  <c r="AE59" i="1"/>
  <c r="AE140" i="1" s="1"/>
  <c r="AD59" i="1"/>
  <c r="AD140" i="1" s="1"/>
  <c r="AC59" i="1"/>
  <c r="AC140" i="1" s="1"/>
  <c r="AB59" i="1"/>
  <c r="AB140" i="1" s="1"/>
  <c r="AA59" i="1"/>
  <c r="AA140" i="1" s="1"/>
  <c r="Z59" i="1"/>
  <c r="Z140" i="1" s="1"/>
  <c r="Y59" i="1"/>
  <c r="AE58" i="1"/>
  <c r="AE139" i="1" s="1"/>
  <c r="AD58" i="1"/>
  <c r="AD139" i="1" s="1"/>
  <c r="AC58" i="1"/>
  <c r="AC139" i="1" s="1"/>
  <c r="AB58" i="1"/>
  <c r="AB139" i="1" s="1"/>
  <c r="AA58" i="1"/>
  <c r="AA139" i="1" s="1"/>
  <c r="Z58" i="1"/>
  <c r="Z139" i="1" s="1"/>
  <c r="Y58" i="1"/>
  <c r="AE57" i="1"/>
  <c r="AE138" i="1" s="1"/>
  <c r="AD57" i="1"/>
  <c r="AD138" i="1" s="1"/>
  <c r="AC57" i="1"/>
  <c r="AC138" i="1" s="1"/>
  <c r="AB57" i="1"/>
  <c r="AB138" i="1" s="1"/>
  <c r="AA57" i="1"/>
  <c r="AA138" i="1" s="1"/>
  <c r="Z57" i="1"/>
  <c r="Z138" i="1" s="1"/>
  <c r="Y57" i="1"/>
  <c r="AE56" i="1"/>
  <c r="AE137" i="1" s="1"/>
  <c r="AD56" i="1"/>
  <c r="AD137" i="1" s="1"/>
  <c r="AC56" i="1"/>
  <c r="AC137" i="1" s="1"/>
  <c r="AB56" i="1"/>
  <c r="AB137" i="1" s="1"/>
  <c r="AA56" i="1"/>
  <c r="AA137" i="1" s="1"/>
  <c r="Z56" i="1"/>
  <c r="Z137" i="1" s="1"/>
  <c r="Y56" i="1"/>
  <c r="AE55" i="1"/>
  <c r="AE136" i="1" s="1"/>
  <c r="AD55" i="1"/>
  <c r="AD136" i="1" s="1"/>
  <c r="AC55" i="1"/>
  <c r="AC136" i="1" s="1"/>
  <c r="AB55" i="1"/>
  <c r="AB136" i="1" s="1"/>
  <c r="AA55" i="1"/>
  <c r="AA136" i="1" s="1"/>
  <c r="Z55" i="1"/>
  <c r="Z136" i="1" s="1"/>
  <c r="Y55" i="1"/>
  <c r="AE54" i="1"/>
  <c r="AE135" i="1" s="1"/>
  <c r="AD54" i="1"/>
  <c r="AD135" i="1" s="1"/>
  <c r="AC54" i="1"/>
  <c r="AC135" i="1" s="1"/>
  <c r="AB54" i="1"/>
  <c r="AB135" i="1" s="1"/>
  <c r="AA54" i="1"/>
  <c r="AA135" i="1" s="1"/>
  <c r="Z54" i="1"/>
  <c r="Z135" i="1" s="1"/>
  <c r="Y54" i="1"/>
  <c r="AE53" i="1"/>
  <c r="AE134" i="1" s="1"/>
  <c r="AD53" i="1"/>
  <c r="AD134" i="1" s="1"/>
  <c r="AC53" i="1"/>
  <c r="AC134" i="1" s="1"/>
  <c r="AB53" i="1"/>
  <c r="AB134" i="1" s="1"/>
  <c r="AA53" i="1"/>
  <c r="AA134" i="1" s="1"/>
  <c r="Z53" i="1"/>
  <c r="Z134" i="1" s="1"/>
  <c r="Y53" i="1"/>
  <c r="AE52" i="1"/>
  <c r="AE133" i="1" s="1"/>
  <c r="AD52" i="1"/>
  <c r="AD133" i="1" s="1"/>
  <c r="AC52" i="1"/>
  <c r="AC133" i="1" s="1"/>
  <c r="AB52" i="1"/>
  <c r="AB133" i="1" s="1"/>
  <c r="AA52" i="1"/>
  <c r="AA133" i="1" s="1"/>
  <c r="Z52" i="1"/>
  <c r="Z133" i="1" s="1"/>
  <c r="Y52" i="1"/>
  <c r="AE51" i="1"/>
  <c r="AE132" i="1" s="1"/>
  <c r="AD51" i="1"/>
  <c r="AD132" i="1" s="1"/>
  <c r="AC51" i="1"/>
  <c r="AC132" i="1" s="1"/>
  <c r="AB51" i="1"/>
  <c r="AB132" i="1" s="1"/>
  <c r="AA51" i="1"/>
  <c r="AA132" i="1" s="1"/>
  <c r="Z51" i="1"/>
  <c r="Z132" i="1" s="1"/>
  <c r="Y51" i="1"/>
  <c r="AE50" i="1"/>
  <c r="AE131" i="1" s="1"/>
  <c r="AD50" i="1"/>
  <c r="AD131" i="1" s="1"/>
  <c r="AC50" i="1"/>
  <c r="AC131" i="1" s="1"/>
  <c r="AB50" i="1"/>
  <c r="AB131" i="1" s="1"/>
  <c r="AA50" i="1"/>
  <c r="AA131" i="1" s="1"/>
  <c r="Z50" i="1"/>
  <c r="Z131" i="1" s="1"/>
  <c r="Y50" i="1"/>
  <c r="AE49" i="1"/>
  <c r="AE130" i="1" s="1"/>
  <c r="AD49" i="1"/>
  <c r="AD130" i="1" s="1"/>
  <c r="AC49" i="1"/>
  <c r="AC130" i="1" s="1"/>
  <c r="AB49" i="1"/>
  <c r="AB130" i="1" s="1"/>
  <c r="AA49" i="1"/>
  <c r="AA130" i="1" s="1"/>
  <c r="Z49" i="1"/>
  <c r="Z130" i="1" s="1"/>
  <c r="Y49" i="1"/>
  <c r="AE48" i="1"/>
  <c r="AE129" i="1" s="1"/>
  <c r="AD48" i="1"/>
  <c r="AD129" i="1" s="1"/>
  <c r="AC48" i="1"/>
  <c r="AC129" i="1" s="1"/>
  <c r="AB48" i="1"/>
  <c r="AB129" i="1" s="1"/>
  <c r="AA48" i="1"/>
  <c r="AA129" i="1" s="1"/>
  <c r="Z48" i="1"/>
  <c r="Z129" i="1" s="1"/>
  <c r="Y48" i="1"/>
  <c r="AE47" i="1"/>
  <c r="AE128" i="1" s="1"/>
  <c r="AD47" i="1"/>
  <c r="AD128" i="1" s="1"/>
  <c r="AC47" i="1"/>
  <c r="AC128" i="1" s="1"/>
  <c r="AB47" i="1"/>
  <c r="AB128" i="1" s="1"/>
  <c r="AA47" i="1"/>
  <c r="AA128" i="1" s="1"/>
  <c r="Z47" i="1"/>
  <c r="Z128" i="1" s="1"/>
  <c r="Y47" i="1"/>
  <c r="AE46" i="1"/>
  <c r="AE127" i="1" s="1"/>
  <c r="AD46" i="1"/>
  <c r="AD127" i="1" s="1"/>
  <c r="AC46" i="1"/>
  <c r="AC127" i="1" s="1"/>
  <c r="AB46" i="1"/>
  <c r="AB127" i="1" s="1"/>
  <c r="AA46" i="1"/>
  <c r="AA127" i="1" s="1"/>
  <c r="Z46" i="1"/>
  <c r="Z127" i="1" s="1"/>
  <c r="Y46" i="1"/>
  <c r="AE45" i="1"/>
  <c r="AE126" i="1" s="1"/>
  <c r="AD45" i="1"/>
  <c r="AD126" i="1" s="1"/>
  <c r="AC45" i="1"/>
  <c r="AC126" i="1" s="1"/>
  <c r="AB45" i="1"/>
  <c r="AB126" i="1" s="1"/>
  <c r="AA45" i="1"/>
  <c r="AA126" i="1" s="1"/>
  <c r="Z45" i="1"/>
  <c r="Z126" i="1" s="1"/>
  <c r="Y45" i="1"/>
  <c r="AE44" i="1"/>
  <c r="AE125" i="1" s="1"/>
  <c r="AD44" i="1"/>
  <c r="AD125" i="1" s="1"/>
  <c r="AC44" i="1"/>
  <c r="AC125" i="1" s="1"/>
  <c r="AB44" i="1"/>
  <c r="AB125" i="1" s="1"/>
  <c r="AA44" i="1"/>
  <c r="AA125" i="1" s="1"/>
  <c r="Z44" i="1"/>
  <c r="Z125" i="1" s="1"/>
  <c r="Y44" i="1"/>
  <c r="AE43" i="1"/>
  <c r="AE124" i="1" s="1"/>
  <c r="AD43" i="1"/>
  <c r="AD124" i="1" s="1"/>
  <c r="AC43" i="1"/>
  <c r="AC124" i="1" s="1"/>
  <c r="AB43" i="1"/>
  <c r="AB124" i="1" s="1"/>
  <c r="AA43" i="1"/>
  <c r="AA124" i="1" s="1"/>
  <c r="Z43" i="1"/>
  <c r="Z124" i="1" s="1"/>
  <c r="Y43" i="1"/>
  <c r="AE42" i="1"/>
  <c r="AE123" i="1" s="1"/>
  <c r="AD42" i="1"/>
  <c r="AD123" i="1" s="1"/>
  <c r="AC42" i="1"/>
  <c r="AC123" i="1" s="1"/>
  <c r="AB42" i="1"/>
  <c r="AB123" i="1" s="1"/>
  <c r="AA42" i="1"/>
  <c r="AA123" i="1" s="1"/>
  <c r="Z42" i="1"/>
  <c r="Z123" i="1" s="1"/>
  <c r="Y42" i="1"/>
  <c r="AE41" i="1"/>
  <c r="AE122" i="1" s="1"/>
  <c r="AD41" i="1"/>
  <c r="AD122" i="1" s="1"/>
  <c r="AC41" i="1"/>
  <c r="AC122" i="1" s="1"/>
  <c r="AB41" i="1"/>
  <c r="AB122" i="1" s="1"/>
  <c r="AA41" i="1"/>
  <c r="AA122" i="1" s="1"/>
  <c r="Z41" i="1"/>
  <c r="Z122" i="1" s="1"/>
  <c r="Y41" i="1"/>
  <c r="AE40" i="1"/>
  <c r="AE121" i="1" s="1"/>
  <c r="AD40" i="1"/>
  <c r="AD121" i="1" s="1"/>
  <c r="AC40" i="1"/>
  <c r="AC121" i="1" s="1"/>
  <c r="AB40" i="1"/>
  <c r="AB121" i="1" s="1"/>
  <c r="AA40" i="1"/>
  <c r="AA121" i="1" s="1"/>
  <c r="Z40" i="1"/>
  <c r="Z121" i="1" s="1"/>
  <c r="Y40" i="1"/>
  <c r="AE39" i="1"/>
  <c r="AE120" i="1" s="1"/>
  <c r="AD39" i="1"/>
  <c r="AD120" i="1" s="1"/>
  <c r="AC39" i="1"/>
  <c r="AC120" i="1" s="1"/>
  <c r="AB39" i="1"/>
  <c r="AB120" i="1" s="1"/>
  <c r="AA39" i="1"/>
  <c r="AA120" i="1" s="1"/>
  <c r="Z39" i="1"/>
  <c r="Z120" i="1" s="1"/>
  <c r="Y39" i="1"/>
  <c r="AE38" i="1"/>
  <c r="AE119" i="1" s="1"/>
  <c r="AD38" i="1"/>
  <c r="AD119" i="1" s="1"/>
  <c r="AC38" i="1"/>
  <c r="AC119" i="1" s="1"/>
  <c r="AB38" i="1"/>
  <c r="AB119" i="1" s="1"/>
  <c r="AA38" i="1"/>
  <c r="AA119" i="1" s="1"/>
  <c r="Z38" i="1"/>
  <c r="Z119" i="1" s="1"/>
  <c r="Y38" i="1"/>
  <c r="AE37" i="1"/>
  <c r="AE118" i="1" s="1"/>
  <c r="AD37" i="1"/>
  <c r="AD118" i="1" s="1"/>
  <c r="AC37" i="1"/>
  <c r="AC118" i="1" s="1"/>
  <c r="AB37" i="1"/>
  <c r="AB118" i="1" s="1"/>
  <c r="AA37" i="1"/>
  <c r="AA118" i="1" s="1"/>
  <c r="Z37" i="1"/>
  <c r="Z118" i="1" s="1"/>
  <c r="Y37" i="1"/>
  <c r="AE36" i="1"/>
  <c r="AE117" i="1" s="1"/>
  <c r="AD36" i="1"/>
  <c r="AD117" i="1" s="1"/>
  <c r="AC36" i="1"/>
  <c r="AC117" i="1" s="1"/>
  <c r="AB36" i="1"/>
  <c r="AB117" i="1" s="1"/>
  <c r="AA36" i="1"/>
  <c r="AA117" i="1" s="1"/>
  <c r="Z36" i="1"/>
  <c r="Z117" i="1" s="1"/>
  <c r="Y36" i="1"/>
  <c r="AE35" i="1"/>
  <c r="AE116" i="1" s="1"/>
  <c r="AD35" i="1"/>
  <c r="AD116" i="1" s="1"/>
  <c r="AC35" i="1"/>
  <c r="AC116" i="1" s="1"/>
  <c r="AB35" i="1"/>
  <c r="AB116" i="1" s="1"/>
  <c r="AA35" i="1"/>
  <c r="AA116" i="1" s="1"/>
  <c r="Z35" i="1"/>
  <c r="Z116" i="1" s="1"/>
  <c r="Y35" i="1"/>
  <c r="AE34" i="1"/>
  <c r="AE115" i="1" s="1"/>
  <c r="AD34" i="1"/>
  <c r="AD115" i="1" s="1"/>
  <c r="AC34" i="1"/>
  <c r="AC115" i="1" s="1"/>
  <c r="AB34" i="1"/>
  <c r="AB115" i="1" s="1"/>
  <c r="AA34" i="1"/>
  <c r="AA115" i="1" s="1"/>
  <c r="Z34" i="1"/>
  <c r="Z115" i="1" s="1"/>
  <c r="Y34" i="1"/>
  <c r="AE33" i="1"/>
  <c r="AE114" i="1" s="1"/>
  <c r="AD33" i="1"/>
  <c r="AD114" i="1" s="1"/>
  <c r="AC33" i="1"/>
  <c r="AC114" i="1" s="1"/>
  <c r="AB33" i="1"/>
  <c r="AB114" i="1" s="1"/>
  <c r="AA33" i="1"/>
  <c r="AA114" i="1" s="1"/>
  <c r="Z33" i="1"/>
  <c r="Z114" i="1" s="1"/>
  <c r="Y33" i="1"/>
  <c r="AE31" i="1"/>
  <c r="AE112" i="1" s="1"/>
  <c r="AD31" i="1"/>
  <c r="AD112" i="1" s="1"/>
  <c r="AC31" i="1"/>
  <c r="AC112" i="1" s="1"/>
  <c r="AB31" i="1"/>
  <c r="AB112" i="1" s="1"/>
  <c r="AA31" i="1"/>
  <c r="AA112" i="1" s="1"/>
  <c r="Z31" i="1"/>
  <c r="Z112" i="1" s="1"/>
  <c r="Y31" i="1"/>
  <c r="AE30" i="1"/>
  <c r="AE111" i="1" s="1"/>
  <c r="AD30" i="1"/>
  <c r="AD111" i="1" s="1"/>
  <c r="AC30" i="1"/>
  <c r="AC111" i="1" s="1"/>
  <c r="AB30" i="1"/>
  <c r="AB111" i="1" s="1"/>
  <c r="AA30" i="1"/>
  <c r="AA111" i="1" s="1"/>
  <c r="Z30" i="1"/>
  <c r="Z111" i="1" s="1"/>
  <c r="Y30" i="1"/>
  <c r="AE29" i="1"/>
  <c r="AE110" i="1" s="1"/>
  <c r="AD29" i="1"/>
  <c r="AD110" i="1" s="1"/>
  <c r="AC29" i="1"/>
  <c r="AC110" i="1" s="1"/>
  <c r="AB29" i="1"/>
  <c r="AB110" i="1" s="1"/>
  <c r="AA29" i="1"/>
  <c r="AA110" i="1" s="1"/>
  <c r="Z29" i="1"/>
  <c r="Z110" i="1" s="1"/>
  <c r="Y29" i="1"/>
  <c r="AE28" i="1"/>
  <c r="AE109" i="1" s="1"/>
  <c r="AD28" i="1"/>
  <c r="AD109" i="1" s="1"/>
  <c r="AC28" i="1"/>
  <c r="AC109" i="1" s="1"/>
  <c r="AB28" i="1"/>
  <c r="AB109" i="1" s="1"/>
  <c r="AA28" i="1"/>
  <c r="AA109" i="1" s="1"/>
  <c r="Z28" i="1"/>
  <c r="Z109" i="1" s="1"/>
  <c r="Y28" i="1"/>
  <c r="AE27" i="1"/>
  <c r="AE108" i="1" s="1"/>
  <c r="AD27" i="1"/>
  <c r="AD108" i="1" s="1"/>
  <c r="AC27" i="1"/>
  <c r="AC108" i="1" s="1"/>
  <c r="AB27" i="1"/>
  <c r="AB108" i="1" s="1"/>
  <c r="AA27" i="1"/>
  <c r="AA108" i="1" s="1"/>
  <c r="Z27" i="1"/>
  <c r="Z108" i="1" s="1"/>
  <c r="Y27" i="1"/>
  <c r="AE26" i="1"/>
  <c r="AE107" i="1" s="1"/>
  <c r="AD26" i="1"/>
  <c r="AD107" i="1" s="1"/>
  <c r="AC26" i="1"/>
  <c r="AC107" i="1" s="1"/>
  <c r="AB26" i="1"/>
  <c r="AB107" i="1" s="1"/>
  <c r="AA26" i="1"/>
  <c r="AA107" i="1" s="1"/>
  <c r="Z26" i="1"/>
  <c r="Z107" i="1" s="1"/>
  <c r="Y26" i="1"/>
  <c r="AE25" i="1"/>
  <c r="AE106" i="1" s="1"/>
  <c r="AD25" i="1"/>
  <c r="AD106" i="1" s="1"/>
  <c r="AC25" i="1"/>
  <c r="AC106" i="1" s="1"/>
  <c r="AB25" i="1"/>
  <c r="AB106" i="1" s="1"/>
  <c r="AA25" i="1"/>
  <c r="AA106" i="1" s="1"/>
  <c r="Z25" i="1"/>
  <c r="Z106" i="1" s="1"/>
  <c r="Y25" i="1"/>
  <c r="AE24" i="1"/>
  <c r="AE105" i="1" s="1"/>
  <c r="AD24" i="1"/>
  <c r="AD105" i="1" s="1"/>
  <c r="AC24" i="1"/>
  <c r="AC105" i="1" s="1"/>
  <c r="AB24" i="1"/>
  <c r="AB105" i="1" s="1"/>
  <c r="AA24" i="1"/>
  <c r="AA105" i="1" s="1"/>
  <c r="Z24" i="1"/>
  <c r="Z105" i="1" s="1"/>
  <c r="Y24" i="1"/>
  <c r="AE23" i="1"/>
  <c r="AE104" i="1" s="1"/>
  <c r="AD23" i="1"/>
  <c r="AD104" i="1" s="1"/>
  <c r="AC23" i="1"/>
  <c r="AC104" i="1" s="1"/>
  <c r="AB23" i="1"/>
  <c r="AB104" i="1" s="1"/>
  <c r="AA23" i="1"/>
  <c r="AA104" i="1" s="1"/>
  <c r="Z23" i="1"/>
  <c r="Z104" i="1" s="1"/>
  <c r="Y23" i="1"/>
  <c r="AE22" i="1"/>
  <c r="AE103" i="1" s="1"/>
  <c r="AD22" i="1"/>
  <c r="AD103" i="1" s="1"/>
  <c r="AC22" i="1"/>
  <c r="AC103" i="1" s="1"/>
  <c r="AB22" i="1"/>
  <c r="AB103" i="1" s="1"/>
  <c r="AA22" i="1"/>
  <c r="AA103" i="1" s="1"/>
  <c r="Z22" i="1"/>
  <c r="Z103" i="1" s="1"/>
  <c r="Y22" i="1"/>
  <c r="AE21" i="1"/>
  <c r="AE102" i="1" s="1"/>
  <c r="AD21" i="1"/>
  <c r="AD102" i="1" s="1"/>
  <c r="AC21" i="1"/>
  <c r="AC102" i="1" s="1"/>
  <c r="AB21" i="1"/>
  <c r="AB102" i="1" s="1"/>
  <c r="AA21" i="1"/>
  <c r="AA102" i="1" s="1"/>
  <c r="Z21" i="1"/>
  <c r="Z102" i="1" s="1"/>
  <c r="Y21" i="1"/>
  <c r="AE20" i="1"/>
  <c r="AE101" i="1" s="1"/>
  <c r="AD20" i="1"/>
  <c r="AD101" i="1" s="1"/>
  <c r="AC20" i="1"/>
  <c r="AC101" i="1" s="1"/>
  <c r="AB20" i="1"/>
  <c r="AB101" i="1" s="1"/>
  <c r="AA20" i="1"/>
  <c r="AA101" i="1" s="1"/>
  <c r="Z20" i="1"/>
  <c r="Z101" i="1" s="1"/>
  <c r="Y20" i="1"/>
  <c r="AE19" i="1"/>
  <c r="AE100" i="1" s="1"/>
  <c r="AD19" i="1"/>
  <c r="AD100" i="1" s="1"/>
  <c r="AC19" i="1"/>
  <c r="AC100" i="1" s="1"/>
  <c r="AB19" i="1"/>
  <c r="AB100" i="1" s="1"/>
  <c r="AA19" i="1"/>
  <c r="AA100" i="1" s="1"/>
  <c r="Z19" i="1"/>
  <c r="Z100" i="1" s="1"/>
  <c r="Y19" i="1"/>
  <c r="AE18" i="1"/>
  <c r="AE99" i="1" s="1"/>
  <c r="AD18" i="1"/>
  <c r="AD99" i="1" s="1"/>
  <c r="AC18" i="1"/>
  <c r="AC99" i="1" s="1"/>
  <c r="AB18" i="1"/>
  <c r="AB99" i="1" s="1"/>
  <c r="AA18" i="1"/>
  <c r="AA99" i="1" s="1"/>
  <c r="Z18" i="1"/>
  <c r="Z99" i="1" s="1"/>
  <c r="Y18" i="1"/>
  <c r="AE17" i="1"/>
  <c r="AE98" i="1" s="1"/>
  <c r="AD17" i="1"/>
  <c r="AD98" i="1" s="1"/>
  <c r="AC17" i="1"/>
  <c r="AC98" i="1" s="1"/>
  <c r="AB17" i="1"/>
  <c r="AB98" i="1" s="1"/>
  <c r="AA17" i="1"/>
  <c r="AA98" i="1" s="1"/>
  <c r="Z17" i="1"/>
  <c r="Z98" i="1" s="1"/>
  <c r="Y17" i="1"/>
  <c r="AE16" i="1"/>
  <c r="AE97" i="1" s="1"/>
  <c r="AD16" i="1"/>
  <c r="AD97" i="1" s="1"/>
  <c r="AC16" i="1"/>
  <c r="AC97" i="1" s="1"/>
  <c r="AB16" i="1"/>
  <c r="AB97" i="1" s="1"/>
  <c r="AA16" i="1"/>
  <c r="AA97" i="1" s="1"/>
  <c r="Z16" i="1"/>
  <c r="Z97" i="1" s="1"/>
  <c r="Y16" i="1"/>
  <c r="AE15" i="1"/>
  <c r="AE96" i="1" s="1"/>
  <c r="AD15" i="1"/>
  <c r="AD96" i="1" s="1"/>
  <c r="AC15" i="1"/>
  <c r="AC96" i="1" s="1"/>
  <c r="AB15" i="1"/>
  <c r="AB96" i="1" s="1"/>
  <c r="AA15" i="1"/>
  <c r="AA96" i="1" s="1"/>
  <c r="Z15" i="1"/>
  <c r="Z96" i="1" s="1"/>
  <c r="Y15" i="1"/>
  <c r="AE14" i="1"/>
  <c r="AE95" i="1" s="1"/>
  <c r="AD14" i="1"/>
  <c r="AD95" i="1" s="1"/>
  <c r="AC14" i="1"/>
  <c r="AC95" i="1" s="1"/>
  <c r="AB14" i="1"/>
  <c r="AB95" i="1" s="1"/>
  <c r="AA14" i="1"/>
  <c r="AA95" i="1" s="1"/>
  <c r="Z14" i="1"/>
  <c r="Z95" i="1" s="1"/>
  <c r="Y14" i="1"/>
  <c r="AE13" i="1"/>
  <c r="AE94" i="1" s="1"/>
  <c r="AD13" i="1"/>
  <c r="AD94" i="1" s="1"/>
  <c r="AC13" i="1"/>
  <c r="AC94" i="1" s="1"/>
  <c r="AB13" i="1"/>
  <c r="AB94" i="1" s="1"/>
  <c r="AA13" i="1"/>
  <c r="AA94" i="1" s="1"/>
  <c r="Z13" i="1"/>
  <c r="Z94" i="1" s="1"/>
  <c r="Y13" i="1"/>
  <c r="AE12" i="1"/>
  <c r="AE93" i="1" s="1"/>
  <c r="AD12" i="1"/>
  <c r="AD93" i="1" s="1"/>
  <c r="AC12" i="1"/>
  <c r="AC93" i="1" s="1"/>
  <c r="AB12" i="1"/>
  <c r="AB93" i="1" s="1"/>
  <c r="AA12" i="1"/>
  <c r="AA93" i="1" s="1"/>
  <c r="Z12" i="1"/>
  <c r="Z93" i="1" s="1"/>
  <c r="Y12" i="1"/>
  <c r="AE11" i="1"/>
  <c r="AE92" i="1" s="1"/>
  <c r="AD11" i="1"/>
  <c r="AD92" i="1" s="1"/>
  <c r="AC11" i="1"/>
  <c r="AC92" i="1" s="1"/>
  <c r="AB11" i="1"/>
  <c r="AB92" i="1" s="1"/>
  <c r="AA11" i="1"/>
  <c r="AA92" i="1" s="1"/>
  <c r="Z11" i="1"/>
  <c r="Z92" i="1" s="1"/>
  <c r="Y11" i="1"/>
  <c r="AE10" i="1"/>
  <c r="AE91" i="1" s="1"/>
  <c r="AD10" i="1"/>
  <c r="AD91" i="1" s="1"/>
  <c r="AC10" i="1"/>
  <c r="AC91" i="1" s="1"/>
  <c r="AB10" i="1"/>
  <c r="AB91" i="1" s="1"/>
  <c r="AA10" i="1"/>
  <c r="AA91" i="1" s="1"/>
  <c r="Z10" i="1"/>
  <c r="Z91" i="1" s="1"/>
  <c r="Y10" i="1"/>
  <c r="AE9" i="1"/>
  <c r="AE90" i="1" s="1"/>
  <c r="AD9" i="1"/>
  <c r="AD90" i="1" s="1"/>
  <c r="AC9" i="1"/>
  <c r="AC90" i="1" s="1"/>
  <c r="AB9" i="1"/>
  <c r="AB90" i="1" s="1"/>
  <c r="AA9" i="1"/>
  <c r="AA90" i="1" s="1"/>
  <c r="Z9" i="1"/>
  <c r="Z90" i="1" s="1"/>
  <c r="Y9" i="1"/>
  <c r="AE8" i="1"/>
  <c r="AE89" i="1" s="1"/>
  <c r="AD8" i="1"/>
  <c r="AD89" i="1" s="1"/>
  <c r="AC8" i="1"/>
  <c r="AC89" i="1" s="1"/>
  <c r="AB8" i="1"/>
  <c r="AB89" i="1" s="1"/>
  <c r="AA8" i="1"/>
  <c r="AA89" i="1" s="1"/>
  <c r="Z8" i="1"/>
  <c r="Z89" i="1" s="1"/>
  <c r="Y8" i="1"/>
  <c r="AE7" i="1"/>
  <c r="AE88" i="1" s="1"/>
  <c r="AD7" i="1"/>
  <c r="AD88" i="1" s="1"/>
  <c r="AC7" i="1"/>
  <c r="AC88" i="1" s="1"/>
  <c r="AB7" i="1"/>
  <c r="AB88" i="1" s="1"/>
  <c r="AA7" i="1"/>
  <c r="AA88" i="1" s="1"/>
  <c r="Z7" i="1"/>
  <c r="Z88" i="1" s="1"/>
  <c r="Y7" i="1"/>
  <c r="AE6" i="1"/>
  <c r="AE87" i="1" s="1"/>
  <c r="AD6" i="1"/>
  <c r="AD87" i="1" s="1"/>
  <c r="AC6" i="1"/>
  <c r="AC87" i="1" s="1"/>
  <c r="AB6" i="1"/>
  <c r="AB87" i="1" s="1"/>
  <c r="AA6" i="1"/>
  <c r="AA87" i="1" s="1"/>
  <c r="Z6" i="1"/>
  <c r="Z87" i="1" s="1"/>
  <c r="Y6" i="1"/>
  <c r="AE5" i="1"/>
  <c r="AE86" i="1" s="1"/>
  <c r="AD5" i="1"/>
  <c r="AD86" i="1" s="1"/>
  <c r="AC5" i="1"/>
  <c r="AC86" i="1" s="1"/>
  <c r="AB5" i="1"/>
  <c r="AB86" i="1" s="1"/>
  <c r="AA5" i="1"/>
  <c r="AA86" i="1" s="1"/>
  <c r="Z5" i="1"/>
  <c r="Z86" i="1" s="1"/>
  <c r="Y5" i="1"/>
  <c r="AE4" i="1"/>
  <c r="AE85" i="1" s="1"/>
  <c r="AD4" i="1"/>
  <c r="AD85" i="1" s="1"/>
  <c r="AC4" i="1"/>
  <c r="AC85" i="1" s="1"/>
  <c r="AB4" i="1"/>
  <c r="AB85" i="1" s="1"/>
  <c r="AA4" i="1"/>
  <c r="AA85" i="1" s="1"/>
  <c r="Z4" i="1"/>
  <c r="Z85" i="1" s="1"/>
  <c r="Y4" i="1"/>
  <c r="AE3" i="1"/>
  <c r="AE84" i="1" s="1"/>
  <c r="AD3" i="1"/>
  <c r="AD84" i="1" s="1"/>
  <c r="AC3" i="1"/>
  <c r="AC84" i="1" s="1"/>
  <c r="AB3" i="1"/>
  <c r="AB84" i="1" s="1"/>
  <c r="AA3" i="1"/>
  <c r="AA84" i="1" s="1"/>
  <c r="Z3" i="1"/>
  <c r="Z84" i="1" s="1"/>
  <c r="Y3" i="1"/>
  <c r="AE2" i="1"/>
  <c r="AE83" i="1" s="1"/>
  <c r="AD2" i="1"/>
  <c r="AD83" i="1" s="1"/>
  <c r="AC2" i="1"/>
  <c r="AC83" i="1" s="1"/>
  <c r="AB2" i="1"/>
  <c r="AB83" i="1" s="1"/>
  <c r="AA2" i="1"/>
  <c r="AA83" i="1" s="1"/>
  <c r="Z2" i="1"/>
  <c r="Z83" i="1" s="1"/>
  <c r="Y2" i="1"/>
  <c r="Y83" i="1" s="1"/>
  <c r="X60" i="1"/>
  <c r="X141" i="1" s="1"/>
  <c r="W60" i="1"/>
  <c r="W141" i="1" s="1"/>
  <c r="V60" i="1"/>
  <c r="V141" i="1" s="1"/>
  <c r="U60" i="1"/>
  <c r="U141" i="1" s="1"/>
  <c r="T60" i="1"/>
  <c r="T141" i="1" s="1"/>
  <c r="S60" i="1"/>
  <c r="S141" i="1" s="1"/>
  <c r="R60" i="1"/>
  <c r="X59" i="1"/>
  <c r="X140" i="1" s="1"/>
  <c r="W59" i="1"/>
  <c r="W140" i="1" s="1"/>
  <c r="V59" i="1"/>
  <c r="V140" i="1" s="1"/>
  <c r="U59" i="1"/>
  <c r="U140" i="1" s="1"/>
  <c r="T59" i="1"/>
  <c r="T140" i="1" s="1"/>
  <c r="S59" i="1"/>
  <c r="S140" i="1" s="1"/>
  <c r="R59" i="1"/>
  <c r="X58" i="1"/>
  <c r="X139" i="1" s="1"/>
  <c r="W58" i="1"/>
  <c r="W139" i="1" s="1"/>
  <c r="V58" i="1"/>
  <c r="V139" i="1" s="1"/>
  <c r="U58" i="1"/>
  <c r="U139" i="1" s="1"/>
  <c r="T58" i="1"/>
  <c r="T139" i="1" s="1"/>
  <c r="S58" i="1"/>
  <c r="S139" i="1" s="1"/>
  <c r="R58" i="1"/>
  <c r="X57" i="1"/>
  <c r="X138" i="1" s="1"/>
  <c r="W57" i="1"/>
  <c r="W138" i="1" s="1"/>
  <c r="V57" i="1"/>
  <c r="V138" i="1" s="1"/>
  <c r="U57" i="1"/>
  <c r="U138" i="1" s="1"/>
  <c r="T57" i="1"/>
  <c r="T138" i="1" s="1"/>
  <c r="S57" i="1"/>
  <c r="S138" i="1" s="1"/>
  <c r="R57" i="1"/>
  <c r="X56" i="1"/>
  <c r="X137" i="1" s="1"/>
  <c r="W56" i="1"/>
  <c r="W137" i="1" s="1"/>
  <c r="V56" i="1"/>
  <c r="V137" i="1" s="1"/>
  <c r="U56" i="1"/>
  <c r="U137" i="1" s="1"/>
  <c r="T56" i="1"/>
  <c r="T137" i="1" s="1"/>
  <c r="S56" i="1"/>
  <c r="S137" i="1" s="1"/>
  <c r="R56" i="1"/>
  <c r="X55" i="1"/>
  <c r="X136" i="1" s="1"/>
  <c r="W55" i="1"/>
  <c r="W136" i="1" s="1"/>
  <c r="V55" i="1"/>
  <c r="V136" i="1" s="1"/>
  <c r="U55" i="1"/>
  <c r="U136" i="1" s="1"/>
  <c r="T55" i="1"/>
  <c r="T136" i="1" s="1"/>
  <c r="S55" i="1"/>
  <c r="S136" i="1" s="1"/>
  <c r="R55" i="1"/>
  <c r="X54" i="1"/>
  <c r="X135" i="1" s="1"/>
  <c r="W54" i="1"/>
  <c r="W135" i="1" s="1"/>
  <c r="V54" i="1"/>
  <c r="V135" i="1" s="1"/>
  <c r="U54" i="1"/>
  <c r="U135" i="1" s="1"/>
  <c r="T54" i="1"/>
  <c r="T135" i="1" s="1"/>
  <c r="S54" i="1"/>
  <c r="S135" i="1" s="1"/>
  <c r="R54" i="1"/>
  <c r="X53" i="1"/>
  <c r="X134" i="1" s="1"/>
  <c r="W53" i="1"/>
  <c r="W134" i="1" s="1"/>
  <c r="V53" i="1"/>
  <c r="V134" i="1" s="1"/>
  <c r="U53" i="1"/>
  <c r="U134" i="1" s="1"/>
  <c r="T53" i="1"/>
  <c r="T134" i="1" s="1"/>
  <c r="S53" i="1"/>
  <c r="S134" i="1" s="1"/>
  <c r="R53" i="1"/>
  <c r="X52" i="1"/>
  <c r="X133" i="1" s="1"/>
  <c r="W52" i="1"/>
  <c r="W133" i="1" s="1"/>
  <c r="V52" i="1"/>
  <c r="V133" i="1" s="1"/>
  <c r="U52" i="1"/>
  <c r="U133" i="1" s="1"/>
  <c r="T52" i="1"/>
  <c r="T133" i="1" s="1"/>
  <c r="S52" i="1"/>
  <c r="S133" i="1" s="1"/>
  <c r="R52" i="1"/>
  <c r="X51" i="1"/>
  <c r="X132" i="1" s="1"/>
  <c r="W51" i="1"/>
  <c r="W132" i="1" s="1"/>
  <c r="V51" i="1"/>
  <c r="V132" i="1" s="1"/>
  <c r="U51" i="1"/>
  <c r="U132" i="1" s="1"/>
  <c r="T51" i="1"/>
  <c r="T132" i="1" s="1"/>
  <c r="S51" i="1"/>
  <c r="S132" i="1" s="1"/>
  <c r="R51" i="1"/>
  <c r="X50" i="1"/>
  <c r="X131" i="1" s="1"/>
  <c r="W50" i="1"/>
  <c r="W131" i="1" s="1"/>
  <c r="V50" i="1"/>
  <c r="V131" i="1" s="1"/>
  <c r="U50" i="1"/>
  <c r="U131" i="1" s="1"/>
  <c r="T50" i="1"/>
  <c r="T131" i="1" s="1"/>
  <c r="S50" i="1"/>
  <c r="S131" i="1" s="1"/>
  <c r="R50" i="1"/>
  <c r="X49" i="1"/>
  <c r="X130" i="1" s="1"/>
  <c r="W49" i="1"/>
  <c r="W130" i="1" s="1"/>
  <c r="V49" i="1"/>
  <c r="V130" i="1" s="1"/>
  <c r="U49" i="1"/>
  <c r="U130" i="1" s="1"/>
  <c r="T49" i="1"/>
  <c r="T130" i="1" s="1"/>
  <c r="S49" i="1"/>
  <c r="S130" i="1" s="1"/>
  <c r="R49" i="1"/>
  <c r="X48" i="1"/>
  <c r="X129" i="1" s="1"/>
  <c r="W48" i="1"/>
  <c r="W129" i="1" s="1"/>
  <c r="V48" i="1"/>
  <c r="V129" i="1" s="1"/>
  <c r="U48" i="1"/>
  <c r="U129" i="1" s="1"/>
  <c r="T48" i="1"/>
  <c r="T129" i="1" s="1"/>
  <c r="S48" i="1"/>
  <c r="S129" i="1" s="1"/>
  <c r="R48" i="1"/>
  <c r="X47" i="1"/>
  <c r="X128" i="1" s="1"/>
  <c r="W47" i="1"/>
  <c r="W128" i="1" s="1"/>
  <c r="V47" i="1"/>
  <c r="V128" i="1" s="1"/>
  <c r="U47" i="1"/>
  <c r="U128" i="1" s="1"/>
  <c r="T47" i="1"/>
  <c r="T128" i="1" s="1"/>
  <c r="S47" i="1"/>
  <c r="S128" i="1" s="1"/>
  <c r="R47" i="1"/>
  <c r="X46" i="1"/>
  <c r="X127" i="1" s="1"/>
  <c r="W46" i="1"/>
  <c r="W127" i="1" s="1"/>
  <c r="V46" i="1"/>
  <c r="V127" i="1" s="1"/>
  <c r="U46" i="1"/>
  <c r="U127" i="1" s="1"/>
  <c r="T46" i="1"/>
  <c r="T127" i="1" s="1"/>
  <c r="S46" i="1"/>
  <c r="S127" i="1" s="1"/>
  <c r="R46" i="1"/>
  <c r="X45" i="1"/>
  <c r="X126" i="1" s="1"/>
  <c r="W45" i="1"/>
  <c r="W126" i="1" s="1"/>
  <c r="V45" i="1"/>
  <c r="V126" i="1" s="1"/>
  <c r="U45" i="1"/>
  <c r="U126" i="1" s="1"/>
  <c r="T45" i="1"/>
  <c r="T126" i="1" s="1"/>
  <c r="S45" i="1"/>
  <c r="S126" i="1" s="1"/>
  <c r="R45" i="1"/>
  <c r="X44" i="1"/>
  <c r="X125" i="1" s="1"/>
  <c r="W44" i="1"/>
  <c r="W125" i="1" s="1"/>
  <c r="V44" i="1"/>
  <c r="V125" i="1" s="1"/>
  <c r="U44" i="1"/>
  <c r="U125" i="1" s="1"/>
  <c r="T44" i="1"/>
  <c r="T125" i="1" s="1"/>
  <c r="S44" i="1"/>
  <c r="S125" i="1" s="1"/>
  <c r="R44" i="1"/>
  <c r="X43" i="1"/>
  <c r="X124" i="1" s="1"/>
  <c r="W43" i="1"/>
  <c r="W124" i="1" s="1"/>
  <c r="V43" i="1"/>
  <c r="V124" i="1" s="1"/>
  <c r="U43" i="1"/>
  <c r="U124" i="1" s="1"/>
  <c r="T43" i="1"/>
  <c r="T124" i="1" s="1"/>
  <c r="S43" i="1"/>
  <c r="S124" i="1" s="1"/>
  <c r="R43" i="1"/>
  <c r="X42" i="1"/>
  <c r="X123" i="1" s="1"/>
  <c r="W42" i="1"/>
  <c r="W123" i="1" s="1"/>
  <c r="V42" i="1"/>
  <c r="V123" i="1" s="1"/>
  <c r="U42" i="1"/>
  <c r="U123" i="1" s="1"/>
  <c r="T42" i="1"/>
  <c r="T123" i="1" s="1"/>
  <c r="S42" i="1"/>
  <c r="S123" i="1" s="1"/>
  <c r="R42" i="1"/>
  <c r="X41" i="1"/>
  <c r="X122" i="1" s="1"/>
  <c r="W41" i="1"/>
  <c r="W122" i="1" s="1"/>
  <c r="V41" i="1"/>
  <c r="V122" i="1" s="1"/>
  <c r="U41" i="1"/>
  <c r="U122" i="1" s="1"/>
  <c r="T41" i="1"/>
  <c r="T122" i="1" s="1"/>
  <c r="S41" i="1"/>
  <c r="S122" i="1" s="1"/>
  <c r="R41" i="1"/>
  <c r="X40" i="1"/>
  <c r="X121" i="1" s="1"/>
  <c r="W40" i="1"/>
  <c r="W121" i="1" s="1"/>
  <c r="V40" i="1"/>
  <c r="V121" i="1" s="1"/>
  <c r="U40" i="1"/>
  <c r="U121" i="1" s="1"/>
  <c r="T40" i="1"/>
  <c r="T121" i="1" s="1"/>
  <c r="S40" i="1"/>
  <c r="S121" i="1" s="1"/>
  <c r="R40" i="1"/>
  <c r="X39" i="1"/>
  <c r="X120" i="1" s="1"/>
  <c r="W39" i="1"/>
  <c r="W120" i="1" s="1"/>
  <c r="V39" i="1"/>
  <c r="V120" i="1" s="1"/>
  <c r="U39" i="1"/>
  <c r="U120" i="1" s="1"/>
  <c r="T39" i="1"/>
  <c r="T120" i="1" s="1"/>
  <c r="S39" i="1"/>
  <c r="S120" i="1" s="1"/>
  <c r="R39" i="1"/>
  <c r="X38" i="1"/>
  <c r="X119" i="1" s="1"/>
  <c r="W38" i="1"/>
  <c r="W119" i="1" s="1"/>
  <c r="V38" i="1"/>
  <c r="V119" i="1" s="1"/>
  <c r="U38" i="1"/>
  <c r="U119" i="1" s="1"/>
  <c r="T38" i="1"/>
  <c r="T119" i="1" s="1"/>
  <c r="S38" i="1"/>
  <c r="S119" i="1" s="1"/>
  <c r="R38" i="1"/>
  <c r="X37" i="1"/>
  <c r="X118" i="1" s="1"/>
  <c r="W37" i="1"/>
  <c r="W118" i="1" s="1"/>
  <c r="V37" i="1"/>
  <c r="V118" i="1" s="1"/>
  <c r="U37" i="1"/>
  <c r="U118" i="1" s="1"/>
  <c r="T37" i="1"/>
  <c r="T118" i="1" s="1"/>
  <c r="S37" i="1"/>
  <c r="S118" i="1" s="1"/>
  <c r="R37" i="1"/>
  <c r="X36" i="1"/>
  <c r="X117" i="1" s="1"/>
  <c r="W36" i="1"/>
  <c r="W117" i="1" s="1"/>
  <c r="V36" i="1"/>
  <c r="V117" i="1" s="1"/>
  <c r="U36" i="1"/>
  <c r="U117" i="1" s="1"/>
  <c r="T36" i="1"/>
  <c r="T117" i="1" s="1"/>
  <c r="S36" i="1"/>
  <c r="S117" i="1" s="1"/>
  <c r="R36" i="1"/>
  <c r="X35" i="1"/>
  <c r="X116" i="1" s="1"/>
  <c r="W35" i="1"/>
  <c r="W116" i="1" s="1"/>
  <c r="V35" i="1"/>
  <c r="V116" i="1" s="1"/>
  <c r="U35" i="1"/>
  <c r="U116" i="1" s="1"/>
  <c r="T35" i="1"/>
  <c r="T116" i="1" s="1"/>
  <c r="S35" i="1"/>
  <c r="S116" i="1" s="1"/>
  <c r="R35" i="1"/>
  <c r="X34" i="1"/>
  <c r="X115" i="1" s="1"/>
  <c r="W34" i="1"/>
  <c r="W115" i="1" s="1"/>
  <c r="V34" i="1"/>
  <c r="V115" i="1" s="1"/>
  <c r="U34" i="1"/>
  <c r="U115" i="1" s="1"/>
  <c r="T34" i="1"/>
  <c r="T115" i="1" s="1"/>
  <c r="S34" i="1"/>
  <c r="S115" i="1" s="1"/>
  <c r="R34" i="1"/>
  <c r="X33" i="1"/>
  <c r="X114" i="1" s="1"/>
  <c r="W33" i="1"/>
  <c r="W114" i="1" s="1"/>
  <c r="V33" i="1"/>
  <c r="V114" i="1" s="1"/>
  <c r="U33" i="1"/>
  <c r="U114" i="1" s="1"/>
  <c r="T33" i="1"/>
  <c r="T114" i="1" s="1"/>
  <c r="S33" i="1"/>
  <c r="S114" i="1" s="1"/>
  <c r="R33" i="1"/>
  <c r="X31" i="1"/>
  <c r="X112" i="1" s="1"/>
  <c r="W31" i="1"/>
  <c r="W112" i="1" s="1"/>
  <c r="V31" i="1"/>
  <c r="V112" i="1" s="1"/>
  <c r="U31" i="1"/>
  <c r="U112" i="1" s="1"/>
  <c r="T31" i="1"/>
  <c r="T112" i="1" s="1"/>
  <c r="S31" i="1"/>
  <c r="S112" i="1" s="1"/>
  <c r="R31" i="1"/>
  <c r="X30" i="1"/>
  <c r="X111" i="1" s="1"/>
  <c r="W30" i="1"/>
  <c r="W111" i="1" s="1"/>
  <c r="V30" i="1"/>
  <c r="V111" i="1" s="1"/>
  <c r="U30" i="1"/>
  <c r="U111" i="1" s="1"/>
  <c r="T30" i="1"/>
  <c r="T111" i="1" s="1"/>
  <c r="S30" i="1"/>
  <c r="S111" i="1" s="1"/>
  <c r="R30" i="1"/>
  <c r="X29" i="1"/>
  <c r="X110" i="1" s="1"/>
  <c r="W29" i="1"/>
  <c r="W110" i="1" s="1"/>
  <c r="V29" i="1"/>
  <c r="V110" i="1" s="1"/>
  <c r="U29" i="1"/>
  <c r="U110" i="1" s="1"/>
  <c r="T29" i="1"/>
  <c r="T110" i="1" s="1"/>
  <c r="S29" i="1"/>
  <c r="S110" i="1" s="1"/>
  <c r="R29" i="1"/>
  <c r="X28" i="1"/>
  <c r="X109" i="1" s="1"/>
  <c r="W28" i="1"/>
  <c r="W109" i="1" s="1"/>
  <c r="V28" i="1"/>
  <c r="V109" i="1" s="1"/>
  <c r="U28" i="1"/>
  <c r="U109" i="1" s="1"/>
  <c r="T28" i="1"/>
  <c r="T109" i="1" s="1"/>
  <c r="S28" i="1"/>
  <c r="S109" i="1" s="1"/>
  <c r="R28" i="1"/>
  <c r="X27" i="1"/>
  <c r="X108" i="1" s="1"/>
  <c r="W27" i="1"/>
  <c r="W108" i="1" s="1"/>
  <c r="V27" i="1"/>
  <c r="V108" i="1" s="1"/>
  <c r="U27" i="1"/>
  <c r="U108" i="1" s="1"/>
  <c r="T27" i="1"/>
  <c r="T108" i="1" s="1"/>
  <c r="S27" i="1"/>
  <c r="S108" i="1" s="1"/>
  <c r="R27" i="1"/>
  <c r="X26" i="1"/>
  <c r="X107" i="1" s="1"/>
  <c r="W26" i="1"/>
  <c r="W107" i="1" s="1"/>
  <c r="V26" i="1"/>
  <c r="V107" i="1" s="1"/>
  <c r="U26" i="1"/>
  <c r="U107" i="1" s="1"/>
  <c r="T26" i="1"/>
  <c r="T107" i="1" s="1"/>
  <c r="S26" i="1"/>
  <c r="S107" i="1" s="1"/>
  <c r="R26" i="1"/>
  <c r="X25" i="1"/>
  <c r="X106" i="1" s="1"/>
  <c r="W25" i="1"/>
  <c r="W106" i="1" s="1"/>
  <c r="V25" i="1"/>
  <c r="V106" i="1" s="1"/>
  <c r="U25" i="1"/>
  <c r="U106" i="1" s="1"/>
  <c r="T25" i="1"/>
  <c r="T106" i="1" s="1"/>
  <c r="S25" i="1"/>
  <c r="S106" i="1" s="1"/>
  <c r="R25" i="1"/>
  <c r="X24" i="1"/>
  <c r="X105" i="1" s="1"/>
  <c r="W24" i="1"/>
  <c r="W105" i="1" s="1"/>
  <c r="V24" i="1"/>
  <c r="V105" i="1" s="1"/>
  <c r="U24" i="1"/>
  <c r="U105" i="1" s="1"/>
  <c r="T24" i="1"/>
  <c r="T105" i="1" s="1"/>
  <c r="S24" i="1"/>
  <c r="S105" i="1" s="1"/>
  <c r="R24" i="1"/>
  <c r="X23" i="1"/>
  <c r="X104" i="1" s="1"/>
  <c r="W23" i="1"/>
  <c r="W104" i="1" s="1"/>
  <c r="V23" i="1"/>
  <c r="V104" i="1" s="1"/>
  <c r="U23" i="1"/>
  <c r="U104" i="1" s="1"/>
  <c r="T23" i="1"/>
  <c r="T104" i="1" s="1"/>
  <c r="S23" i="1"/>
  <c r="S104" i="1" s="1"/>
  <c r="R23" i="1"/>
  <c r="X22" i="1"/>
  <c r="X103" i="1" s="1"/>
  <c r="W22" i="1"/>
  <c r="W103" i="1" s="1"/>
  <c r="V22" i="1"/>
  <c r="V103" i="1" s="1"/>
  <c r="U22" i="1"/>
  <c r="U103" i="1" s="1"/>
  <c r="T22" i="1"/>
  <c r="T103" i="1" s="1"/>
  <c r="S22" i="1"/>
  <c r="S103" i="1" s="1"/>
  <c r="R22" i="1"/>
  <c r="X21" i="1"/>
  <c r="X102" i="1" s="1"/>
  <c r="W21" i="1"/>
  <c r="W102" i="1" s="1"/>
  <c r="V21" i="1"/>
  <c r="V102" i="1" s="1"/>
  <c r="U21" i="1"/>
  <c r="U102" i="1" s="1"/>
  <c r="T21" i="1"/>
  <c r="T102" i="1" s="1"/>
  <c r="S21" i="1"/>
  <c r="S102" i="1" s="1"/>
  <c r="R21" i="1"/>
  <c r="X20" i="1"/>
  <c r="X101" i="1" s="1"/>
  <c r="W20" i="1"/>
  <c r="W101" i="1" s="1"/>
  <c r="V20" i="1"/>
  <c r="V101" i="1" s="1"/>
  <c r="U20" i="1"/>
  <c r="U101" i="1" s="1"/>
  <c r="T20" i="1"/>
  <c r="T101" i="1" s="1"/>
  <c r="S20" i="1"/>
  <c r="S101" i="1" s="1"/>
  <c r="R20" i="1"/>
  <c r="X19" i="1"/>
  <c r="X100" i="1" s="1"/>
  <c r="W19" i="1"/>
  <c r="W100" i="1" s="1"/>
  <c r="V19" i="1"/>
  <c r="V100" i="1" s="1"/>
  <c r="U19" i="1"/>
  <c r="U100" i="1" s="1"/>
  <c r="T19" i="1"/>
  <c r="T100" i="1" s="1"/>
  <c r="S19" i="1"/>
  <c r="S100" i="1" s="1"/>
  <c r="R19" i="1"/>
  <c r="X18" i="1"/>
  <c r="X99" i="1" s="1"/>
  <c r="W18" i="1"/>
  <c r="W99" i="1" s="1"/>
  <c r="V18" i="1"/>
  <c r="V99" i="1" s="1"/>
  <c r="U18" i="1"/>
  <c r="U99" i="1" s="1"/>
  <c r="T18" i="1"/>
  <c r="T99" i="1" s="1"/>
  <c r="S18" i="1"/>
  <c r="S99" i="1" s="1"/>
  <c r="R18" i="1"/>
  <c r="X17" i="1"/>
  <c r="X98" i="1" s="1"/>
  <c r="W17" i="1"/>
  <c r="W98" i="1" s="1"/>
  <c r="V17" i="1"/>
  <c r="V98" i="1" s="1"/>
  <c r="U17" i="1"/>
  <c r="U98" i="1" s="1"/>
  <c r="T17" i="1"/>
  <c r="T98" i="1" s="1"/>
  <c r="S17" i="1"/>
  <c r="S98" i="1" s="1"/>
  <c r="R17" i="1"/>
  <c r="X16" i="1"/>
  <c r="X97" i="1" s="1"/>
  <c r="W16" i="1"/>
  <c r="W97" i="1" s="1"/>
  <c r="V16" i="1"/>
  <c r="V97" i="1" s="1"/>
  <c r="U16" i="1"/>
  <c r="U97" i="1" s="1"/>
  <c r="T16" i="1"/>
  <c r="T97" i="1" s="1"/>
  <c r="S16" i="1"/>
  <c r="S97" i="1" s="1"/>
  <c r="R16" i="1"/>
  <c r="X15" i="1"/>
  <c r="X96" i="1" s="1"/>
  <c r="W15" i="1"/>
  <c r="W96" i="1" s="1"/>
  <c r="V15" i="1"/>
  <c r="V96" i="1" s="1"/>
  <c r="U15" i="1"/>
  <c r="U96" i="1" s="1"/>
  <c r="T15" i="1"/>
  <c r="T96" i="1" s="1"/>
  <c r="S15" i="1"/>
  <c r="S96" i="1" s="1"/>
  <c r="R15" i="1"/>
  <c r="X14" i="1"/>
  <c r="X95" i="1" s="1"/>
  <c r="W14" i="1"/>
  <c r="W95" i="1" s="1"/>
  <c r="V14" i="1"/>
  <c r="V95" i="1" s="1"/>
  <c r="U14" i="1"/>
  <c r="U95" i="1" s="1"/>
  <c r="T14" i="1"/>
  <c r="T95" i="1" s="1"/>
  <c r="S14" i="1"/>
  <c r="S95" i="1" s="1"/>
  <c r="R14" i="1"/>
  <c r="X13" i="1"/>
  <c r="X94" i="1" s="1"/>
  <c r="W13" i="1"/>
  <c r="W94" i="1" s="1"/>
  <c r="V13" i="1"/>
  <c r="V94" i="1" s="1"/>
  <c r="U13" i="1"/>
  <c r="U94" i="1" s="1"/>
  <c r="T13" i="1"/>
  <c r="T94" i="1" s="1"/>
  <c r="S13" i="1"/>
  <c r="S94" i="1" s="1"/>
  <c r="R13" i="1"/>
  <c r="X12" i="1"/>
  <c r="X93" i="1" s="1"/>
  <c r="W12" i="1"/>
  <c r="W93" i="1" s="1"/>
  <c r="V12" i="1"/>
  <c r="V93" i="1" s="1"/>
  <c r="U12" i="1"/>
  <c r="U93" i="1" s="1"/>
  <c r="T12" i="1"/>
  <c r="T93" i="1" s="1"/>
  <c r="S12" i="1"/>
  <c r="S93" i="1" s="1"/>
  <c r="R12" i="1"/>
  <c r="X11" i="1"/>
  <c r="X92" i="1" s="1"/>
  <c r="W11" i="1"/>
  <c r="W92" i="1" s="1"/>
  <c r="V11" i="1"/>
  <c r="V92" i="1" s="1"/>
  <c r="U11" i="1"/>
  <c r="U92" i="1" s="1"/>
  <c r="T11" i="1"/>
  <c r="T92" i="1" s="1"/>
  <c r="S11" i="1"/>
  <c r="S92" i="1" s="1"/>
  <c r="R11" i="1"/>
  <c r="X10" i="1"/>
  <c r="X91" i="1" s="1"/>
  <c r="W10" i="1"/>
  <c r="W91" i="1" s="1"/>
  <c r="V10" i="1"/>
  <c r="V91" i="1" s="1"/>
  <c r="U10" i="1"/>
  <c r="U91" i="1" s="1"/>
  <c r="T10" i="1"/>
  <c r="T91" i="1" s="1"/>
  <c r="S10" i="1"/>
  <c r="S91" i="1" s="1"/>
  <c r="R10" i="1"/>
  <c r="X9" i="1"/>
  <c r="X90" i="1" s="1"/>
  <c r="W9" i="1"/>
  <c r="W90" i="1" s="1"/>
  <c r="V9" i="1"/>
  <c r="V90" i="1" s="1"/>
  <c r="U9" i="1"/>
  <c r="U90" i="1" s="1"/>
  <c r="T9" i="1"/>
  <c r="T90" i="1" s="1"/>
  <c r="S9" i="1"/>
  <c r="S90" i="1" s="1"/>
  <c r="R9" i="1"/>
  <c r="X8" i="1"/>
  <c r="X89" i="1" s="1"/>
  <c r="W8" i="1"/>
  <c r="W89" i="1" s="1"/>
  <c r="V8" i="1"/>
  <c r="V89" i="1" s="1"/>
  <c r="U8" i="1"/>
  <c r="U89" i="1" s="1"/>
  <c r="T8" i="1"/>
  <c r="T89" i="1" s="1"/>
  <c r="S8" i="1"/>
  <c r="S89" i="1" s="1"/>
  <c r="R8" i="1"/>
  <c r="X7" i="1"/>
  <c r="X88" i="1" s="1"/>
  <c r="W7" i="1"/>
  <c r="W88" i="1" s="1"/>
  <c r="V7" i="1"/>
  <c r="V88" i="1" s="1"/>
  <c r="U7" i="1"/>
  <c r="U88" i="1" s="1"/>
  <c r="T7" i="1"/>
  <c r="T88" i="1" s="1"/>
  <c r="S7" i="1"/>
  <c r="S88" i="1" s="1"/>
  <c r="R7" i="1"/>
  <c r="X6" i="1"/>
  <c r="X87" i="1" s="1"/>
  <c r="W6" i="1"/>
  <c r="W87" i="1" s="1"/>
  <c r="V6" i="1"/>
  <c r="V87" i="1" s="1"/>
  <c r="U6" i="1"/>
  <c r="U87" i="1" s="1"/>
  <c r="T6" i="1"/>
  <c r="T87" i="1" s="1"/>
  <c r="S6" i="1"/>
  <c r="S87" i="1" s="1"/>
  <c r="R6" i="1"/>
  <c r="X5" i="1"/>
  <c r="X86" i="1" s="1"/>
  <c r="W5" i="1"/>
  <c r="W86" i="1" s="1"/>
  <c r="V5" i="1"/>
  <c r="V86" i="1" s="1"/>
  <c r="U5" i="1"/>
  <c r="U86" i="1" s="1"/>
  <c r="T5" i="1"/>
  <c r="T86" i="1" s="1"/>
  <c r="S5" i="1"/>
  <c r="S86" i="1" s="1"/>
  <c r="R5" i="1"/>
  <c r="X4" i="1"/>
  <c r="X85" i="1" s="1"/>
  <c r="W4" i="1"/>
  <c r="W85" i="1" s="1"/>
  <c r="V4" i="1"/>
  <c r="V85" i="1" s="1"/>
  <c r="U4" i="1"/>
  <c r="U85" i="1" s="1"/>
  <c r="T4" i="1"/>
  <c r="T85" i="1" s="1"/>
  <c r="S4" i="1"/>
  <c r="S85" i="1" s="1"/>
  <c r="R4" i="1"/>
  <c r="X3" i="1"/>
  <c r="X84" i="1" s="1"/>
  <c r="W3" i="1"/>
  <c r="W84" i="1" s="1"/>
  <c r="V3" i="1"/>
  <c r="V84" i="1" s="1"/>
  <c r="U3" i="1"/>
  <c r="U84" i="1" s="1"/>
  <c r="T3" i="1"/>
  <c r="T84" i="1" s="1"/>
  <c r="S3" i="1"/>
  <c r="S84" i="1" s="1"/>
  <c r="R3" i="1"/>
  <c r="X2" i="1"/>
  <c r="X83" i="1" s="1"/>
  <c r="W2" i="1"/>
  <c r="W83" i="1" s="1"/>
  <c r="V2" i="1"/>
  <c r="V83" i="1" s="1"/>
  <c r="U2" i="1"/>
  <c r="U83" i="1" s="1"/>
  <c r="T2" i="1"/>
  <c r="T83" i="1" s="1"/>
  <c r="S2" i="1"/>
  <c r="S83" i="1" s="1"/>
  <c r="R2" i="1"/>
  <c r="R83" i="1" s="1"/>
  <c r="P60" i="1"/>
  <c r="P141" i="1" s="1"/>
  <c r="O60" i="1"/>
  <c r="O141" i="1" s="1"/>
  <c r="N60" i="1"/>
  <c r="N141" i="1" s="1"/>
  <c r="M60" i="1"/>
  <c r="M141" i="1" s="1"/>
  <c r="L60" i="1"/>
  <c r="L141" i="1" s="1"/>
  <c r="K60" i="1"/>
  <c r="K141" i="1" s="1"/>
  <c r="J60" i="1"/>
  <c r="P59" i="1"/>
  <c r="P140" i="1" s="1"/>
  <c r="O59" i="1"/>
  <c r="O140" i="1" s="1"/>
  <c r="N59" i="1"/>
  <c r="N140" i="1" s="1"/>
  <c r="M59" i="1"/>
  <c r="M140" i="1" s="1"/>
  <c r="L59" i="1"/>
  <c r="L140" i="1" s="1"/>
  <c r="K59" i="1"/>
  <c r="K140" i="1" s="1"/>
  <c r="J59" i="1"/>
  <c r="P58" i="1"/>
  <c r="P139" i="1" s="1"/>
  <c r="O58" i="1"/>
  <c r="O139" i="1" s="1"/>
  <c r="N58" i="1"/>
  <c r="N139" i="1" s="1"/>
  <c r="M58" i="1"/>
  <c r="M139" i="1" s="1"/>
  <c r="L58" i="1"/>
  <c r="L139" i="1" s="1"/>
  <c r="K58" i="1"/>
  <c r="K139" i="1" s="1"/>
  <c r="J58" i="1"/>
  <c r="P57" i="1"/>
  <c r="P138" i="1" s="1"/>
  <c r="O57" i="1"/>
  <c r="O138" i="1" s="1"/>
  <c r="N57" i="1"/>
  <c r="N138" i="1" s="1"/>
  <c r="M57" i="1"/>
  <c r="M138" i="1" s="1"/>
  <c r="L57" i="1"/>
  <c r="L138" i="1" s="1"/>
  <c r="K57" i="1"/>
  <c r="K138" i="1" s="1"/>
  <c r="J57" i="1"/>
  <c r="P56" i="1"/>
  <c r="P137" i="1" s="1"/>
  <c r="O56" i="1"/>
  <c r="O137" i="1" s="1"/>
  <c r="N56" i="1"/>
  <c r="N137" i="1" s="1"/>
  <c r="M56" i="1"/>
  <c r="M137" i="1" s="1"/>
  <c r="L56" i="1"/>
  <c r="L137" i="1" s="1"/>
  <c r="K56" i="1"/>
  <c r="K137" i="1" s="1"/>
  <c r="J56" i="1"/>
  <c r="P55" i="1"/>
  <c r="P136" i="1" s="1"/>
  <c r="O55" i="1"/>
  <c r="O136" i="1" s="1"/>
  <c r="N55" i="1"/>
  <c r="N136" i="1" s="1"/>
  <c r="M55" i="1"/>
  <c r="M136" i="1" s="1"/>
  <c r="L55" i="1"/>
  <c r="L136" i="1" s="1"/>
  <c r="K55" i="1"/>
  <c r="K136" i="1" s="1"/>
  <c r="J55" i="1"/>
  <c r="P54" i="1"/>
  <c r="P135" i="1" s="1"/>
  <c r="O54" i="1"/>
  <c r="O135" i="1" s="1"/>
  <c r="N54" i="1"/>
  <c r="N135" i="1" s="1"/>
  <c r="M54" i="1"/>
  <c r="M135" i="1" s="1"/>
  <c r="L54" i="1"/>
  <c r="L135" i="1" s="1"/>
  <c r="K54" i="1"/>
  <c r="K135" i="1" s="1"/>
  <c r="J54" i="1"/>
  <c r="P53" i="1"/>
  <c r="P134" i="1" s="1"/>
  <c r="O53" i="1"/>
  <c r="O134" i="1" s="1"/>
  <c r="N53" i="1"/>
  <c r="N134" i="1" s="1"/>
  <c r="M53" i="1"/>
  <c r="M134" i="1" s="1"/>
  <c r="L53" i="1"/>
  <c r="L134" i="1" s="1"/>
  <c r="K53" i="1"/>
  <c r="K134" i="1" s="1"/>
  <c r="J53" i="1"/>
  <c r="P52" i="1"/>
  <c r="P133" i="1" s="1"/>
  <c r="O52" i="1"/>
  <c r="O133" i="1" s="1"/>
  <c r="N52" i="1"/>
  <c r="N133" i="1" s="1"/>
  <c r="M52" i="1"/>
  <c r="M133" i="1" s="1"/>
  <c r="L52" i="1"/>
  <c r="L133" i="1" s="1"/>
  <c r="K52" i="1"/>
  <c r="K133" i="1" s="1"/>
  <c r="J52" i="1"/>
  <c r="P51" i="1"/>
  <c r="P132" i="1" s="1"/>
  <c r="O51" i="1"/>
  <c r="O132" i="1" s="1"/>
  <c r="N51" i="1"/>
  <c r="N132" i="1" s="1"/>
  <c r="M51" i="1"/>
  <c r="M132" i="1" s="1"/>
  <c r="L51" i="1"/>
  <c r="L132" i="1" s="1"/>
  <c r="K51" i="1"/>
  <c r="K132" i="1" s="1"/>
  <c r="J51" i="1"/>
  <c r="P50" i="1"/>
  <c r="P131" i="1" s="1"/>
  <c r="O50" i="1"/>
  <c r="O131" i="1" s="1"/>
  <c r="N50" i="1"/>
  <c r="N131" i="1" s="1"/>
  <c r="M50" i="1"/>
  <c r="M131" i="1" s="1"/>
  <c r="L50" i="1"/>
  <c r="L131" i="1" s="1"/>
  <c r="K50" i="1"/>
  <c r="K131" i="1" s="1"/>
  <c r="J50" i="1"/>
  <c r="P49" i="1"/>
  <c r="P130" i="1" s="1"/>
  <c r="O49" i="1"/>
  <c r="O130" i="1" s="1"/>
  <c r="N49" i="1"/>
  <c r="N130" i="1" s="1"/>
  <c r="M49" i="1"/>
  <c r="M130" i="1" s="1"/>
  <c r="L49" i="1"/>
  <c r="L130" i="1" s="1"/>
  <c r="K49" i="1"/>
  <c r="K130" i="1" s="1"/>
  <c r="J49" i="1"/>
  <c r="P48" i="1"/>
  <c r="P129" i="1" s="1"/>
  <c r="O48" i="1"/>
  <c r="O129" i="1" s="1"/>
  <c r="N48" i="1"/>
  <c r="N129" i="1" s="1"/>
  <c r="M48" i="1"/>
  <c r="M129" i="1" s="1"/>
  <c r="L48" i="1"/>
  <c r="L129" i="1" s="1"/>
  <c r="K48" i="1"/>
  <c r="K129" i="1" s="1"/>
  <c r="J48" i="1"/>
  <c r="P47" i="1"/>
  <c r="P128" i="1" s="1"/>
  <c r="O47" i="1"/>
  <c r="O128" i="1" s="1"/>
  <c r="N47" i="1"/>
  <c r="N128" i="1" s="1"/>
  <c r="M47" i="1"/>
  <c r="M128" i="1" s="1"/>
  <c r="L47" i="1"/>
  <c r="L128" i="1" s="1"/>
  <c r="K47" i="1"/>
  <c r="K128" i="1" s="1"/>
  <c r="J47" i="1"/>
  <c r="P46" i="1"/>
  <c r="P127" i="1" s="1"/>
  <c r="O46" i="1"/>
  <c r="O127" i="1" s="1"/>
  <c r="N46" i="1"/>
  <c r="N127" i="1" s="1"/>
  <c r="M46" i="1"/>
  <c r="M127" i="1" s="1"/>
  <c r="L46" i="1"/>
  <c r="L127" i="1" s="1"/>
  <c r="K46" i="1"/>
  <c r="K127" i="1" s="1"/>
  <c r="J46" i="1"/>
  <c r="P45" i="1"/>
  <c r="P126" i="1" s="1"/>
  <c r="O45" i="1"/>
  <c r="O126" i="1" s="1"/>
  <c r="N45" i="1"/>
  <c r="N126" i="1" s="1"/>
  <c r="M45" i="1"/>
  <c r="M126" i="1" s="1"/>
  <c r="L45" i="1"/>
  <c r="L126" i="1" s="1"/>
  <c r="K45" i="1"/>
  <c r="K126" i="1" s="1"/>
  <c r="J45" i="1"/>
  <c r="P44" i="1"/>
  <c r="P125" i="1" s="1"/>
  <c r="O44" i="1"/>
  <c r="O125" i="1" s="1"/>
  <c r="N44" i="1"/>
  <c r="N125" i="1" s="1"/>
  <c r="M44" i="1"/>
  <c r="M125" i="1" s="1"/>
  <c r="L44" i="1"/>
  <c r="L125" i="1" s="1"/>
  <c r="K44" i="1"/>
  <c r="K125" i="1" s="1"/>
  <c r="J44" i="1"/>
  <c r="P43" i="1"/>
  <c r="P124" i="1" s="1"/>
  <c r="O43" i="1"/>
  <c r="O124" i="1" s="1"/>
  <c r="N43" i="1"/>
  <c r="N124" i="1" s="1"/>
  <c r="M43" i="1"/>
  <c r="M124" i="1" s="1"/>
  <c r="L43" i="1"/>
  <c r="L124" i="1" s="1"/>
  <c r="K43" i="1"/>
  <c r="K124" i="1" s="1"/>
  <c r="J43" i="1"/>
  <c r="P42" i="1"/>
  <c r="P123" i="1" s="1"/>
  <c r="O42" i="1"/>
  <c r="O123" i="1" s="1"/>
  <c r="N42" i="1"/>
  <c r="N123" i="1" s="1"/>
  <c r="M42" i="1"/>
  <c r="M123" i="1" s="1"/>
  <c r="L42" i="1"/>
  <c r="L123" i="1" s="1"/>
  <c r="K42" i="1"/>
  <c r="K123" i="1" s="1"/>
  <c r="J42" i="1"/>
  <c r="P41" i="1"/>
  <c r="P122" i="1" s="1"/>
  <c r="O41" i="1"/>
  <c r="O122" i="1" s="1"/>
  <c r="N41" i="1"/>
  <c r="N122" i="1" s="1"/>
  <c r="M41" i="1"/>
  <c r="M122" i="1" s="1"/>
  <c r="L41" i="1"/>
  <c r="L122" i="1" s="1"/>
  <c r="K41" i="1"/>
  <c r="K122" i="1" s="1"/>
  <c r="J41" i="1"/>
  <c r="P40" i="1"/>
  <c r="P121" i="1" s="1"/>
  <c r="O40" i="1"/>
  <c r="O121" i="1" s="1"/>
  <c r="N40" i="1"/>
  <c r="N121" i="1" s="1"/>
  <c r="M40" i="1"/>
  <c r="M121" i="1" s="1"/>
  <c r="L40" i="1"/>
  <c r="L121" i="1" s="1"/>
  <c r="K40" i="1"/>
  <c r="K121" i="1" s="1"/>
  <c r="J40" i="1"/>
  <c r="P39" i="1"/>
  <c r="P120" i="1" s="1"/>
  <c r="O39" i="1"/>
  <c r="O120" i="1" s="1"/>
  <c r="N39" i="1"/>
  <c r="N120" i="1" s="1"/>
  <c r="M39" i="1"/>
  <c r="M120" i="1" s="1"/>
  <c r="L39" i="1"/>
  <c r="L120" i="1" s="1"/>
  <c r="K39" i="1"/>
  <c r="K120" i="1" s="1"/>
  <c r="J39" i="1"/>
  <c r="P38" i="1"/>
  <c r="P119" i="1" s="1"/>
  <c r="O38" i="1"/>
  <c r="O119" i="1" s="1"/>
  <c r="N38" i="1"/>
  <c r="N119" i="1" s="1"/>
  <c r="M38" i="1"/>
  <c r="M119" i="1" s="1"/>
  <c r="L38" i="1"/>
  <c r="L119" i="1" s="1"/>
  <c r="K38" i="1"/>
  <c r="K119" i="1" s="1"/>
  <c r="J38" i="1"/>
  <c r="P37" i="1"/>
  <c r="P118" i="1" s="1"/>
  <c r="O37" i="1"/>
  <c r="O118" i="1" s="1"/>
  <c r="N37" i="1"/>
  <c r="N118" i="1" s="1"/>
  <c r="M37" i="1"/>
  <c r="M118" i="1" s="1"/>
  <c r="L37" i="1"/>
  <c r="L118" i="1" s="1"/>
  <c r="K37" i="1"/>
  <c r="K118" i="1" s="1"/>
  <c r="J37" i="1"/>
  <c r="P36" i="1"/>
  <c r="P117" i="1" s="1"/>
  <c r="O36" i="1"/>
  <c r="O117" i="1" s="1"/>
  <c r="N36" i="1"/>
  <c r="N117" i="1" s="1"/>
  <c r="M36" i="1"/>
  <c r="M117" i="1" s="1"/>
  <c r="L36" i="1"/>
  <c r="L117" i="1" s="1"/>
  <c r="K36" i="1"/>
  <c r="K117" i="1" s="1"/>
  <c r="J36" i="1"/>
  <c r="P35" i="1"/>
  <c r="P116" i="1" s="1"/>
  <c r="O35" i="1"/>
  <c r="O116" i="1" s="1"/>
  <c r="N35" i="1"/>
  <c r="N116" i="1" s="1"/>
  <c r="M35" i="1"/>
  <c r="M116" i="1" s="1"/>
  <c r="L35" i="1"/>
  <c r="L116" i="1" s="1"/>
  <c r="K35" i="1"/>
  <c r="K116" i="1" s="1"/>
  <c r="J35" i="1"/>
  <c r="P34" i="1"/>
  <c r="P115" i="1" s="1"/>
  <c r="O34" i="1"/>
  <c r="O115" i="1" s="1"/>
  <c r="N34" i="1"/>
  <c r="N115" i="1" s="1"/>
  <c r="M34" i="1"/>
  <c r="M115" i="1" s="1"/>
  <c r="L34" i="1"/>
  <c r="L115" i="1" s="1"/>
  <c r="K34" i="1"/>
  <c r="K115" i="1" s="1"/>
  <c r="J34" i="1"/>
  <c r="P33" i="1"/>
  <c r="P114" i="1" s="1"/>
  <c r="O33" i="1"/>
  <c r="O114" i="1" s="1"/>
  <c r="N33" i="1"/>
  <c r="N114" i="1" s="1"/>
  <c r="M33" i="1"/>
  <c r="M114" i="1" s="1"/>
  <c r="L33" i="1"/>
  <c r="L114" i="1" s="1"/>
  <c r="K33" i="1"/>
  <c r="K114" i="1" s="1"/>
  <c r="J33" i="1"/>
  <c r="P31" i="1"/>
  <c r="P112" i="1" s="1"/>
  <c r="O31" i="1"/>
  <c r="O112" i="1" s="1"/>
  <c r="N31" i="1"/>
  <c r="N112" i="1" s="1"/>
  <c r="M31" i="1"/>
  <c r="M112" i="1" s="1"/>
  <c r="L31" i="1"/>
  <c r="L112" i="1" s="1"/>
  <c r="K31" i="1"/>
  <c r="K112" i="1" s="1"/>
  <c r="J31" i="1"/>
  <c r="P30" i="1"/>
  <c r="P111" i="1" s="1"/>
  <c r="O30" i="1"/>
  <c r="O111" i="1" s="1"/>
  <c r="N30" i="1"/>
  <c r="N111" i="1" s="1"/>
  <c r="M30" i="1"/>
  <c r="M111" i="1" s="1"/>
  <c r="L30" i="1"/>
  <c r="L111" i="1" s="1"/>
  <c r="K30" i="1"/>
  <c r="K111" i="1" s="1"/>
  <c r="J30" i="1"/>
  <c r="P29" i="1"/>
  <c r="P110" i="1" s="1"/>
  <c r="O29" i="1"/>
  <c r="O110" i="1" s="1"/>
  <c r="N29" i="1"/>
  <c r="N110" i="1" s="1"/>
  <c r="M29" i="1"/>
  <c r="M110" i="1" s="1"/>
  <c r="L29" i="1"/>
  <c r="L110" i="1" s="1"/>
  <c r="K29" i="1"/>
  <c r="K110" i="1" s="1"/>
  <c r="J29" i="1"/>
  <c r="P28" i="1"/>
  <c r="P109" i="1" s="1"/>
  <c r="O28" i="1"/>
  <c r="O109" i="1" s="1"/>
  <c r="N28" i="1"/>
  <c r="N109" i="1" s="1"/>
  <c r="M28" i="1"/>
  <c r="M109" i="1" s="1"/>
  <c r="L28" i="1"/>
  <c r="L109" i="1" s="1"/>
  <c r="K28" i="1"/>
  <c r="K109" i="1" s="1"/>
  <c r="J28" i="1"/>
  <c r="P27" i="1"/>
  <c r="P108" i="1" s="1"/>
  <c r="O27" i="1"/>
  <c r="O108" i="1" s="1"/>
  <c r="N27" i="1"/>
  <c r="N108" i="1" s="1"/>
  <c r="M27" i="1"/>
  <c r="M108" i="1" s="1"/>
  <c r="L27" i="1"/>
  <c r="L108" i="1" s="1"/>
  <c r="K27" i="1"/>
  <c r="K108" i="1" s="1"/>
  <c r="J27" i="1"/>
  <c r="P26" i="1"/>
  <c r="P107" i="1" s="1"/>
  <c r="O26" i="1"/>
  <c r="O107" i="1" s="1"/>
  <c r="N26" i="1"/>
  <c r="N107" i="1" s="1"/>
  <c r="M26" i="1"/>
  <c r="M107" i="1" s="1"/>
  <c r="L26" i="1"/>
  <c r="L107" i="1" s="1"/>
  <c r="K26" i="1"/>
  <c r="K107" i="1" s="1"/>
  <c r="J26" i="1"/>
  <c r="P25" i="1"/>
  <c r="P106" i="1" s="1"/>
  <c r="O25" i="1"/>
  <c r="O106" i="1" s="1"/>
  <c r="N25" i="1"/>
  <c r="N106" i="1" s="1"/>
  <c r="M25" i="1"/>
  <c r="M106" i="1" s="1"/>
  <c r="L25" i="1"/>
  <c r="L106" i="1" s="1"/>
  <c r="K25" i="1"/>
  <c r="K106" i="1" s="1"/>
  <c r="J25" i="1"/>
  <c r="P24" i="1"/>
  <c r="P105" i="1" s="1"/>
  <c r="O24" i="1"/>
  <c r="O105" i="1" s="1"/>
  <c r="N24" i="1"/>
  <c r="N105" i="1" s="1"/>
  <c r="M24" i="1"/>
  <c r="M105" i="1" s="1"/>
  <c r="L24" i="1"/>
  <c r="L105" i="1" s="1"/>
  <c r="K24" i="1"/>
  <c r="K105" i="1" s="1"/>
  <c r="J24" i="1"/>
  <c r="P23" i="1"/>
  <c r="P104" i="1" s="1"/>
  <c r="O23" i="1"/>
  <c r="O104" i="1" s="1"/>
  <c r="N23" i="1"/>
  <c r="N104" i="1" s="1"/>
  <c r="M23" i="1"/>
  <c r="M104" i="1" s="1"/>
  <c r="L23" i="1"/>
  <c r="L104" i="1" s="1"/>
  <c r="K23" i="1"/>
  <c r="K104" i="1" s="1"/>
  <c r="J23" i="1"/>
  <c r="P22" i="1"/>
  <c r="P103" i="1" s="1"/>
  <c r="O22" i="1"/>
  <c r="O103" i="1" s="1"/>
  <c r="N22" i="1"/>
  <c r="N103" i="1" s="1"/>
  <c r="M22" i="1"/>
  <c r="M103" i="1" s="1"/>
  <c r="L22" i="1"/>
  <c r="L103" i="1" s="1"/>
  <c r="K22" i="1"/>
  <c r="K103" i="1" s="1"/>
  <c r="J22" i="1"/>
  <c r="P21" i="1"/>
  <c r="P102" i="1" s="1"/>
  <c r="O21" i="1"/>
  <c r="O102" i="1" s="1"/>
  <c r="N21" i="1"/>
  <c r="N102" i="1" s="1"/>
  <c r="M21" i="1"/>
  <c r="M102" i="1" s="1"/>
  <c r="L21" i="1"/>
  <c r="L102" i="1" s="1"/>
  <c r="K21" i="1"/>
  <c r="K102" i="1" s="1"/>
  <c r="J21" i="1"/>
  <c r="P20" i="1"/>
  <c r="P101" i="1" s="1"/>
  <c r="O20" i="1"/>
  <c r="O101" i="1" s="1"/>
  <c r="N20" i="1"/>
  <c r="N101" i="1" s="1"/>
  <c r="M20" i="1"/>
  <c r="M101" i="1" s="1"/>
  <c r="L20" i="1"/>
  <c r="L101" i="1" s="1"/>
  <c r="K20" i="1"/>
  <c r="K101" i="1" s="1"/>
  <c r="J20" i="1"/>
  <c r="P19" i="1"/>
  <c r="P100" i="1" s="1"/>
  <c r="O19" i="1"/>
  <c r="O100" i="1" s="1"/>
  <c r="N19" i="1"/>
  <c r="N100" i="1" s="1"/>
  <c r="M19" i="1"/>
  <c r="M100" i="1" s="1"/>
  <c r="L19" i="1"/>
  <c r="L100" i="1" s="1"/>
  <c r="K19" i="1"/>
  <c r="K100" i="1" s="1"/>
  <c r="J19" i="1"/>
  <c r="P18" i="1"/>
  <c r="P99" i="1" s="1"/>
  <c r="O18" i="1"/>
  <c r="O99" i="1" s="1"/>
  <c r="N18" i="1"/>
  <c r="N99" i="1" s="1"/>
  <c r="M18" i="1"/>
  <c r="M99" i="1" s="1"/>
  <c r="L18" i="1"/>
  <c r="L99" i="1" s="1"/>
  <c r="K18" i="1"/>
  <c r="K99" i="1" s="1"/>
  <c r="J18" i="1"/>
  <c r="P17" i="1"/>
  <c r="P98" i="1" s="1"/>
  <c r="O17" i="1"/>
  <c r="O98" i="1" s="1"/>
  <c r="N17" i="1"/>
  <c r="N98" i="1" s="1"/>
  <c r="M17" i="1"/>
  <c r="M98" i="1" s="1"/>
  <c r="L17" i="1"/>
  <c r="L98" i="1" s="1"/>
  <c r="K17" i="1"/>
  <c r="K98" i="1" s="1"/>
  <c r="J17" i="1"/>
  <c r="P16" i="1"/>
  <c r="P97" i="1" s="1"/>
  <c r="O16" i="1"/>
  <c r="O97" i="1" s="1"/>
  <c r="N16" i="1"/>
  <c r="N97" i="1" s="1"/>
  <c r="M16" i="1"/>
  <c r="M97" i="1" s="1"/>
  <c r="L16" i="1"/>
  <c r="L97" i="1" s="1"/>
  <c r="K16" i="1"/>
  <c r="K97" i="1" s="1"/>
  <c r="J16" i="1"/>
  <c r="P15" i="1"/>
  <c r="P96" i="1" s="1"/>
  <c r="O15" i="1"/>
  <c r="O96" i="1" s="1"/>
  <c r="N15" i="1"/>
  <c r="N96" i="1" s="1"/>
  <c r="M15" i="1"/>
  <c r="M96" i="1" s="1"/>
  <c r="L15" i="1"/>
  <c r="L96" i="1" s="1"/>
  <c r="K15" i="1"/>
  <c r="K96" i="1" s="1"/>
  <c r="J15" i="1"/>
  <c r="P14" i="1"/>
  <c r="P95" i="1" s="1"/>
  <c r="O14" i="1"/>
  <c r="O95" i="1" s="1"/>
  <c r="N14" i="1"/>
  <c r="N95" i="1" s="1"/>
  <c r="M14" i="1"/>
  <c r="M95" i="1" s="1"/>
  <c r="L14" i="1"/>
  <c r="L95" i="1" s="1"/>
  <c r="K14" i="1"/>
  <c r="K95" i="1" s="1"/>
  <c r="J14" i="1"/>
  <c r="P13" i="1"/>
  <c r="P94" i="1" s="1"/>
  <c r="O13" i="1"/>
  <c r="O94" i="1" s="1"/>
  <c r="N13" i="1"/>
  <c r="N94" i="1" s="1"/>
  <c r="M13" i="1"/>
  <c r="M94" i="1" s="1"/>
  <c r="L13" i="1"/>
  <c r="L94" i="1" s="1"/>
  <c r="K13" i="1"/>
  <c r="K94" i="1" s="1"/>
  <c r="J13" i="1"/>
  <c r="P12" i="1"/>
  <c r="P93" i="1" s="1"/>
  <c r="O12" i="1"/>
  <c r="O93" i="1" s="1"/>
  <c r="N12" i="1"/>
  <c r="N93" i="1" s="1"/>
  <c r="M12" i="1"/>
  <c r="M93" i="1" s="1"/>
  <c r="L12" i="1"/>
  <c r="L93" i="1" s="1"/>
  <c r="K12" i="1"/>
  <c r="K93" i="1" s="1"/>
  <c r="J12" i="1"/>
  <c r="P11" i="1"/>
  <c r="P92" i="1" s="1"/>
  <c r="O11" i="1"/>
  <c r="O92" i="1" s="1"/>
  <c r="N11" i="1"/>
  <c r="N92" i="1" s="1"/>
  <c r="M11" i="1"/>
  <c r="M92" i="1" s="1"/>
  <c r="L11" i="1"/>
  <c r="L92" i="1" s="1"/>
  <c r="K11" i="1"/>
  <c r="K92" i="1" s="1"/>
  <c r="J11" i="1"/>
  <c r="P10" i="1"/>
  <c r="P91" i="1" s="1"/>
  <c r="O10" i="1"/>
  <c r="O91" i="1" s="1"/>
  <c r="N10" i="1"/>
  <c r="N91" i="1" s="1"/>
  <c r="M10" i="1"/>
  <c r="M91" i="1" s="1"/>
  <c r="L10" i="1"/>
  <c r="L91" i="1" s="1"/>
  <c r="K10" i="1"/>
  <c r="K91" i="1" s="1"/>
  <c r="J10" i="1"/>
  <c r="P9" i="1"/>
  <c r="P90" i="1" s="1"/>
  <c r="O9" i="1"/>
  <c r="O90" i="1" s="1"/>
  <c r="N9" i="1"/>
  <c r="N90" i="1" s="1"/>
  <c r="M9" i="1"/>
  <c r="M90" i="1" s="1"/>
  <c r="L9" i="1"/>
  <c r="L90" i="1" s="1"/>
  <c r="K9" i="1"/>
  <c r="K90" i="1" s="1"/>
  <c r="J9" i="1"/>
  <c r="P8" i="1"/>
  <c r="P89" i="1" s="1"/>
  <c r="O8" i="1"/>
  <c r="O89" i="1" s="1"/>
  <c r="N8" i="1"/>
  <c r="N89" i="1" s="1"/>
  <c r="M8" i="1"/>
  <c r="M89" i="1" s="1"/>
  <c r="L8" i="1"/>
  <c r="L89" i="1" s="1"/>
  <c r="K8" i="1"/>
  <c r="K89" i="1" s="1"/>
  <c r="J8" i="1"/>
  <c r="P7" i="1"/>
  <c r="P88" i="1" s="1"/>
  <c r="O7" i="1"/>
  <c r="O88" i="1" s="1"/>
  <c r="N7" i="1"/>
  <c r="N88" i="1" s="1"/>
  <c r="M7" i="1"/>
  <c r="M88" i="1" s="1"/>
  <c r="L7" i="1"/>
  <c r="L88" i="1" s="1"/>
  <c r="K7" i="1"/>
  <c r="K88" i="1" s="1"/>
  <c r="J7" i="1"/>
  <c r="P6" i="1"/>
  <c r="P87" i="1" s="1"/>
  <c r="O6" i="1"/>
  <c r="O87" i="1" s="1"/>
  <c r="N6" i="1"/>
  <c r="N87" i="1" s="1"/>
  <c r="M6" i="1"/>
  <c r="M87" i="1" s="1"/>
  <c r="L6" i="1"/>
  <c r="L87" i="1" s="1"/>
  <c r="K6" i="1"/>
  <c r="K87" i="1" s="1"/>
  <c r="J6" i="1"/>
  <c r="P5" i="1"/>
  <c r="P86" i="1" s="1"/>
  <c r="O5" i="1"/>
  <c r="O86" i="1" s="1"/>
  <c r="N5" i="1"/>
  <c r="N86" i="1" s="1"/>
  <c r="M5" i="1"/>
  <c r="M86" i="1" s="1"/>
  <c r="L5" i="1"/>
  <c r="L86" i="1" s="1"/>
  <c r="K5" i="1"/>
  <c r="K86" i="1" s="1"/>
  <c r="J5" i="1"/>
  <c r="P4" i="1"/>
  <c r="P85" i="1" s="1"/>
  <c r="O4" i="1"/>
  <c r="O85" i="1" s="1"/>
  <c r="N4" i="1"/>
  <c r="N85" i="1" s="1"/>
  <c r="M4" i="1"/>
  <c r="M85" i="1" s="1"/>
  <c r="L4" i="1"/>
  <c r="L85" i="1" s="1"/>
  <c r="K4" i="1"/>
  <c r="K85" i="1" s="1"/>
  <c r="J4" i="1"/>
  <c r="P3" i="1"/>
  <c r="P84" i="1" s="1"/>
  <c r="O3" i="1"/>
  <c r="O84" i="1" s="1"/>
  <c r="N3" i="1"/>
  <c r="N84" i="1" s="1"/>
  <c r="M3" i="1"/>
  <c r="M84" i="1" s="1"/>
  <c r="L3" i="1"/>
  <c r="L84" i="1" s="1"/>
  <c r="K3" i="1"/>
  <c r="K84" i="1" s="1"/>
  <c r="J3" i="1"/>
  <c r="O2" i="1"/>
  <c r="O83" i="1" s="1"/>
  <c r="N2" i="1"/>
  <c r="N83" i="1" s="1"/>
  <c r="M2" i="1"/>
  <c r="M83" i="1" s="1"/>
  <c r="L2" i="1"/>
  <c r="L83" i="1" s="1"/>
  <c r="K2" i="1"/>
  <c r="K83" i="1" s="1"/>
  <c r="J2" i="1"/>
  <c r="P82" i="2"/>
  <c r="N81" i="2"/>
  <c r="O81" i="2"/>
  <c r="W81" i="2"/>
  <c r="X81" i="2"/>
  <c r="AF81" i="2"/>
  <c r="AG81" i="2"/>
  <c r="AQ81" i="2"/>
  <c r="AR81" i="2"/>
  <c r="N11" i="2"/>
  <c r="N33" i="2"/>
  <c r="N78" i="2"/>
  <c r="O78" i="2"/>
  <c r="W78" i="2"/>
  <c r="X78" i="2"/>
  <c r="AF78" i="2"/>
  <c r="AG78" i="2"/>
  <c r="AQ78" i="2"/>
  <c r="AR78" i="2"/>
  <c r="N3" i="2"/>
  <c r="O3" i="2"/>
  <c r="W3" i="2"/>
  <c r="X3" i="2"/>
  <c r="AF3" i="2"/>
  <c r="AG3" i="2"/>
  <c r="AQ3" i="2"/>
  <c r="AR3" i="2"/>
  <c r="N4" i="2"/>
  <c r="O4" i="2"/>
  <c r="W4" i="2"/>
  <c r="X4" i="2"/>
  <c r="AF4" i="2"/>
  <c r="AG4" i="2"/>
  <c r="AQ4" i="2"/>
  <c r="AR4" i="2"/>
  <c r="N5" i="2"/>
  <c r="O5" i="2"/>
  <c r="W5" i="2"/>
  <c r="X5" i="2"/>
  <c r="AF5" i="2"/>
  <c r="AG5" i="2"/>
  <c r="AQ5" i="2"/>
  <c r="AR5" i="2"/>
  <c r="N6" i="2"/>
  <c r="O6" i="2"/>
  <c r="W6" i="2"/>
  <c r="X6" i="2"/>
  <c r="AF6" i="2"/>
  <c r="AG6" i="2"/>
  <c r="AQ6" i="2"/>
  <c r="AR6" i="2"/>
  <c r="N7" i="2"/>
  <c r="O7" i="2"/>
  <c r="W7" i="2"/>
  <c r="X7" i="2"/>
  <c r="AF7" i="2"/>
  <c r="AG7" i="2"/>
  <c r="AQ7" i="2"/>
  <c r="AR7" i="2"/>
  <c r="N8" i="2"/>
  <c r="O8" i="2"/>
  <c r="W8" i="2"/>
  <c r="X8" i="2"/>
  <c r="AF8" i="2"/>
  <c r="AG8" i="2"/>
  <c r="AQ8" i="2"/>
  <c r="AR8" i="2"/>
  <c r="N9" i="2"/>
  <c r="O9" i="2"/>
  <c r="W9" i="2"/>
  <c r="X9" i="2"/>
  <c r="AF9" i="2"/>
  <c r="AG9" i="2"/>
  <c r="AQ9" i="2"/>
  <c r="AR9" i="2"/>
  <c r="N10" i="2"/>
  <c r="O10" i="2"/>
  <c r="W10" i="2"/>
  <c r="X10" i="2"/>
  <c r="AF10" i="2"/>
  <c r="AG10" i="2"/>
  <c r="AQ10" i="2"/>
  <c r="AR10" i="2"/>
  <c r="O11" i="2"/>
  <c r="W11" i="2"/>
  <c r="X11" i="2"/>
  <c r="AF11" i="2"/>
  <c r="AG11" i="2"/>
  <c r="AQ11" i="2"/>
  <c r="AR11" i="2"/>
  <c r="N12" i="2"/>
  <c r="O12" i="2"/>
  <c r="W12" i="2"/>
  <c r="X12" i="2"/>
  <c r="AF12" i="2"/>
  <c r="AG12" i="2"/>
  <c r="AQ12" i="2"/>
  <c r="AR12" i="2"/>
  <c r="N13" i="2"/>
  <c r="O13" i="2"/>
  <c r="W13" i="2"/>
  <c r="X13" i="2"/>
  <c r="AF13" i="2"/>
  <c r="AG13" i="2"/>
  <c r="AQ13" i="2"/>
  <c r="AR13" i="2"/>
  <c r="N14" i="2"/>
  <c r="O14" i="2"/>
  <c r="W14" i="2"/>
  <c r="X14" i="2"/>
  <c r="AF14" i="2"/>
  <c r="AG14" i="2"/>
  <c r="AQ14" i="2"/>
  <c r="AR14" i="2"/>
  <c r="N15" i="2"/>
  <c r="O15" i="2"/>
  <c r="W15" i="2"/>
  <c r="X15" i="2"/>
  <c r="AF15" i="2"/>
  <c r="AG15" i="2"/>
  <c r="AQ15" i="2"/>
  <c r="AR15" i="2"/>
  <c r="N16" i="2"/>
  <c r="O16" i="2"/>
  <c r="W16" i="2"/>
  <c r="X16" i="2"/>
  <c r="AF16" i="2"/>
  <c r="AG16" i="2"/>
  <c r="AQ16" i="2"/>
  <c r="AR16" i="2"/>
  <c r="N17" i="2"/>
  <c r="O17" i="2"/>
  <c r="W17" i="2"/>
  <c r="X17" i="2"/>
  <c r="AF17" i="2"/>
  <c r="AG17" i="2"/>
  <c r="AQ17" i="2"/>
  <c r="AR17" i="2"/>
  <c r="N18" i="2"/>
  <c r="O18" i="2"/>
  <c r="W18" i="2"/>
  <c r="X18" i="2"/>
  <c r="AF18" i="2"/>
  <c r="AG18" i="2"/>
  <c r="AQ18" i="2"/>
  <c r="AR18" i="2"/>
  <c r="N19" i="2"/>
  <c r="O19" i="2"/>
  <c r="W19" i="2"/>
  <c r="X19" i="2"/>
  <c r="AF19" i="2"/>
  <c r="AG19" i="2"/>
  <c r="AQ19" i="2"/>
  <c r="AR19" i="2"/>
  <c r="N20" i="2"/>
  <c r="O20" i="2"/>
  <c r="W20" i="2"/>
  <c r="X20" i="2"/>
  <c r="AF20" i="2"/>
  <c r="AG20" i="2"/>
  <c r="AQ20" i="2"/>
  <c r="AR20" i="2"/>
  <c r="N21" i="2"/>
  <c r="O21" i="2"/>
  <c r="W21" i="2"/>
  <c r="X21" i="2"/>
  <c r="AF21" i="2"/>
  <c r="AG21" i="2"/>
  <c r="AQ21" i="2"/>
  <c r="AR21" i="2"/>
  <c r="N22" i="2"/>
  <c r="O22" i="2"/>
  <c r="W22" i="2"/>
  <c r="X22" i="2"/>
  <c r="AF22" i="2"/>
  <c r="AG22" i="2"/>
  <c r="AQ22" i="2"/>
  <c r="AR22" i="2"/>
  <c r="N23" i="2"/>
  <c r="O23" i="2"/>
  <c r="W23" i="2"/>
  <c r="X23" i="2"/>
  <c r="AF23" i="2"/>
  <c r="AG23" i="2"/>
  <c r="AQ23" i="2"/>
  <c r="AR23" i="2"/>
  <c r="N24" i="2"/>
  <c r="O24" i="2"/>
  <c r="W24" i="2"/>
  <c r="X24" i="2"/>
  <c r="AF24" i="2"/>
  <c r="AG24" i="2"/>
  <c r="AQ24" i="2"/>
  <c r="AR24" i="2"/>
  <c r="N25" i="2"/>
  <c r="O25" i="2"/>
  <c r="W25" i="2"/>
  <c r="X25" i="2"/>
  <c r="AF25" i="2"/>
  <c r="AG25" i="2"/>
  <c r="AQ25" i="2"/>
  <c r="AR25" i="2"/>
  <c r="N26" i="2"/>
  <c r="O26" i="2"/>
  <c r="W26" i="2"/>
  <c r="X26" i="2"/>
  <c r="AF26" i="2"/>
  <c r="AG26" i="2"/>
  <c r="AQ26" i="2"/>
  <c r="AR26" i="2"/>
  <c r="N27" i="2"/>
  <c r="O27" i="2"/>
  <c r="W27" i="2"/>
  <c r="X27" i="2"/>
  <c r="AF27" i="2"/>
  <c r="AG27" i="2"/>
  <c r="AQ27" i="2"/>
  <c r="AR27" i="2"/>
  <c r="N28" i="2"/>
  <c r="O28" i="2"/>
  <c r="W28" i="2"/>
  <c r="X28" i="2"/>
  <c r="AF28" i="2"/>
  <c r="AG28" i="2"/>
  <c r="AQ28" i="2"/>
  <c r="AR28" i="2"/>
  <c r="N29" i="2"/>
  <c r="O29" i="2"/>
  <c r="W29" i="2"/>
  <c r="X29" i="2"/>
  <c r="AF29" i="2"/>
  <c r="AG29" i="2"/>
  <c r="AQ29" i="2"/>
  <c r="AR29" i="2"/>
  <c r="N30" i="2"/>
  <c r="O30" i="2"/>
  <c r="W30" i="2"/>
  <c r="X30" i="2"/>
  <c r="AF30" i="2"/>
  <c r="AG30" i="2"/>
  <c r="AQ30" i="2"/>
  <c r="AR30" i="2"/>
  <c r="N31" i="2"/>
  <c r="O31" i="2"/>
  <c r="W31" i="2"/>
  <c r="X31" i="2"/>
  <c r="AF31" i="2"/>
  <c r="AG31" i="2"/>
  <c r="AQ31" i="2"/>
  <c r="AR31" i="2"/>
  <c r="N32" i="2"/>
  <c r="O32" i="2"/>
  <c r="W32" i="2"/>
  <c r="X32" i="2"/>
  <c r="AF32" i="2"/>
  <c r="AG32" i="2"/>
  <c r="AQ32" i="2"/>
  <c r="AR32" i="2"/>
  <c r="O33" i="2"/>
  <c r="W33" i="2"/>
  <c r="X33" i="2"/>
  <c r="AF33" i="2"/>
  <c r="AG33" i="2"/>
  <c r="AQ33" i="2"/>
  <c r="AR33" i="2"/>
  <c r="N34" i="2"/>
  <c r="O34" i="2"/>
  <c r="W34" i="2"/>
  <c r="X34" i="2"/>
  <c r="AF34" i="2"/>
  <c r="AG34" i="2"/>
  <c r="AQ34" i="2"/>
  <c r="AR34" i="2"/>
  <c r="N35" i="2"/>
  <c r="O35" i="2"/>
  <c r="W35" i="2"/>
  <c r="X35" i="2"/>
  <c r="AF35" i="2"/>
  <c r="AG35" i="2"/>
  <c r="AQ35" i="2"/>
  <c r="AR35" i="2"/>
  <c r="N36" i="2"/>
  <c r="O36" i="2"/>
  <c r="W36" i="2"/>
  <c r="X36" i="2"/>
  <c r="AF36" i="2"/>
  <c r="AG36" i="2"/>
  <c r="AQ36" i="2"/>
  <c r="AR36" i="2"/>
  <c r="N37" i="2"/>
  <c r="O37" i="2"/>
  <c r="W37" i="2"/>
  <c r="X37" i="2"/>
  <c r="AF37" i="2"/>
  <c r="AG37" i="2"/>
  <c r="AQ37" i="2"/>
  <c r="AR37" i="2"/>
  <c r="N38" i="2"/>
  <c r="O38" i="2"/>
  <c r="W38" i="2"/>
  <c r="X38" i="2"/>
  <c r="AF38" i="2"/>
  <c r="AG38" i="2"/>
  <c r="AQ38" i="2"/>
  <c r="AR38" i="2"/>
  <c r="N39" i="2"/>
  <c r="O39" i="2"/>
  <c r="W39" i="2"/>
  <c r="X39" i="2"/>
  <c r="AF39" i="2"/>
  <c r="AG39" i="2"/>
  <c r="AQ39" i="2"/>
  <c r="AR39" i="2"/>
  <c r="N40" i="2"/>
  <c r="O40" i="2"/>
  <c r="W40" i="2"/>
  <c r="X40" i="2"/>
  <c r="AF40" i="2"/>
  <c r="AG40" i="2"/>
  <c r="AQ40" i="2"/>
  <c r="AR40" i="2"/>
  <c r="N41" i="2"/>
  <c r="O41" i="2"/>
  <c r="W41" i="2"/>
  <c r="X41" i="2"/>
  <c r="AF41" i="2"/>
  <c r="AG41" i="2"/>
  <c r="AQ41" i="2"/>
  <c r="AR41" i="2"/>
  <c r="N42" i="2"/>
  <c r="O42" i="2"/>
  <c r="W42" i="2"/>
  <c r="X42" i="2"/>
  <c r="AF42" i="2"/>
  <c r="AG42" i="2"/>
  <c r="AQ42" i="2"/>
  <c r="AR42" i="2"/>
  <c r="N43" i="2"/>
  <c r="O43" i="2"/>
  <c r="W43" i="2"/>
  <c r="X43" i="2"/>
  <c r="AF43" i="2"/>
  <c r="AG43" i="2"/>
  <c r="AQ43" i="2"/>
  <c r="AR43" i="2"/>
  <c r="N44" i="2"/>
  <c r="O44" i="2"/>
  <c r="W44" i="2"/>
  <c r="X44" i="2"/>
  <c r="AF44" i="2"/>
  <c r="AG44" i="2"/>
  <c r="AQ44" i="2"/>
  <c r="AR44" i="2"/>
  <c r="N45" i="2"/>
  <c r="O45" i="2"/>
  <c r="W45" i="2"/>
  <c r="X45" i="2"/>
  <c r="AF45" i="2"/>
  <c r="AG45" i="2"/>
  <c r="AQ45" i="2"/>
  <c r="AR45" i="2"/>
  <c r="N46" i="2"/>
  <c r="O46" i="2"/>
  <c r="W46" i="2"/>
  <c r="X46" i="2"/>
  <c r="AF46" i="2"/>
  <c r="AG46" i="2"/>
  <c r="AQ46" i="2"/>
  <c r="AR46" i="2"/>
  <c r="N47" i="2"/>
  <c r="O47" i="2"/>
  <c r="W47" i="2"/>
  <c r="X47" i="2"/>
  <c r="AF47" i="2"/>
  <c r="AG47" i="2"/>
  <c r="AQ47" i="2"/>
  <c r="AR47" i="2"/>
  <c r="N48" i="2"/>
  <c r="O48" i="2"/>
  <c r="W48" i="2"/>
  <c r="X48" i="2"/>
  <c r="AF48" i="2"/>
  <c r="AG48" i="2"/>
  <c r="AQ48" i="2"/>
  <c r="AR48" i="2"/>
  <c r="N49" i="2"/>
  <c r="O49" i="2"/>
  <c r="W49" i="2"/>
  <c r="X49" i="2"/>
  <c r="AF49" i="2"/>
  <c r="AG49" i="2"/>
  <c r="AQ49" i="2"/>
  <c r="AR49" i="2"/>
  <c r="N50" i="2"/>
  <c r="O50" i="2"/>
  <c r="W50" i="2"/>
  <c r="X50" i="2"/>
  <c r="AF50" i="2"/>
  <c r="AG50" i="2"/>
  <c r="AQ50" i="2"/>
  <c r="AR50" i="2"/>
  <c r="N51" i="2"/>
  <c r="O51" i="2"/>
  <c r="W51" i="2"/>
  <c r="X51" i="2"/>
  <c r="AF51" i="2"/>
  <c r="AG51" i="2"/>
  <c r="AQ51" i="2"/>
  <c r="AR51" i="2"/>
  <c r="N52" i="2"/>
  <c r="O52" i="2"/>
  <c r="W52" i="2"/>
  <c r="X52" i="2"/>
  <c r="AF52" i="2"/>
  <c r="AG52" i="2"/>
  <c r="AQ52" i="2"/>
  <c r="AR52" i="2"/>
  <c r="N54" i="2"/>
  <c r="O54" i="2"/>
  <c r="W54" i="2"/>
  <c r="X54" i="2"/>
  <c r="AF54" i="2"/>
  <c r="AG54" i="2"/>
  <c r="AQ54" i="2"/>
  <c r="AR54" i="2"/>
  <c r="N55" i="2"/>
  <c r="O55" i="2"/>
  <c r="W55" i="2"/>
  <c r="X55" i="2"/>
  <c r="AF55" i="2"/>
  <c r="AG55" i="2"/>
  <c r="AQ55" i="2"/>
  <c r="AR55" i="2"/>
  <c r="N56" i="2"/>
  <c r="O56" i="2"/>
  <c r="W56" i="2"/>
  <c r="X56" i="2"/>
  <c r="AF56" i="2"/>
  <c r="AG56" i="2"/>
  <c r="AQ56" i="2"/>
  <c r="AR56" i="2"/>
  <c r="N57" i="2"/>
  <c r="O57" i="2"/>
  <c r="W57" i="2"/>
  <c r="X57" i="2"/>
  <c r="AF57" i="2"/>
  <c r="AG57" i="2"/>
  <c r="AQ57" i="2"/>
  <c r="AR57" i="2"/>
  <c r="N58" i="2"/>
  <c r="O58" i="2"/>
  <c r="W58" i="2"/>
  <c r="X58" i="2"/>
  <c r="AF58" i="2"/>
  <c r="AG58" i="2"/>
  <c r="AQ58" i="2"/>
  <c r="AR58" i="2"/>
  <c r="N59" i="2"/>
  <c r="O59" i="2"/>
  <c r="W59" i="2"/>
  <c r="X59" i="2"/>
  <c r="AF59" i="2"/>
  <c r="AG59" i="2"/>
  <c r="AQ59" i="2"/>
  <c r="AR59" i="2"/>
  <c r="N60" i="2"/>
  <c r="O60" i="2"/>
  <c r="W60" i="2"/>
  <c r="X60" i="2"/>
  <c r="AF60" i="2"/>
  <c r="AG60" i="2"/>
  <c r="AQ60" i="2"/>
  <c r="AR60" i="2"/>
  <c r="N61" i="2"/>
  <c r="O61" i="2"/>
  <c r="W61" i="2"/>
  <c r="X61" i="2"/>
  <c r="AF61" i="2"/>
  <c r="AG61" i="2"/>
  <c r="AQ61" i="2"/>
  <c r="AR61" i="2"/>
  <c r="N62" i="2"/>
  <c r="O62" i="2"/>
  <c r="W62" i="2"/>
  <c r="X62" i="2"/>
  <c r="AF62" i="2"/>
  <c r="AG62" i="2"/>
  <c r="AQ62" i="2"/>
  <c r="AR62" i="2"/>
  <c r="N63" i="2"/>
  <c r="O63" i="2"/>
  <c r="W63" i="2"/>
  <c r="X63" i="2"/>
  <c r="AF63" i="2"/>
  <c r="AG63" i="2"/>
  <c r="AQ63" i="2"/>
  <c r="AR63" i="2"/>
  <c r="N64" i="2"/>
  <c r="O64" i="2"/>
  <c r="W64" i="2"/>
  <c r="X64" i="2"/>
  <c r="AF64" i="2"/>
  <c r="AG64" i="2"/>
  <c r="AQ64" i="2"/>
  <c r="AR64" i="2"/>
  <c r="N65" i="2"/>
  <c r="O65" i="2"/>
  <c r="W65" i="2"/>
  <c r="X65" i="2"/>
  <c r="AF65" i="2"/>
  <c r="AG65" i="2"/>
  <c r="AQ65" i="2"/>
  <c r="AR65" i="2"/>
  <c r="N66" i="2"/>
  <c r="O66" i="2"/>
  <c r="W66" i="2"/>
  <c r="X66" i="2"/>
  <c r="AF66" i="2"/>
  <c r="AG66" i="2"/>
  <c r="AQ66" i="2"/>
  <c r="AR66" i="2"/>
  <c r="N67" i="2"/>
  <c r="O67" i="2"/>
  <c r="W67" i="2"/>
  <c r="X67" i="2"/>
  <c r="AF67" i="2"/>
  <c r="AG67" i="2"/>
  <c r="AQ67" i="2"/>
  <c r="AR67" i="2"/>
  <c r="N68" i="2"/>
  <c r="O68" i="2"/>
  <c r="W68" i="2"/>
  <c r="X68" i="2"/>
  <c r="AF68" i="2"/>
  <c r="AG68" i="2"/>
  <c r="AQ68" i="2"/>
  <c r="AR68" i="2"/>
  <c r="N69" i="2"/>
  <c r="O69" i="2"/>
  <c r="W69" i="2"/>
  <c r="X69" i="2"/>
  <c r="AF69" i="2"/>
  <c r="AG69" i="2"/>
  <c r="AQ69" i="2"/>
  <c r="AR69" i="2"/>
  <c r="N70" i="2"/>
  <c r="O70" i="2"/>
  <c r="W70" i="2"/>
  <c r="X70" i="2"/>
  <c r="AF70" i="2"/>
  <c r="AG70" i="2"/>
  <c r="AQ70" i="2"/>
  <c r="AR70" i="2"/>
  <c r="N71" i="2"/>
  <c r="O71" i="2"/>
  <c r="W71" i="2"/>
  <c r="X71" i="2"/>
  <c r="AF71" i="2"/>
  <c r="AG71" i="2"/>
  <c r="AQ71" i="2"/>
  <c r="AR71" i="2"/>
  <c r="N72" i="2"/>
  <c r="O72" i="2"/>
  <c r="W72" i="2"/>
  <c r="X72" i="2"/>
  <c r="AF72" i="2"/>
  <c r="AG72" i="2"/>
  <c r="AQ72" i="2"/>
  <c r="AR72" i="2"/>
  <c r="N73" i="2"/>
  <c r="O73" i="2"/>
  <c r="W73" i="2"/>
  <c r="X73" i="2"/>
  <c r="AF73" i="2"/>
  <c r="AG73" i="2"/>
  <c r="AQ73" i="2"/>
  <c r="AR73" i="2"/>
  <c r="N74" i="2"/>
  <c r="O74" i="2"/>
  <c r="W74" i="2"/>
  <c r="X74" i="2"/>
  <c r="AF74" i="2"/>
  <c r="AG74" i="2"/>
  <c r="AQ74" i="2"/>
  <c r="AR74" i="2"/>
  <c r="N75" i="2"/>
  <c r="O75" i="2"/>
  <c r="W75" i="2"/>
  <c r="X75" i="2"/>
  <c r="AF75" i="2"/>
  <c r="AG75" i="2"/>
  <c r="AQ75" i="2"/>
  <c r="AR75" i="2"/>
  <c r="N76" i="2"/>
  <c r="O76" i="2"/>
  <c r="W76" i="2"/>
  <c r="X76" i="2"/>
  <c r="AF76" i="2"/>
  <c r="AG76" i="2"/>
  <c r="AQ76" i="2"/>
  <c r="AR76" i="2"/>
  <c r="N77" i="2"/>
  <c r="O77" i="2"/>
  <c r="W77" i="2"/>
  <c r="X77" i="2"/>
  <c r="AF77" i="2"/>
  <c r="AG77" i="2"/>
  <c r="AQ77" i="2"/>
  <c r="AR77" i="2"/>
  <c r="AR2" i="2"/>
  <c r="AQ2" i="2"/>
  <c r="AG2" i="2"/>
  <c r="AF2" i="2"/>
  <c r="X2" i="2"/>
  <c r="W2" i="2"/>
  <c r="O2" i="2"/>
  <c r="N2" i="2"/>
  <c r="F142" i="1"/>
  <c r="AS36" i="2" l="1"/>
  <c r="AT36" i="2" s="1"/>
  <c r="AS25" i="2"/>
  <c r="AS12" i="2"/>
  <c r="AT12" i="2" s="1"/>
  <c r="AS13" i="2"/>
  <c r="AS62" i="2"/>
  <c r="AU62" i="2" s="1"/>
  <c r="AS74" i="2"/>
  <c r="AU74" i="2" s="1"/>
  <c r="AS37" i="2"/>
  <c r="AS49" i="2"/>
  <c r="AT49" i="2" s="1"/>
  <c r="AS73" i="2"/>
  <c r="AT73" i="2" s="1"/>
  <c r="AS61" i="2"/>
  <c r="AT61" i="2" s="1"/>
  <c r="AS48" i="2"/>
  <c r="AT48" i="2" s="1"/>
  <c r="AS24" i="2"/>
  <c r="AT24" i="2" s="1"/>
  <c r="CI2" i="7" a="1"/>
  <c r="CI2" i="7" s="1"/>
  <c r="CH2" i="7" a="1"/>
  <c r="CH2" i="7" s="1"/>
  <c r="CG2" i="7" a="1"/>
  <c r="CG2" i="7" s="1"/>
  <c r="CF2" i="7" a="1"/>
  <c r="CF2" i="7" s="1"/>
  <c r="AS2" i="2"/>
  <c r="AV83" i="1"/>
  <c r="G2" i="1"/>
  <c r="G83" i="1" s="1"/>
  <c r="AV141" i="1"/>
  <c r="G60" i="1"/>
  <c r="AV140" i="1"/>
  <c r="G59" i="1"/>
  <c r="AV139" i="1"/>
  <c r="G58" i="1"/>
  <c r="AV138" i="1"/>
  <c r="G57" i="1"/>
  <c r="AV137" i="1"/>
  <c r="G56" i="1"/>
  <c r="AV136" i="1"/>
  <c r="G55" i="1"/>
  <c r="AV135" i="1"/>
  <c r="G54" i="1"/>
  <c r="AV134" i="1"/>
  <c r="G53" i="1"/>
  <c r="AV133" i="1"/>
  <c r="G52" i="1"/>
  <c r="AV132" i="1"/>
  <c r="G51" i="1"/>
  <c r="AV131" i="1"/>
  <c r="G50" i="1"/>
  <c r="AV130" i="1"/>
  <c r="G49" i="1"/>
  <c r="AV129" i="1"/>
  <c r="G48" i="1"/>
  <c r="AV128" i="1"/>
  <c r="G47" i="1"/>
  <c r="AV127" i="1"/>
  <c r="G46" i="1"/>
  <c r="AV126" i="1"/>
  <c r="G45" i="1"/>
  <c r="AV125" i="1"/>
  <c r="G44" i="1"/>
  <c r="AV124" i="1"/>
  <c r="G43" i="1"/>
  <c r="AV123" i="1"/>
  <c r="G42" i="1"/>
  <c r="G123" i="1" s="1"/>
  <c r="AV122" i="1"/>
  <c r="G41" i="1"/>
  <c r="AV121" i="1"/>
  <c r="G40" i="1"/>
  <c r="AV120" i="1"/>
  <c r="G39" i="1"/>
  <c r="AV119" i="1"/>
  <c r="G38" i="1"/>
  <c r="AV118" i="1"/>
  <c r="G37" i="1"/>
  <c r="I37" i="1" s="1"/>
  <c r="I118" i="1" s="1"/>
  <c r="AV117" i="1"/>
  <c r="G36" i="1"/>
  <c r="AV116" i="1"/>
  <c r="G35" i="1"/>
  <c r="AV115" i="1"/>
  <c r="G34" i="1"/>
  <c r="AV114" i="1"/>
  <c r="G33" i="1"/>
  <c r="AV113" i="1"/>
  <c r="G32" i="1"/>
  <c r="AV112" i="1"/>
  <c r="G31" i="1"/>
  <c r="AV111" i="1"/>
  <c r="G30" i="1"/>
  <c r="AV110" i="1"/>
  <c r="G29" i="1"/>
  <c r="AV109" i="1"/>
  <c r="G28" i="1"/>
  <c r="I28" i="1" s="1"/>
  <c r="I109" i="1" s="1"/>
  <c r="AV108" i="1"/>
  <c r="G27" i="1"/>
  <c r="AV107" i="1"/>
  <c r="G26" i="1"/>
  <c r="AV106" i="1"/>
  <c r="G25" i="1"/>
  <c r="AV105" i="1"/>
  <c r="G24" i="1"/>
  <c r="AV104" i="1"/>
  <c r="G23" i="1"/>
  <c r="AV103" i="1"/>
  <c r="G22" i="1"/>
  <c r="AV102" i="1"/>
  <c r="G21" i="1"/>
  <c r="AV101" i="1"/>
  <c r="G20" i="1"/>
  <c r="I20" i="1" s="1"/>
  <c r="I101" i="1" s="1"/>
  <c r="AV100" i="1"/>
  <c r="G19" i="1"/>
  <c r="AV99" i="1"/>
  <c r="G18" i="1"/>
  <c r="AV98" i="1"/>
  <c r="G17" i="1"/>
  <c r="AV97" i="1"/>
  <c r="G16" i="1"/>
  <c r="AV96" i="1"/>
  <c r="G15" i="1"/>
  <c r="AV95" i="1"/>
  <c r="G14" i="1"/>
  <c r="AV94" i="1"/>
  <c r="G13" i="1"/>
  <c r="I13" i="1" s="1"/>
  <c r="I94" i="1" s="1"/>
  <c r="AV93" i="1"/>
  <c r="G12" i="1"/>
  <c r="AV92" i="1"/>
  <c r="G11" i="1"/>
  <c r="AV91" i="1"/>
  <c r="G10" i="1"/>
  <c r="AV90" i="1"/>
  <c r="G9" i="1"/>
  <c r="AV89" i="1"/>
  <c r="G8" i="1"/>
  <c r="AV88" i="1"/>
  <c r="G7" i="1"/>
  <c r="AV87" i="1"/>
  <c r="G6" i="1"/>
  <c r="AV86" i="1"/>
  <c r="G5" i="1"/>
  <c r="AV85" i="1"/>
  <c r="G4" i="1"/>
  <c r="AV84" i="1"/>
  <c r="G3" i="1"/>
  <c r="AU13" i="2"/>
  <c r="AT13" i="2"/>
  <c r="AU25" i="2"/>
  <c r="AT25" i="2"/>
  <c r="AU37" i="2"/>
  <c r="AT37" i="2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13" i="1"/>
  <c r="Y113" i="1"/>
  <c r="R113" i="1"/>
  <c r="J113" i="1"/>
  <c r="G132" i="1"/>
  <c r="G87" i="1"/>
  <c r="G93" i="1"/>
  <c r="G104" i="1"/>
  <c r="I47" i="1"/>
  <c r="I128" i="1" s="1"/>
  <c r="I24" i="1"/>
  <c r="I105" i="1" s="1"/>
  <c r="A5" i="3" a="1"/>
  <c r="I51" i="1"/>
  <c r="I132" i="1" s="1"/>
  <c r="I6" i="1"/>
  <c r="I87" i="1" s="1"/>
  <c r="I23" i="1"/>
  <c r="I104" i="1" s="1"/>
  <c r="I12" i="1"/>
  <c r="I93" i="1" s="1"/>
  <c r="AS77" i="2"/>
  <c r="AT77" i="2" s="1"/>
  <c r="AS76" i="2"/>
  <c r="AT76" i="2" s="1"/>
  <c r="AS75" i="2"/>
  <c r="AU75" i="2" s="1"/>
  <c r="AS72" i="2"/>
  <c r="AT72" i="2" s="1"/>
  <c r="AS71" i="2"/>
  <c r="AU71" i="2" s="1"/>
  <c r="AS70" i="2"/>
  <c r="AT70" i="2" s="1"/>
  <c r="AS69" i="2"/>
  <c r="AT69" i="2" s="1"/>
  <c r="AS68" i="2"/>
  <c r="AU68" i="2" s="1"/>
  <c r="AS67" i="2"/>
  <c r="AT67" i="2" s="1"/>
  <c r="AS66" i="2"/>
  <c r="AT66" i="2" s="1"/>
  <c r="AS65" i="2"/>
  <c r="AU65" i="2" s="1"/>
  <c r="AS64" i="2"/>
  <c r="AT64" i="2" s="1"/>
  <c r="AS63" i="2"/>
  <c r="AT63" i="2" s="1"/>
  <c r="AS59" i="2"/>
  <c r="AT59" i="2" s="1"/>
  <c r="AS57" i="2"/>
  <c r="AU57" i="2" s="1"/>
  <c r="AS56" i="2"/>
  <c r="AT56" i="2" s="1"/>
  <c r="AS55" i="2"/>
  <c r="AT55" i="2" s="1"/>
  <c r="AS54" i="2"/>
  <c r="AT54" i="2" s="1"/>
  <c r="AS52" i="2"/>
  <c r="AT52" i="2" s="1"/>
  <c r="AS51" i="2"/>
  <c r="AU51" i="2" s="1"/>
  <c r="AS50" i="2"/>
  <c r="AT50" i="2" s="1"/>
  <c r="AS47" i="2"/>
  <c r="AT47" i="2" s="1"/>
  <c r="AS46" i="2"/>
  <c r="AT46" i="2" s="1"/>
  <c r="AS45" i="2"/>
  <c r="AU45" i="2" s="1"/>
  <c r="AS44" i="2"/>
  <c r="AU44" i="2" s="1"/>
  <c r="AS43" i="2"/>
  <c r="AT43" i="2" s="1"/>
  <c r="AS42" i="2"/>
  <c r="AU42" i="2" s="1"/>
  <c r="AS41" i="2"/>
  <c r="AU41" i="2" s="1"/>
  <c r="AS40" i="2"/>
  <c r="AT40" i="2" s="1"/>
  <c r="AS39" i="2"/>
  <c r="AU39" i="2" s="1"/>
  <c r="AS38" i="2"/>
  <c r="AU38" i="2" s="1"/>
  <c r="AS35" i="2"/>
  <c r="AU35" i="2" s="1"/>
  <c r="AS34" i="2"/>
  <c r="AU34" i="2" s="1"/>
  <c r="AS32" i="2"/>
  <c r="AU32" i="2" s="1"/>
  <c r="AS31" i="2"/>
  <c r="AT31" i="2" s="1"/>
  <c r="AS30" i="2"/>
  <c r="AU30" i="2" s="1"/>
  <c r="AS29" i="2"/>
  <c r="AT29" i="2" s="1"/>
  <c r="AS28" i="2"/>
  <c r="AT28" i="2" s="1"/>
  <c r="AS27" i="2"/>
  <c r="AT27" i="2" s="1"/>
  <c r="AS26" i="2"/>
  <c r="AT26" i="2" s="1"/>
  <c r="AS23" i="2"/>
  <c r="AT23" i="2" s="1"/>
  <c r="AS22" i="2"/>
  <c r="AT22" i="2" s="1"/>
  <c r="AS21" i="2"/>
  <c r="AT21" i="2" s="1"/>
  <c r="AS20" i="2"/>
  <c r="AU20" i="2" s="1"/>
  <c r="AS19" i="2"/>
  <c r="AT19" i="2" s="1"/>
  <c r="AS18" i="2"/>
  <c r="AU18" i="2" s="1"/>
  <c r="AS17" i="2"/>
  <c r="AT17" i="2" s="1"/>
  <c r="AS16" i="2"/>
  <c r="AT16" i="2" s="1"/>
  <c r="AS15" i="2"/>
  <c r="AT15" i="2" s="1"/>
  <c r="AS14" i="2"/>
  <c r="AU14" i="2" s="1"/>
  <c r="AS10" i="2"/>
  <c r="AT10" i="2" s="1"/>
  <c r="AS9" i="2"/>
  <c r="AT9" i="2" s="1"/>
  <c r="AS8" i="2"/>
  <c r="AU8" i="2" s="1"/>
  <c r="AS7" i="2"/>
  <c r="AT7" i="2" s="1"/>
  <c r="AS6" i="2"/>
  <c r="AU6" i="2" s="1"/>
  <c r="AS5" i="2"/>
  <c r="AT5" i="2" s="1"/>
  <c r="AS4" i="2"/>
  <c r="AT4" i="2" s="1"/>
  <c r="AS3" i="2"/>
  <c r="AT3" i="2" s="1"/>
  <c r="AS78" i="2"/>
  <c r="AU78" i="2" s="1"/>
  <c r="AS33" i="2"/>
  <c r="AU33" i="2" s="1"/>
  <c r="AS11" i="2"/>
  <c r="AT11" i="2" s="1"/>
  <c r="AS81" i="2"/>
  <c r="AU81" i="2" s="1"/>
  <c r="AS60" i="2"/>
  <c r="AT60" i="2" s="1"/>
  <c r="AS58" i="2"/>
  <c r="AT58" i="2" s="1"/>
  <c r="AU43" i="2"/>
  <c r="AU4" i="2"/>
  <c r="AU9" i="2"/>
  <c r="AT41" i="2"/>
  <c r="AU73" i="2"/>
  <c r="AU61" i="2"/>
  <c r="AU48" i="2"/>
  <c r="AU36" i="2"/>
  <c r="AU24" i="2"/>
  <c r="AU12" i="2"/>
  <c r="AU2" i="2"/>
  <c r="AT2" i="2"/>
  <c r="AT65" i="2" l="1"/>
  <c r="AU28" i="2"/>
  <c r="AT78" i="2"/>
  <c r="H2" i="1"/>
  <c r="H83" i="1" s="1"/>
  <c r="AT20" i="2"/>
  <c r="AU29" i="2"/>
  <c r="AU58" i="2"/>
  <c r="AU5" i="2"/>
  <c r="AU59" i="2"/>
  <c r="AT38" i="2"/>
  <c r="AT71" i="2"/>
  <c r="AU55" i="2"/>
  <c r="AU46" i="2"/>
  <c r="AU63" i="2"/>
  <c r="AU66" i="2"/>
  <c r="AT14" i="2"/>
  <c r="AT68" i="2"/>
  <c r="AU77" i="2"/>
  <c r="AU26" i="2"/>
  <c r="AU72" i="2"/>
  <c r="AT51" i="2"/>
  <c r="AU31" i="2"/>
  <c r="AT35" i="2"/>
  <c r="AU49" i="2"/>
  <c r="AU76" i="2"/>
  <c r="AT39" i="2"/>
  <c r="AT8" i="2"/>
  <c r="AU23" i="2"/>
  <c r="AU54" i="2"/>
  <c r="AT81" i="2"/>
  <c r="AU40" i="2"/>
  <c r="AU17" i="2"/>
  <c r="I42" i="1"/>
  <c r="I123" i="1" s="1"/>
  <c r="AU67" i="2"/>
  <c r="AT32" i="2"/>
  <c r="AU15" i="2"/>
  <c r="AU52" i="2"/>
  <c r="AU47" i="2"/>
  <c r="AU11" i="2"/>
  <c r="AT75" i="2"/>
  <c r="AT6" i="2"/>
  <c r="AU3" i="2"/>
  <c r="AT18" i="2"/>
  <c r="AT74" i="2"/>
  <c r="AT42" i="2"/>
  <c r="AU64" i="2"/>
  <c r="AU19" i="2"/>
  <c r="AU7" i="2"/>
  <c r="AT62" i="2"/>
  <c r="AU56" i="2"/>
  <c r="AT44" i="2"/>
  <c r="AU69" i="2"/>
  <c r="AU21" i="2"/>
  <c r="AU27" i="2"/>
  <c r="AT34" i="2"/>
  <c r="AT57" i="2"/>
  <c r="AU50" i="2"/>
  <c r="AU10" i="2"/>
  <c r="A6" i="4" a="1"/>
  <c r="AU22" i="2"/>
  <c r="AU60" i="2"/>
  <c r="AU70" i="2"/>
  <c r="AT30" i="2"/>
  <c r="AU16" i="2"/>
  <c r="AT45" i="2"/>
  <c r="AT33" i="2"/>
  <c r="H40" i="1"/>
  <c r="H121" i="1" s="1"/>
  <c r="G121" i="1"/>
  <c r="H27" i="1"/>
  <c r="H108" i="1" s="1"/>
  <c r="G108" i="1"/>
  <c r="H28" i="1"/>
  <c r="H109" i="1" s="1"/>
  <c r="G109" i="1"/>
  <c r="H26" i="1"/>
  <c r="H107" i="1" s="1"/>
  <c r="G107" i="1"/>
  <c r="H20" i="1"/>
  <c r="H101" i="1" s="1"/>
  <c r="G101" i="1"/>
  <c r="H21" i="1"/>
  <c r="H102" i="1" s="1"/>
  <c r="G102" i="1"/>
  <c r="H22" i="1"/>
  <c r="H103" i="1" s="1"/>
  <c r="G103" i="1"/>
  <c r="H24" i="1"/>
  <c r="H105" i="1" s="1"/>
  <c r="G105" i="1"/>
  <c r="H29" i="1"/>
  <c r="H110" i="1" s="1"/>
  <c r="G110" i="1"/>
  <c r="H31" i="1"/>
  <c r="H112" i="1" s="1"/>
  <c r="G112" i="1"/>
  <c r="H33" i="1"/>
  <c r="H114" i="1" s="1"/>
  <c r="G114" i="1"/>
  <c r="H35" i="1"/>
  <c r="H116" i="1" s="1"/>
  <c r="G116" i="1"/>
  <c r="H36" i="1"/>
  <c r="H117" i="1" s="1"/>
  <c r="G117" i="1"/>
  <c r="H7" i="1"/>
  <c r="H88" i="1" s="1"/>
  <c r="G88" i="1"/>
  <c r="H9" i="1"/>
  <c r="H90" i="1" s="1"/>
  <c r="G90" i="1"/>
  <c r="H10" i="1"/>
  <c r="H91" i="1" s="1"/>
  <c r="G91" i="1"/>
  <c r="H11" i="1"/>
  <c r="H92" i="1" s="1"/>
  <c r="G92" i="1"/>
  <c r="H13" i="1"/>
  <c r="H94" i="1" s="1"/>
  <c r="G94" i="1"/>
  <c r="H14" i="1"/>
  <c r="H95" i="1" s="1"/>
  <c r="G95" i="1"/>
  <c r="H15" i="1"/>
  <c r="H96" i="1" s="1"/>
  <c r="G96" i="1"/>
  <c r="H16" i="1"/>
  <c r="H97" i="1" s="1"/>
  <c r="G97" i="1"/>
  <c r="H17" i="1"/>
  <c r="H98" i="1" s="1"/>
  <c r="G98" i="1"/>
  <c r="H18" i="1"/>
  <c r="H99" i="1" s="1"/>
  <c r="G99" i="1"/>
  <c r="H19" i="1"/>
  <c r="H100" i="1" s="1"/>
  <c r="G100" i="1"/>
  <c r="H41" i="1"/>
  <c r="H122" i="1" s="1"/>
  <c r="G122" i="1"/>
  <c r="H43" i="1"/>
  <c r="H124" i="1" s="1"/>
  <c r="G124" i="1"/>
  <c r="H38" i="1"/>
  <c r="H119" i="1" s="1"/>
  <c r="G119" i="1"/>
  <c r="H37" i="1"/>
  <c r="H118" i="1" s="1"/>
  <c r="G118" i="1"/>
  <c r="H44" i="1"/>
  <c r="H125" i="1" s="1"/>
  <c r="G125" i="1"/>
  <c r="H39" i="1"/>
  <c r="H120" i="1" s="1"/>
  <c r="G120" i="1"/>
  <c r="H49" i="1"/>
  <c r="H130" i="1" s="1"/>
  <c r="G130" i="1"/>
  <c r="H50" i="1"/>
  <c r="H131" i="1" s="1"/>
  <c r="G131" i="1"/>
  <c r="H46" i="1"/>
  <c r="H127" i="1" s="1"/>
  <c r="G127" i="1"/>
  <c r="H48" i="1"/>
  <c r="H129" i="1" s="1"/>
  <c r="G129" i="1"/>
  <c r="H3" i="1"/>
  <c r="H84" i="1" s="1"/>
  <c r="G84" i="1"/>
  <c r="H5" i="1"/>
  <c r="H86" i="1" s="1"/>
  <c r="G86" i="1"/>
  <c r="H4" i="1"/>
  <c r="H85" i="1" s="1"/>
  <c r="G85" i="1"/>
  <c r="H47" i="1"/>
  <c r="H128" i="1" s="1"/>
  <c r="G128" i="1"/>
  <c r="H45" i="1"/>
  <c r="H126" i="1" s="1"/>
  <c r="G126" i="1"/>
  <c r="H54" i="1"/>
  <c r="H135" i="1" s="1"/>
  <c r="G135" i="1"/>
  <c r="H52" i="1"/>
  <c r="H133" i="1" s="1"/>
  <c r="G133" i="1"/>
  <c r="H55" i="1"/>
  <c r="H136" i="1" s="1"/>
  <c r="G136" i="1"/>
  <c r="H59" i="1"/>
  <c r="H140" i="1" s="1"/>
  <c r="G140" i="1"/>
  <c r="H56" i="1"/>
  <c r="H137" i="1" s="1"/>
  <c r="G137" i="1"/>
  <c r="H57" i="1"/>
  <c r="H138" i="1" s="1"/>
  <c r="G138" i="1"/>
  <c r="H53" i="1"/>
  <c r="H134" i="1" s="1"/>
  <c r="G134" i="1"/>
  <c r="H58" i="1"/>
  <c r="H139" i="1" s="1"/>
  <c r="G139" i="1"/>
  <c r="H60" i="1"/>
  <c r="H141" i="1" s="1"/>
  <c r="G141" i="1"/>
  <c r="H25" i="1"/>
  <c r="H106" i="1" s="1"/>
  <c r="G106" i="1"/>
  <c r="H23" i="1"/>
  <c r="H104" i="1" s="1"/>
  <c r="H12" i="1"/>
  <c r="H93" i="1" s="1"/>
  <c r="H42" i="1"/>
  <c r="H123" i="1" s="1"/>
  <c r="H6" i="1"/>
  <c r="H87" i="1" s="1"/>
  <c r="H51" i="1"/>
  <c r="H132" i="1" s="1"/>
  <c r="I33" i="1"/>
  <c r="I114" i="1" s="1"/>
  <c r="I41" i="1"/>
  <c r="I122" i="1" s="1"/>
  <c r="I52" i="1"/>
  <c r="I133" i="1" s="1"/>
  <c r="I57" i="1"/>
  <c r="I138" i="1" s="1"/>
  <c r="I53" i="1"/>
  <c r="I134" i="1" s="1"/>
  <c r="I58" i="1"/>
  <c r="I139" i="1" s="1"/>
  <c r="I60" i="1"/>
  <c r="I141" i="1" s="1"/>
  <c r="I55" i="1"/>
  <c r="I136" i="1" s="1"/>
  <c r="I38" i="1"/>
  <c r="I119" i="1" s="1"/>
  <c r="I40" i="1"/>
  <c r="I121" i="1" s="1"/>
  <c r="I46" i="1"/>
  <c r="I127" i="1" s="1"/>
  <c r="I27" i="1"/>
  <c r="I108" i="1" s="1"/>
  <c r="I26" i="1"/>
  <c r="I107" i="1" s="1"/>
  <c r="I21" i="1"/>
  <c r="I102" i="1" s="1"/>
  <c r="I22" i="1"/>
  <c r="I103" i="1" s="1"/>
  <c r="I29" i="1"/>
  <c r="I110" i="1" s="1"/>
  <c r="I31" i="1"/>
  <c r="I112" i="1" s="1"/>
  <c r="I35" i="1"/>
  <c r="I116" i="1" s="1"/>
  <c r="I36" i="1"/>
  <c r="I117" i="1" s="1"/>
  <c r="I7" i="1"/>
  <c r="I88" i="1" s="1"/>
  <c r="I9" i="1"/>
  <c r="I90" i="1" s="1"/>
  <c r="I10" i="1"/>
  <c r="I91" i="1" s="1"/>
  <c r="I11" i="1"/>
  <c r="I92" i="1" s="1"/>
  <c r="I14" i="1"/>
  <c r="I95" i="1" s="1"/>
  <c r="I15" i="1"/>
  <c r="I96" i="1" s="1"/>
  <c r="I16" i="1"/>
  <c r="I97" i="1" s="1"/>
  <c r="I17" i="1"/>
  <c r="I98" i="1" s="1"/>
  <c r="I18" i="1"/>
  <c r="I99" i="1" s="1"/>
  <c r="I19" i="1"/>
  <c r="I100" i="1" s="1"/>
  <c r="I43" i="1"/>
  <c r="I124" i="1" s="1"/>
  <c r="I44" i="1"/>
  <c r="I125" i="1" s="1"/>
  <c r="I39" i="1"/>
  <c r="I120" i="1" s="1"/>
  <c r="I49" i="1"/>
  <c r="I130" i="1" s="1"/>
  <c r="I50" i="1"/>
  <c r="I131" i="1" s="1"/>
  <c r="I48" i="1"/>
  <c r="I129" i="1" s="1"/>
  <c r="I3" i="1"/>
  <c r="I84" i="1" s="1"/>
  <c r="I5" i="1"/>
  <c r="I86" i="1" s="1"/>
  <c r="I4" i="1"/>
  <c r="I85" i="1" s="1"/>
  <c r="I2" i="1"/>
  <c r="I83" i="1" s="1"/>
  <c r="I45" i="1"/>
  <c r="I126" i="1" s="1"/>
  <c r="I54" i="1"/>
  <c r="I135" i="1" s="1"/>
  <c r="I59" i="1"/>
  <c r="I140" i="1" s="1"/>
  <c r="I56" i="1"/>
  <c r="I137" i="1" s="1"/>
  <c r="I8" i="1"/>
  <c r="I89" i="1" s="1"/>
  <c r="G61" i="1"/>
  <c r="I25" i="1"/>
  <c r="I106" i="1" s="1"/>
  <c r="G142" i="1" l="1"/>
  <c r="I61" i="1"/>
  <c r="H8" i="1"/>
  <c r="H89" i="1" s="1"/>
  <c r="G89" i="1"/>
  <c r="DL3" i="7" s="1" a="1"/>
  <c r="H30" i="1"/>
  <c r="H111" i="1" s="1"/>
  <c r="G111" i="1"/>
  <c r="I30" i="1"/>
  <c r="I111" i="1" s="1"/>
  <c r="H34" i="1"/>
  <c r="H115" i="1" s="1"/>
  <c r="G115" i="1"/>
  <c r="I34" i="1"/>
  <c r="I115" i="1" s="1"/>
  <c r="G113" i="1"/>
  <c r="H32" i="1"/>
  <c r="H113" i="1" s="1"/>
  <c r="I32" i="1"/>
  <c r="I113" i="1" s="1"/>
  <c r="I142" i="1"/>
  <c r="A6" i="4"/>
  <c r="A5" i="3"/>
  <c r="CM20" i="7" l="1" a="1"/>
  <c r="DB3" i="7" s="1" a="1"/>
  <c r="DB3" i="7" s="1"/>
  <c r="DL3" i="7"/>
  <c r="DO3" i="7" s="1" a="1"/>
  <c r="H61" i="1"/>
  <c r="H142" i="1" s="1"/>
  <c r="A71" i="7" s="1" a="1"/>
  <c r="A71" i="7" s="1"/>
  <c r="DQ3" i="7" l="1" a="1"/>
  <c r="DQ3" i="7" s="1"/>
  <c r="DO3" i="7"/>
  <c r="A53" i="7" a="1"/>
  <c r="A53" i="7" s="1"/>
  <c r="DR3" i="7" a="1"/>
  <c r="DR3" i="7" s="1"/>
  <c r="DI3" i="7" a="1"/>
  <c r="DI3" i="7" s="1"/>
  <c r="DF3" i="7" a="1"/>
  <c r="DF3" i="7" s="1"/>
  <c r="CX20" i="7" a="1"/>
  <c r="U13" i="7" a="1"/>
  <c r="U13" i="7" s="1"/>
  <c r="Q13" i="7"/>
  <c r="M13" i="7"/>
  <c r="I13" i="7" a="1"/>
  <c r="I13" i="7" s="1"/>
  <c r="E13" i="7" a="1"/>
  <c r="E13" i="7" s="1"/>
  <c r="A13" i="7" a="1"/>
  <c r="A13" i="7" s="1"/>
  <c r="U9" i="7" a="1"/>
  <c r="U9" i="7" s="1"/>
  <c r="Q9" i="7"/>
  <c r="M9" i="7"/>
  <c r="I9" i="7"/>
  <c r="E9" i="7"/>
  <c r="A9" i="7"/>
  <c r="CM20" i="7"/>
  <c r="CX20" i="7" l="1"/>
  <c r="CZ5" i="7" s="1" a="1"/>
  <c r="CZ5" i="7" s="1"/>
  <c r="CZ2" i="7" l="1" a="1"/>
  <c r="CZ2" i="7" s="1"/>
  <c r="CZ3" i="7" a="1"/>
  <c r="CZ3" i="7" s="1"/>
  <c r="CZ4" i="7" a="1"/>
  <c r="CZ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tc={4491A9DE-5D53-46E1-9497-19AB78A783F0}</author>
  </authors>
  <commentList>
    <comment ref="J33" authorId="0" shapeId="0" xr:uid="{4491A9DE-5D53-46E1-9497-19AB78A7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63.81kg Short received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<sst xmlns="http://schemas.openxmlformats.org/spreadsheetml/2006/main" count="1620" uniqueCount="339">
  <si>
    <t>RAW MATERIAL FULFILLMENT DASHBOARD</t>
  </si>
  <si>
    <t>Unspecified</t>
  </si>
  <si>
    <t>All</t>
  </si>
  <si>
    <t>Pending Shortfall ↓</t>
  </si>
  <si>
    <t>Not Received</t>
  </si>
  <si>
    <t>RM Item</t>
  </si>
  <si>
    <t>Requirement (KG)</t>
  </si>
  <si>
    <t>Received (KG)</t>
  </si>
  <si>
    <t>Section</t>
  </si>
  <si>
    <t>Weighted Fulfillment</t>
  </si>
  <si>
    <t>Location</t>
  </si>
  <si>
    <t>Source Pending (KG)</t>
  </si>
  <si>
    <t>Source Date</t>
  </si>
  <si>
    <t>Receipt (KG)</t>
  </si>
  <si>
    <t>Month</t>
  </si>
  <si>
    <t>Fulfillment Rate</t>
  </si>
  <si>
    <t>Fulfillment ↑</t>
  </si>
  <si>
    <t>Partially Fulfilled</t>
  </si>
  <si>
    <t>Reporting Month</t>
  </si>
  <si>
    <t>Reporting Year</t>
  </si>
  <si>
    <t>RM Code</t>
  </si>
  <si>
    <t>RM Name</t>
  </si>
  <si>
    <t>Fulfillment Status</t>
  </si>
  <si>
    <t>Detail Sort</t>
  </si>
  <si>
    <t>Low Fulfillment</t>
  </si>
  <si>
    <t>Fully Fulfilled</t>
  </si>
  <si>
    <t>Partial Fulfillment</t>
  </si>
  <si>
    <t>Over-Fulfilled</t>
  </si>
  <si>
    <t>Fulfilled</t>
  </si>
  <si>
    <t>Data Review</t>
  </si>
  <si>
    <t>Total RM Items</t>
  </si>
  <si>
    <t>Total RM Requirement (KG)</t>
  </si>
  <si>
    <t>Total RM Received (KG)</t>
  </si>
  <si>
    <t>Total RM Pending (KG)</t>
  </si>
  <si>
    <t>Overall Fulfillment Rate</t>
  </si>
  <si>
    <t>Fully Fulfilled Items</t>
  </si>
  <si>
    <t>Partially Fulfilled Items</t>
  </si>
  <si>
    <t>Not Received Items</t>
  </si>
  <si>
    <t>Over-Fulfilled Items</t>
  </si>
  <si>
    <t>Sections Covered</t>
  </si>
  <si>
    <t>Locations Covered</t>
  </si>
  <si>
    <t>Critical Pending Items</t>
  </si>
  <si>
    <t>*Monthly rate = summed daily receipts ÷ current filtered RM requirement; source headers do not contain a year.</t>
  </si>
  <si>
    <t>TOP 10 PENDING RM ITEMS — SOURCE SIGNED VALUES</t>
  </si>
  <si>
    <t>Pending (KG)</t>
  </si>
  <si>
    <t>FILTERED RM DETAIL — SOURCE VALUES + PROVISIONAL STATUS</t>
  </si>
  <si>
    <t>Critical = fulfillment below 50% and source pending indicates a shortfall of at least 1,000 KG. Negative pending is preserved and flagged; year is unavailable in the source headers.</t>
  </si>
  <si>
    <t>Sr. No.</t>
  </si>
  <si>
    <t>RM QTY</t>
  </si>
  <si>
    <t>Total Monthly RM (KG) Received</t>
  </si>
  <si>
    <t>Total Monthly RM Pending (KG)</t>
  </si>
  <si>
    <t>Total Fulfillment Rate %</t>
  </si>
  <si>
    <t>RM000149</t>
  </si>
  <si>
    <t>Spices</t>
  </si>
  <si>
    <t>C39/Pre-Production</t>
  </si>
  <si>
    <t>Raw lakadong turmeric</t>
  </si>
  <si>
    <t>RM000113</t>
  </si>
  <si>
    <t>Moringa Leaf</t>
  </si>
  <si>
    <t>RM000071</t>
  </si>
  <si>
    <t>Haldi-Turmeric Powder</t>
  </si>
  <si>
    <t>RM000044</t>
  </si>
  <si>
    <t>Coconut Sap Sugar</t>
  </si>
  <si>
    <t>RM000030</t>
  </si>
  <si>
    <t>Byadgi chill powder</t>
  </si>
  <si>
    <t>RM000179</t>
  </si>
  <si>
    <t>Saffron</t>
  </si>
  <si>
    <t>RM000177</t>
  </si>
  <si>
    <t>Raw Agri</t>
  </si>
  <si>
    <t>MIND/Pre-Production</t>
  </si>
  <si>
    <t>Rock Salt Powder</t>
  </si>
  <si>
    <t>RM000172</t>
  </si>
  <si>
    <t>Raw waghaya peanut</t>
  </si>
  <si>
    <t>RM000076</t>
  </si>
  <si>
    <t>Indrayani rice</t>
  </si>
  <si>
    <t>RM000139</t>
  </si>
  <si>
    <t>Raw Ajara Ghansal Rice</t>
  </si>
  <si>
    <t>RM000164</t>
  </si>
  <si>
    <t>Raw Stony Ambemohar rice</t>
  </si>
  <si>
    <t>RM000198</t>
  </si>
  <si>
    <t>Waghya Rajma</t>
  </si>
  <si>
    <t>RM000066</t>
  </si>
  <si>
    <t>Green Moong</t>
  </si>
  <si>
    <t>RM000200</t>
  </si>
  <si>
    <t>Whole Organic Cashew</t>
  </si>
  <si>
    <t>RM000094</t>
  </si>
  <si>
    <t>Khapli Wheat Grains (Packing)</t>
  </si>
  <si>
    <t>RM000067</t>
  </si>
  <si>
    <t>RM KalaNamak</t>
  </si>
  <si>
    <t>RM000227</t>
  </si>
  <si>
    <t>Moong Dal</t>
  </si>
  <si>
    <t>RM000168</t>
  </si>
  <si>
    <t>Raw Tur Dal</t>
  </si>
  <si>
    <t>Protein Atta</t>
  </si>
  <si>
    <t>Khapli Wheat Grains</t>
  </si>
  <si>
    <t>RM000072</t>
  </si>
  <si>
    <t>Harbara Dal</t>
  </si>
  <si>
    <t>RM000057</t>
  </si>
  <si>
    <t>Finger Millet</t>
  </si>
  <si>
    <t>RM000162</t>
  </si>
  <si>
    <t>Raw Soyabean</t>
  </si>
  <si>
    <t>RM000235</t>
  </si>
  <si>
    <t>Soy Protein Isolate</t>
  </si>
  <si>
    <t>RM000133</t>
  </si>
  <si>
    <t>Other Atta</t>
  </si>
  <si>
    <t>Jowar Grains</t>
  </si>
  <si>
    <t>RM000080</t>
  </si>
  <si>
    <t>Bajara</t>
  </si>
  <si>
    <t>RM000069</t>
  </si>
  <si>
    <t>Oil</t>
  </si>
  <si>
    <t>Groundnut Whole</t>
  </si>
  <si>
    <t>RM000155</t>
  </si>
  <si>
    <t>Raw peanut oil</t>
  </si>
  <si>
    <t>RM000144</t>
  </si>
  <si>
    <t>Raw Coconut Oil</t>
  </si>
  <si>
    <t>RM000166</t>
  </si>
  <si>
    <t>Raw Sunflower</t>
  </si>
  <si>
    <t>RM000167</t>
  </si>
  <si>
    <t>Raw Sunflower Oil</t>
  </si>
  <si>
    <t>RM000153</t>
  </si>
  <si>
    <t>Raw mustard oil</t>
  </si>
  <si>
    <t>RM000116</t>
  </si>
  <si>
    <t>Mustard Seeds</t>
  </si>
  <si>
    <t>RM000197</t>
  </si>
  <si>
    <t>VCO</t>
  </si>
  <si>
    <t>RM000221</t>
  </si>
  <si>
    <t>MG</t>
  </si>
  <si>
    <t>RM- Barley</t>
  </si>
  <si>
    <t>RM000213</t>
  </si>
  <si>
    <t>Flaxseed</t>
  </si>
  <si>
    <t>RM000074</t>
  </si>
  <si>
    <t>Horsegram</t>
  </si>
  <si>
    <t>RM000226</t>
  </si>
  <si>
    <t>Jaggery</t>
  </si>
  <si>
    <t>RM Jaggery Spice Cube 5 GM</t>
  </si>
  <si>
    <t>RM000186</t>
  </si>
  <si>
    <t>Sugarcane Jaggery Block - 900gm</t>
  </si>
  <si>
    <t>RM000183</t>
  </si>
  <si>
    <t>Solid Date Palm Jaggery</t>
  </si>
  <si>
    <t>RM000078</t>
  </si>
  <si>
    <t>Jaggery Powder gms</t>
  </si>
  <si>
    <t>RM000151</t>
  </si>
  <si>
    <t>Honey</t>
  </si>
  <si>
    <t>Raw multiflora forest honey</t>
  </si>
  <si>
    <t>RM000002</t>
  </si>
  <si>
    <t>Acacia Raw Honey</t>
  </si>
  <si>
    <t>RM000220</t>
  </si>
  <si>
    <t>GMP</t>
  </si>
  <si>
    <t>Broken Saffron</t>
  </si>
  <si>
    <t>RM000122</t>
  </si>
  <si>
    <t>Nutmeg( jayfal)</t>
  </si>
  <si>
    <t>RM000062</t>
  </si>
  <si>
    <t>Ginger Powder</t>
  </si>
  <si>
    <t>RM000056</t>
  </si>
  <si>
    <t>Fennel Seeds</t>
  </si>
  <si>
    <t>RM000051</t>
  </si>
  <si>
    <t>Dalchini/cinnamon</t>
  </si>
  <si>
    <t>RM000031</t>
  </si>
  <si>
    <t>Cardamom</t>
  </si>
  <si>
    <t>RM000018</t>
  </si>
  <si>
    <t>Black Pepper (Kali Miri)</t>
  </si>
  <si>
    <t>RM000015</t>
  </si>
  <si>
    <t>Black cardamom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</si>
  <si>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</si>
  <si>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</si>
  <si>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</si>
  <si>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</si>
  <si>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</si>
  <si>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</si>
  <si>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</si>
  <si>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</si>
  <si>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</si>
  <si>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</si>
  <si>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</si>
  <si>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</si>
  <si>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</si>
  <si>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</si>
  <si>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</si>
  <si>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</si>
  <si>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</si>
  <si>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</si>
  <si>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</si>
  <si>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</si>
  <si>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</si>
  <si>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</si>
  <si>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</si>
  <si>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</si>
  <si>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</si>
  <si>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</si>
  <si>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</si>
  <si>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</si>
  <si>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</si>
  <si>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</si>
  <si>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</si>
  <si>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</si>
  <si>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</si>
  <si>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</si>
  <si>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</si>
  <si>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</si>
  <si>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</si>
  <si>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</si>
  <si>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</si>
  <si>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</si>
  <si>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</si>
  <si>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</si>
  <si>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</si>
  <si>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</si>
  <si>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</si>
  <si>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</si>
  <si>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</si>
  <si>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</si>
  <si>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</si>
  <si>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</si>
  <si>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</si>
  <si>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</si>
  <si>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</si>
  <si>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</si>
  <si>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</si>
  <si>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</si>
  <si>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</si>
  <si>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</si>
  <si>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</si>
  <si>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</si>
  <si>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</si>
  <si>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</si>
  <si>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</si>
  <si>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</si>
  <si>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</si>
  <si>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</si>
  <si>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</si>
  <si>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</si>
  <si>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FG Names</t>
  </si>
  <si>
    <t>PM Names (Domestic)</t>
  </si>
  <si>
    <t>Total PM QTY MRP (Domestic)</t>
  </si>
  <si>
    <t>W 1 Total 
QTY
Received</t>
  </si>
  <si>
    <t xml:space="preserve">W 1 Projection
</t>
  </si>
  <si>
    <t>W 2 Total QTY
Received</t>
  </si>
  <si>
    <t xml:space="preserve">W 2 Projection
</t>
  </si>
  <si>
    <t>W 3 Total QTY
Received</t>
  </si>
  <si>
    <t xml:space="preserve">W 3 Projection
</t>
  </si>
  <si>
    <t>W 4 Total QTY
Received</t>
  </si>
  <si>
    <t xml:space="preserve">W 4 Projection
</t>
  </si>
  <si>
    <t>Total Monthly PM (Nos) Received</t>
  </si>
  <si>
    <t>Total Monthly PM Pending (Nos)</t>
  </si>
  <si>
    <t>Remark</t>
  </si>
  <si>
    <t>CRM/C-39 (new atta plant)</t>
  </si>
  <si>
    <t>[PM000607] 1kg khapli multigrain atta printed pillow pouch</t>
  </si>
  <si>
    <t>[PM000670] 2kg khapli multigrain atta printed pillow pouch</t>
  </si>
  <si>
    <t>[PM000666] 5kg khapli multigrain atta printed pillow pouch</t>
  </si>
  <si>
    <t>[PM000224] Forest Honey 350ml Label + Lid Label</t>
  </si>
  <si>
    <t>[PM000069] 350ml Glass Jar</t>
  </si>
  <si>
    <t>[PM000036] 82mm Cap</t>
  </si>
  <si>
    <t>[PM000628] Half Shrink Sleeve(140mmX40mmx40mic)250 and 500ml Glass jar</t>
  </si>
  <si>
    <t>[PM000225] Forest honey 500gm label + lid label</t>
  </si>
  <si>
    <t>[PM000072] 500 ml Glass Jar</t>
  </si>
  <si>
    <t>[PM000168] Acacia Honey - 350gm label + Lid Label</t>
  </si>
  <si>
    <t>[PM000448] Sugarcane Jaggery Block - 900 gm Printed Box</t>
  </si>
  <si>
    <t>[PM000421] Silver Bag for Jaggery block 900g</t>
  </si>
  <si>
    <t>[PM000576] TBOF Tamper proof round sticker</t>
  </si>
  <si>
    <t>[PM000423] Sugarcane Jaggery Powder - 2kg Custom Printed Pouch</t>
  </si>
  <si>
    <t>[PM000424] Sugarcane Jaggery Powder - 500 gm Custom Printed Pouch</t>
  </si>
  <si>
    <t>[PM000415] Moringa Powder - 100 gm Custom Printed Pouch</t>
  </si>
  <si>
    <t>[PM000408] Coconut sap sugar printed pouch - 300gm</t>
  </si>
  <si>
    <t>[PM000419] Selam Haldi - 100 gm Custom Printed Pouch</t>
  </si>
  <si>
    <t>[PM000375] 150gm Lakadong TurmericPowder standy printed pouch</t>
  </si>
  <si>
    <t>[PM000374] 150gm Byadgi Chilli Powder standy printed pouch</t>
  </si>
  <si>
    <t>[PM000384] 200g Golden Milk Powder Printed Pouch</t>
  </si>
  <si>
    <t>[PM000216] Date Palm Jaggery Solid, Pure Date Palm Sap 1/2 kg Label</t>
  </si>
  <si>
    <t>[PM000447] Solid Date Palm Jaggery Box- 500gm</t>
  </si>
  <si>
    <t>[PM000688] Jaggery sachet Box (Pack of 30)</t>
  </si>
  <si>
    <t>[PM000667] 113g Sugarcane jaggery printed pouch (USA)</t>
  </si>
  <si>
    <t>[PM000780] Spice jaggery Cubes 500gm Label +Lid</t>
  </si>
  <si>
    <t>[PM000684] 900ml Plastic PET Jar (for 500g Jaggery Cube)</t>
  </si>
  <si>
    <t>[PM000686] 83mm Wad (for 500g Jaggery Cube Jar)</t>
  </si>
  <si>
    <t>[PM000685] 83mm Black Cube Plastic Cap (for 500g Jaggery Cube Jar)</t>
  </si>
  <si>
    <t>[PM000777] Sugarcane Jaggery Powder - 1kg Custom Printed Pouch</t>
  </si>
  <si>
    <t>[PM000781] 50cc oxygen absorber</t>
  </si>
  <si>
    <t>[PM000442] 200cc oxygen absorber</t>
  </si>
  <si>
    <t>[PM000443] 500cc oxygen absorber</t>
  </si>
  <si>
    <t>[PM000601] 500g Jowar Atta Printed Pillow Pouch</t>
  </si>
  <si>
    <t>[PM000395] 2kg jowar flour printed pillow pouch</t>
  </si>
  <si>
    <t>[PM000406] Besan Atta - 1kg pillow pouch</t>
  </si>
  <si>
    <t>[PM000710] Jowar atta 910g Pouch USA</t>
  </si>
  <si>
    <t>[PM000782] 1kg high protein atta pillow pouch</t>
  </si>
  <si>
    <t>[PM000790] 2 kg High Protein Atta Printed pillow pouch</t>
  </si>
  <si>
    <t>[PM000791] 5 kg High Protein Atta Printed pillow pouch</t>
  </si>
  <si>
    <t>[PM000203] Coconut Oil (Wood-Pressed) - 1Ltr Plastic Bottle Label (F+B)</t>
  </si>
  <si>
    <t>[PM000584] 1ltr oil square plastic bottle</t>
  </si>
  <si>
    <t>[PM000585] 1ltr oil square plastic bottle black cap</t>
  </si>
  <si>
    <t>[PM000690] Half neck sleeves(1ltr oil plastic bottle)</t>
  </si>
  <si>
    <t xml:space="preserve"> 1ltr Black Mustard oil Plastic bottle label - (F+B)</t>
  </si>
  <si>
    <t>2Ltr Peanut Tin Can</t>
  </si>
  <si>
    <t>5Ltr Peanut Tin Can</t>
  </si>
  <si>
    <t>5Ltr Mustard Tin Can</t>
  </si>
  <si>
    <t>5Ltr Tin can cap</t>
  </si>
  <si>
    <t xml:space="preserve"> 1ltr Peanut oil Plastic bottle label - (F+B)</t>
  </si>
  <si>
    <t>[PM000138] 1ltr Sunflower oil Plastic bottle label - (F+B)</t>
  </si>
  <si>
    <t>[PM000056] 1gm Saffron Jar (30ml)</t>
  </si>
  <si>
    <t>[PM000122] 1gm Saffron jar label</t>
  </si>
  <si>
    <t>[PM000029] 43mm Cap</t>
  </si>
  <si>
    <t>[PM000123] 1gm Saffron - Leaflet</t>
  </si>
  <si>
    <t>[PM000378] 1gm Saffron box</t>
  </si>
  <si>
    <t>[PM000124] 1gm Saffron Lid label</t>
  </si>
  <si>
    <t>[PM000629] 1gm saffron box fitment</t>
  </si>
  <si>
    <t>[PM000606] 1kg Pink Salt Printed Pouch</t>
  </si>
  <si>
    <t>[PM000147] 500gm- Raw Waghya Peanut Label (F+B)</t>
  </si>
  <si>
    <t>[PM000397] 500gm Vacuum Bag/Pouch</t>
  </si>
  <si>
    <t>[PM000770] Indrayani unpolished Rice 1kg Printed Pillow Pouch</t>
  </si>
  <si>
    <t>[PM000769] Ajara ghansal Rice 1kg Printed Pillow Pouch</t>
  </si>
  <si>
    <t>[PM000768] Stony Ambemohar Rice 1kg Printed Pillow Pouch</t>
  </si>
  <si>
    <t>[PM000304] Rajma (1/2 kg) Label- (F+B)</t>
  </si>
  <si>
    <t>[PM000416] Sabut Moong (Whole green gram) 500g printed pillow pouch</t>
  </si>
  <si>
    <t>[PM000140] 250gm Whole Cashew Nut Label (F+B)</t>
  </si>
  <si>
    <t>[PM000386] 250gm Cashew Vacuum Pouch (6*8)</t>
  </si>
  <si>
    <t>[PM000250] Khapli Wheat Grains - 5kg Label (F+B)</t>
  </si>
  <si>
    <t>[PM000402] 5kg shiney bag -For khapli atta / Khapli Grains</t>
  </si>
  <si>
    <t>[PM000655] 1kg low GI rice printed pillow pouch</t>
  </si>
  <si>
    <t>[PM000659] 2kg low GI rice printed pillow pouch</t>
  </si>
  <si>
    <t>[PM000425] Tur dal (Split Peagen Pea) 500g printed pillow pouch</t>
  </si>
  <si>
    <t>PM000414 Moong dal pillow pouch</t>
  </si>
  <si>
    <t>1kg khapli multigrain atta Printed Roll</t>
  </si>
  <si>
    <t>125ml Sample Bottle</t>
  </si>
  <si>
    <t>Forest Honey 100gm Label</t>
  </si>
  <si>
    <t>1ltr Sunflower oil Plastic Bottle roll form</t>
  </si>
  <si>
    <t>RM INVENTORY SEARCH</t>
  </si>
  <si>
    <t>Search</t>
  </si>
  <si>
    <t>peanut</t>
  </si>
  <si>
    <t>RM Qty (KG)</t>
  </si>
  <si>
    <t>Monthly Received (KG)</t>
  </si>
  <si>
    <t>Detail</t>
  </si>
  <si>
    <t>PM Inventory Search</t>
  </si>
  <si>
    <t>Search PM name/code:</t>
  </si>
  <si>
    <t>Matching PM records</t>
  </si>
  <si>
    <t>Date</t>
  </si>
  <si>
    <t>Quantity</t>
  </si>
  <si>
    <t>ID</t>
  </si>
  <si>
    <t>Name of Supervisor</t>
  </si>
  <si>
    <t>Shekhar Sonawane</t>
  </si>
  <si>
    <t>Sushant Kadam</t>
  </si>
  <si>
    <t>Nutmeg (jayfal)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</si>
</sst>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%"/>
    <numFmt numFmtId="165" formatCode="#,##0;[Red]\-#,##0"/>
    <numFmt numFmtId="166" formatCode="#,##0.0;[Red]\-#,##0.0"/>
    <numFmt numFmtId="167" formatCode="#,##0.0"/>
  </numFmts>
  <fonts count="43">
    <font>
      <sz val="11"/>
      <color theme="1"/>
      <name val="Aptos Narrow"/>
      <family val="2"/>
      <scheme val="minor"/>
    </font>
    <font>
      <b/>
      <sz val="15"/>
      <color theme="1"/>
      <name val="Times New Roman"/>
    </font>
    <font>
      <b/>
      <sz val="15"/>
      <color rgb="FF000000"/>
      <name val="Times New Roman"/>
    </font>
    <font>
      <b/>
      <sz val="14"/>
      <color rgb="FF000000"/>
      <name val="Times New Roman"/>
    </font>
    <font>
      <b/>
      <sz val="14"/>
      <color rgb="FF000000"/>
      <name val="&quot;Times New Roman&quot;"/>
    </font>
    <font>
      <sz val="14"/>
      <color rgb="FF262626"/>
      <name val="Times New Roman"/>
    </font>
    <font>
      <sz val="14"/>
      <color rgb="FF000000"/>
      <name val="&quot;Times New Roman&quot;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04040"/>
      <name val="Aptos Narrow"/>
      <family val="2"/>
      <scheme val="minor"/>
    </font>
    <font>
      <b/>
      <sz val="15"/>
      <color rgb="FFFFFFFF"/>
      <name val="Times New Roman"/>
    </font>
    <font>
      <b/>
      <sz val="15"/>
      <color rgb="FFFFFFFF"/>
      <name val="&quot;Times New Roman&quot;"/>
    </font>
    <font>
      <b/>
      <sz val="16"/>
      <color rgb="FFFFFFFF"/>
      <name val="Times New Roman"/>
    </font>
    <font>
      <b/>
      <sz val="15"/>
      <color rgb="FFFFFFFF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Times New Roman"/>
    </font>
    <font>
      <sz val="10"/>
      <color theme="1"/>
      <name val="Aptos"/>
    </font>
    <font>
      <b/>
      <sz val="10"/>
      <color rgb="FFFFFFFF"/>
      <name val="Aptos"/>
    </font>
    <font>
      <b/>
      <sz val="20"/>
      <color rgb="FFFFFFFF"/>
      <name val="Aptos"/>
    </font>
    <font>
      <b/>
      <sz val="10"/>
      <color theme="1"/>
      <name val="Aptos"/>
    </font>
    <font>
      <b/>
      <sz val="12"/>
      <color theme="1"/>
      <name val="Aptos"/>
    </font>
    <font>
      <i/>
      <sz val="10"/>
      <color rgb="FF708090"/>
      <name val="Aptos"/>
    </font>
    <font>
      <b/>
      <sz val="14"/>
      <color rgb="FFFFFFFF"/>
      <name val="Times New Roman"/>
    </font>
    <font>
      <b/>
      <sz val="14"/>
      <color rgb="FFFFFFFF"/>
      <name val="&quot;Times New Roman&quot;"/>
    </font>
    <font>
      <b/>
      <sz val="16"/>
      <color theme="1"/>
      <name val="Times New Roman"/>
    </font>
    <font>
      <sz val="16"/>
      <color rgb="FF000000"/>
      <name val="Times New Roman"/>
    </font>
    <font>
      <b/>
      <sz val="16"/>
      <color rgb="FF000000"/>
      <name val="Times New Roman"/>
    </font>
    <font>
      <sz val="16"/>
      <color theme="1"/>
      <name val="Times New Roman"/>
    </font>
    <font>
      <b/>
      <sz val="16"/>
      <color rgb="FF000000"/>
      <name val="&quot;Times New Roman&quot;"/>
    </font>
    <font>
      <b/>
      <sz val="18"/>
      <color rgb="FFFFFFFF"/>
      <name val="&quot;Times New Roman&quot;"/>
    </font>
    <font>
      <b/>
      <sz val="18"/>
      <color rgb="FFFFFFFF"/>
      <name val="Times New Roman"/>
    </font>
    <font>
      <sz val="11"/>
      <color rgb="FF162438"/>
      <name val="Aptos"/>
    </font>
    <font>
      <b/>
      <sz val="22"/>
      <color rgb="FFFFFFFF"/>
      <name val="Aptos Narrow"/>
      <family val="2"/>
      <scheme val="minor"/>
    </font>
    <font>
      <i/>
      <sz val="11"/>
      <color rgb="FF607086"/>
      <name val="Aptos Narrow"/>
      <family val="2"/>
      <scheme val="minor"/>
    </font>
    <font>
      <b/>
      <sz val="18"/>
      <color rgb="FF0EA5A8"/>
      <name val="Aptos Narrow"/>
      <family val="2"/>
      <scheme val="minor"/>
    </font>
    <font>
      <b/>
      <sz val="11"/>
      <color rgb="FFFFFFFF"/>
      <name val="Aptos"/>
    </font>
    <font>
      <sz val="9"/>
      <color rgb="FF162438"/>
      <name val="Aptos"/>
    </font>
    <font>
      <sz val="9"/>
      <color theme="1"/>
      <name val="Aptos"/>
    </font>
    <font>
      <b/>
      <sz val="9"/>
      <color rgb="FFFFFFFF"/>
      <name val="Aptos"/>
    </font>
    <font>
      <i/>
      <sz val="9"/>
      <color rgb="FF607086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B300"/>
        <bgColor rgb="FFFFB300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9E7CC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DDF6F5"/>
        <bgColor indexed="64"/>
      </patternFill>
    </fill>
    <fill>
      <patternFill patternType="solid">
        <fgColor rgb="FF0EA5A8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E7E6E6"/>
      </right>
      <top/>
      <bottom style="thin">
        <color rgb="FFE4DFEC"/>
      </bottom>
      <diagonal/>
    </border>
    <border>
      <left style="thin">
        <color rgb="FFE7E6E6"/>
      </left>
      <right style="thin">
        <color rgb="FFE7E6E6"/>
      </right>
      <top/>
      <bottom style="thin">
        <color rgb="FFE4DFEC"/>
      </bottom>
      <diagonal/>
    </border>
    <border>
      <left style="thin">
        <color rgb="FFE7E6E6"/>
      </left>
      <right/>
      <top/>
      <bottom style="thin">
        <color rgb="FFE4DFEC"/>
      </bottom>
      <diagonal/>
    </border>
    <border>
      <left/>
      <right style="thin">
        <color rgb="FFE7E6E6"/>
      </right>
      <top style="thin">
        <color rgb="FFE4DFEC"/>
      </top>
      <bottom style="thin">
        <color rgb="FFE4DFEC"/>
      </bottom>
      <diagonal/>
    </border>
    <border>
      <left style="thin">
        <color rgb="FFE7E6E6"/>
      </left>
      <right style="thin">
        <color rgb="FFE7E6E6"/>
      </right>
      <top style="thin">
        <color rgb="FFE4DFEC"/>
      </top>
      <bottom style="thin">
        <color rgb="FFE4DFEC"/>
      </bottom>
      <diagonal/>
    </border>
    <border>
      <left style="thin">
        <color rgb="FFE7E6E6"/>
      </left>
      <right/>
      <top style="thin">
        <color rgb="FFE4DFEC"/>
      </top>
      <bottom style="thin">
        <color rgb="FFE4DFEC"/>
      </bottom>
      <diagonal/>
    </border>
    <border>
      <left/>
      <right style="thin">
        <color rgb="FFE7E6E6"/>
      </right>
      <top style="thin">
        <color rgb="FFE4DFEC"/>
      </top>
      <bottom/>
      <diagonal/>
    </border>
    <border>
      <left style="thin">
        <color rgb="FFE7E6E6"/>
      </left>
      <right style="thin">
        <color rgb="FFE7E6E6"/>
      </right>
      <top style="thin">
        <color rgb="FFE4DFEC"/>
      </top>
      <bottom/>
      <diagonal/>
    </border>
    <border>
      <left style="thin">
        <color rgb="FFE7E6E6"/>
      </left>
      <right/>
      <top style="thin">
        <color rgb="FFE4DFE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" fontId="2" fillId="0" borderId="4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6" fillId="2" borderId="1" xfId="0" applyFont="1" applyFill="1" applyBorder="1"/>
    <xf numFmtId="0" fontId="6" fillId="2" borderId="8" xfId="0" applyFont="1" applyFill="1" applyBorder="1"/>
    <xf numFmtId="9" fontId="1" fillId="4" borderId="9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16" fontId="14" fillId="7" borderId="2" xfId="0" applyNumberFormat="1" applyFont="1" applyFill="1" applyBorder="1" applyAlignment="1">
      <alignment horizontal="center" vertical="center" wrapText="1"/>
    </xf>
    <xf numFmtId="9" fontId="12" fillId="7" borderId="4" xfId="0" applyNumberFormat="1" applyFont="1" applyFill="1" applyBorder="1" applyAlignment="1">
      <alignment horizontal="center" vertical="center" wrapText="1"/>
    </xf>
    <xf numFmtId="9" fontId="12" fillId="7" borderId="1" xfId="0" applyNumberFormat="1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4" fontId="7" fillId="7" borderId="12" xfId="0" applyNumberFormat="1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9" fontId="7" fillId="7" borderId="12" xfId="0" applyNumberFormat="1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/>
    </xf>
    <xf numFmtId="0" fontId="17" fillId="0" borderId="0" xfId="0" applyFont="1"/>
    <xf numFmtId="1" fontId="18" fillId="0" borderId="4" xfId="0" applyNumberFormat="1" applyFont="1" applyBorder="1" applyAlignment="1">
      <alignment horizontal="left" vertical="center" wrapText="1"/>
    </xf>
    <xf numFmtId="1" fontId="18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0" xfId="0" applyNumberFormat="1"/>
    <xf numFmtId="0" fontId="19" fillId="12" borderId="0" xfId="0" applyFont="1" applyFill="1"/>
    <xf numFmtId="0" fontId="20" fillId="13" borderId="0" xfId="0" applyFont="1" applyFill="1" applyAlignment="1">
      <alignment wrapText="1"/>
    </xf>
    <xf numFmtId="0" fontId="19" fillId="14" borderId="0" xfId="0" applyFont="1" applyFill="1"/>
    <xf numFmtId="0" fontId="19" fillId="14" borderId="0" xfId="0" applyFont="1" applyFill="1" applyAlignment="1">
      <alignment wrapText="1"/>
    </xf>
    <xf numFmtId="4" fontId="19" fillId="14" borderId="0" xfId="0" applyNumberFormat="1" applyFont="1" applyFill="1"/>
    <xf numFmtId="0" fontId="22" fillId="12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 wrapText="1"/>
    </xf>
    <xf numFmtId="4" fontId="19" fillId="14" borderId="0" xfId="0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 wrapText="1"/>
    </xf>
    <xf numFmtId="164" fontId="22" fillId="14" borderId="0" xfId="0" applyNumberFormat="1" applyFont="1" applyFill="1" applyAlignment="1">
      <alignment horizontal="center" vertical="center"/>
    </xf>
    <xf numFmtId="9" fontId="22" fillId="14" borderId="0" xfId="0" applyNumberFormat="1" applyFont="1" applyFill="1" applyAlignment="1">
      <alignment horizontal="center" vertical="center"/>
    </xf>
    <xf numFmtId="164" fontId="22" fillId="14" borderId="0" xfId="0" applyNumberFormat="1" applyFont="1" applyFill="1"/>
    <xf numFmtId="0" fontId="22" fillId="14" borderId="0" xfId="0" applyFont="1" applyFill="1"/>
    <xf numFmtId="0" fontId="25" fillId="5" borderId="1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16" fontId="25" fillId="5" borderId="2" xfId="0" applyNumberFormat="1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9" fontId="25" fillId="5" borderId="2" xfId="0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1" fontId="28" fillId="0" borderId="4" xfId="0" applyNumberFormat="1" applyFont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 vertical="center" wrapText="1"/>
    </xf>
    <xf numFmtId="3" fontId="30" fillId="3" borderId="5" xfId="0" applyNumberFormat="1" applyFont="1" applyFill="1" applyBorder="1" applyAlignment="1">
      <alignment horizontal="center" vertical="center"/>
    </xf>
    <xf numFmtId="3" fontId="30" fillId="2" borderId="5" xfId="0" applyNumberFormat="1" applyFont="1" applyFill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1" fontId="30" fillId="2" borderId="4" xfId="0" applyNumberFormat="1" applyFont="1" applyFill="1" applyBorder="1" applyAlignment="1">
      <alignment horizontal="center" vertical="center"/>
    </xf>
    <xf numFmtId="1" fontId="29" fillId="2" borderId="4" xfId="0" applyNumberFormat="1" applyFont="1" applyFill="1" applyBorder="1" applyAlignment="1">
      <alignment horizontal="center" vertical="center"/>
    </xf>
    <xf numFmtId="1" fontId="31" fillId="2" borderId="4" xfId="0" applyNumberFormat="1" applyFont="1" applyFill="1" applyBorder="1" applyAlignment="1">
      <alignment horizontal="center" vertical="center"/>
    </xf>
    <xf numFmtId="164" fontId="30" fillId="4" borderId="5" xfId="0" applyNumberFormat="1" applyFont="1" applyFill="1" applyBorder="1" applyAlignment="1">
      <alignment horizontal="center" vertical="center"/>
    </xf>
    <xf numFmtId="164" fontId="0" fillId="0" borderId="0" xfId="0" applyNumberFormat="1"/>
    <xf numFmtId="6" fontId="9" fillId="6" borderId="10" xfId="0" applyNumberFormat="1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 wrapText="1"/>
    </xf>
    <xf numFmtId="16" fontId="33" fillId="5" borderId="2" xfId="0" applyNumberFormat="1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9" fontId="33" fillId="5" borderId="2" xfId="0" applyNumberFormat="1" applyFont="1" applyFill="1" applyBorder="1" applyAlignment="1">
      <alignment horizontal="center" vertical="center" wrapText="1"/>
    </xf>
    <xf numFmtId="0" fontId="24" fillId="12" borderId="0" xfId="0" applyFont="1" applyFill="1"/>
    <xf numFmtId="9" fontId="0" fillId="0" borderId="0" xfId="0" applyNumberFormat="1"/>
    <xf numFmtId="1" fontId="0" fillId="0" borderId="0" xfId="0" applyNumberFormat="1"/>
    <xf numFmtId="0" fontId="21" fillId="13" borderId="0" xfId="0" applyFont="1" applyFill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21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34" fillId="14" borderId="0" xfId="0" applyFont="1" applyFill="1"/>
    <xf numFmtId="0" fontId="35" fillId="15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1" fontId="37" fillId="16" borderId="0" xfId="0" applyNumberFormat="1" applyFont="1" applyFill="1" applyAlignment="1">
      <alignment horizontal="center" vertical="center"/>
    </xf>
    <xf numFmtId="3" fontId="37" fillId="16" borderId="0" xfId="0" applyNumberFormat="1" applyFont="1" applyFill="1" applyAlignment="1">
      <alignment horizontal="center" vertical="center"/>
    </xf>
    <xf numFmtId="165" fontId="37" fillId="16" borderId="0" xfId="0" applyNumberFormat="1" applyFont="1" applyFill="1" applyAlignment="1">
      <alignment horizontal="center" vertical="center"/>
    </xf>
    <xf numFmtId="164" fontId="37" fillId="16" borderId="0" xfId="0" applyNumberFormat="1" applyFont="1" applyFill="1" applyAlignment="1">
      <alignment horizontal="center" vertical="center"/>
    </xf>
    <xf numFmtId="0" fontId="38" fillId="18" borderId="0" xfId="0" applyFont="1" applyFill="1"/>
    <xf numFmtId="165" fontId="34" fillId="14" borderId="0" xfId="0" applyNumberFormat="1" applyFont="1" applyFill="1"/>
    <xf numFmtId="0" fontId="39" fillId="14" borderId="0" xfId="0" applyFont="1" applyFill="1"/>
    <xf numFmtId="166" fontId="39" fillId="14" borderId="0" xfId="0" applyNumberFormat="1" applyFont="1" applyFill="1"/>
    <xf numFmtId="164" fontId="39" fillId="14" borderId="0" xfId="0" applyNumberFormat="1" applyFont="1" applyFill="1"/>
    <xf numFmtId="167" fontId="39" fillId="14" borderId="0" xfId="0" applyNumberFormat="1" applyFont="1" applyFill="1"/>
    <xf numFmtId="167" fontId="40" fillId="0" borderId="0" xfId="0" applyNumberFormat="1" applyFont="1"/>
    <xf numFmtId="0" fontId="41" fillId="18" borderId="0" xfId="0" applyFont="1" applyFill="1" applyAlignment="1">
      <alignment wrapText="1"/>
    </xf>
    <xf numFmtId="0" fontId="36" fillId="16" borderId="0" xfId="0" applyFont="1" applyFill="1" applyAlignment="1"/>
    <xf numFmtId="0" fontId="42" fillId="0" borderId="0" xfId="0" applyFont="1" applyAlignment="1"/>
    <xf numFmtId="0" fontId="7" fillId="15" borderId="0" xfId="0" applyFont="1" applyFill="1" applyAlignment="1"/>
    <xf numFmtId="0" fontId="36" fillId="0" borderId="0" xfId="0" applyFont="1" applyAlignment="1"/>
  </cellXfs>
  <cellStyles count="1">
    <cellStyle name="Normal" xfId="0" builtinId="0"/>
  </cellStyles>
  <dxfs count="13">
    <dxf>
      <fill>
        <patternFill patternType="solid">
          <fgColor rgb="FFFFD966"/>
          <bgColor rgb="FFFFD966"/>
        </patternFill>
      </fill>
    </dxf>
    <dxf>
      <numFmt numFmtId="22" formatCode="mmm\-yy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0" formatCode="General"/>
    </dxf>
    <dxf>
      <fill>
        <patternFill patternType="solid">
          <fgColor rgb="FFFFD966"/>
          <bgColor rgb="FFFFD966"/>
        </patternFill>
      </fill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color rgb="FF176B45"/>
      </font>
      <fill>
        <patternFill patternType="solid">
          <fgColor indexed="64"/>
          <bgColor rgb="FFD5F5E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22B21"/>
      </font>
      <fill>
        <patternFill patternType="solid">
          <fgColor indexed="64"/>
          <bgColor rgb="FFFADBD8"/>
        </patternFill>
      </fill>
    </dxf>
    <dxf>
      <font>
        <color rgb="FFA93226"/>
      </font>
      <fill>
        <patternFill patternType="solid">
          <fgColor indexed="64"/>
          <bgColor rgb="FFFDECE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Requirement vs Received —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Requirement (KG)</c:v>
          </c:tx>
          <c:spPr>
            <a:solidFill>
              <a:srgbClr val="2F6B9A"/>
            </a:solidFill>
            <a:ln>
              <a:noFill/>
            </a:ln>
            <a:effectLst/>
          </c:spPr>
          <c:invertIfNegative val="0"/>
          <c:cat>
            <c:strRef>
              <c:f>Dashboard!$DB$3:$DB$12</c:f>
              <c:strCache>
                <c:ptCount val="10"/>
                <c:pt idx="0">
                  <c:v>Jaggery Powder gms [RM000078]</c:v>
                </c:pt>
                <c:pt idx="1">
                  <c:v>Sugarcane Jaggery Block - 900gm [RM000186]</c:v>
                </c:pt>
                <c:pt idx="2">
                  <c:v>Jowar Grains [RM000080]</c:v>
                </c:pt>
                <c:pt idx="3">
                  <c:v>Bajara [RM000080]</c:v>
                </c:pt>
                <c:pt idx="4">
                  <c:v>Moong Dal [RM000227]</c:v>
                </c:pt>
                <c:pt idx="5">
                  <c:v>RM- Barley [RM000221]</c:v>
                </c:pt>
                <c:pt idx="6">
                  <c:v>Finger Millet [RM000057]</c:v>
                </c:pt>
                <c:pt idx="7">
                  <c:v>Finger Millet [RM000057]</c:v>
                </c:pt>
                <c:pt idx="8">
                  <c:v>Raw mustard oil [RM000153]</c:v>
                </c:pt>
                <c:pt idx="9">
                  <c:v>Raw Soyabean [RM000162]</c:v>
                </c:pt>
              </c:strCache>
            </c:strRef>
          </c:cat>
          <c:val>
            <c:numRef>
              <c:f>Dashboard!$DC$3:$DC$12</c:f>
              <c:numCache>
                <c:formatCode>General</c:formatCode>
                <c:ptCount val="10"/>
                <c:pt idx="0">
                  <c:v>117200.82</c:v>
                </c:pt>
                <c:pt idx="1">
                  <c:v>84810.12</c:v>
                </c:pt>
                <c:pt idx="2">
                  <c:v>47199.96</c:v>
                </c:pt>
                <c:pt idx="3">
                  <c:v>47199.96</c:v>
                </c:pt>
                <c:pt idx="4">
                  <c:v>31825.54</c:v>
                </c:pt>
                <c:pt idx="5">
                  <c:v>24362.490000000009</c:v>
                </c:pt>
                <c:pt idx="6">
                  <c:v>19836.68</c:v>
                </c:pt>
                <c:pt idx="7">
                  <c:v>19836.68</c:v>
                </c:pt>
                <c:pt idx="8">
                  <c:v>18952.48</c:v>
                </c:pt>
                <c:pt idx="9">
                  <c:v>16433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7-4353-8782-32BD5E84CABD}"/>
            </c:ext>
          </c:extLst>
        </c:ser>
        <c:ser>
          <c:idx val="1"/>
          <c:order val="1"/>
          <c:tx>
            <c:v>Received (KG)</c:v>
          </c:tx>
          <c:spPr>
            <a:solidFill>
              <a:srgbClr val="0EA5A8"/>
            </a:solidFill>
            <a:ln>
              <a:noFill/>
            </a:ln>
            <a:effectLst/>
          </c:spPr>
          <c:invertIfNegative val="0"/>
          <c:cat>
            <c:strRef>
              <c:f>Dashboard!$DB$3:$DB$12</c:f>
              <c:strCache>
                <c:ptCount val="10"/>
                <c:pt idx="0">
                  <c:v>Jaggery Powder gms [RM000078]</c:v>
                </c:pt>
                <c:pt idx="1">
                  <c:v>Sugarcane Jaggery Block - 900gm [RM000186]</c:v>
                </c:pt>
                <c:pt idx="2">
                  <c:v>Jowar Grains [RM000080]</c:v>
                </c:pt>
                <c:pt idx="3">
                  <c:v>Bajara [RM000080]</c:v>
                </c:pt>
                <c:pt idx="4">
                  <c:v>Moong Dal [RM000227]</c:v>
                </c:pt>
                <c:pt idx="5">
                  <c:v>RM- Barley [RM000221]</c:v>
                </c:pt>
                <c:pt idx="6">
                  <c:v>Finger Millet [RM000057]</c:v>
                </c:pt>
                <c:pt idx="7">
                  <c:v>Finger Millet [RM000057]</c:v>
                </c:pt>
                <c:pt idx="8">
                  <c:v>Raw mustard oil [RM000153]</c:v>
                </c:pt>
                <c:pt idx="9">
                  <c:v>Raw Soyabean [RM000162]</c:v>
                </c:pt>
              </c:strCache>
            </c:strRef>
          </c:cat>
          <c:val>
            <c:numRef>
              <c:f>Dashboard!$DD$3:$DD$12</c:f>
              <c:numCache>
                <c:formatCode>General</c:formatCode>
                <c:ptCount val="10"/>
                <c:pt idx="0">
                  <c:v>53078</c:v>
                </c:pt>
                <c:pt idx="1">
                  <c:v>43715</c:v>
                </c:pt>
                <c:pt idx="2">
                  <c:v>7750</c:v>
                </c:pt>
                <c:pt idx="3">
                  <c:v>0</c:v>
                </c:pt>
                <c:pt idx="4">
                  <c:v>0</c:v>
                </c:pt>
                <c:pt idx="5">
                  <c:v>9900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7-4353-8782-32BD5E84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385928"/>
        <c:axId val="1418463240"/>
      </c:barChart>
      <c:catAx>
        <c:axId val="141838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463240"/>
        <c:crosses val="autoZero"/>
        <c:auto val="1"/>
        <c:lblAlgn val="ctr"/>
        <c:lblOffset val="100"/>
        <c:noMultiLvlLbl val="0"/>
      </c:catAx>
      <c:valAx>
        <c:axId val="1418463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592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Section-Wise Weighted Fulfillment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Fulfillment Rate</c:v>
          </c:tx>
          <c:spPr>
            <a:solidFill>
              <a:srgbClr val="0EA5A8"/>
            </a:solidFill>
            <a:ln>
              <a:noFill/>
            </a:ln>
            <a:effectLst/>
          </c:spPr>
          <c:invertIfNegative val="0"/>
          <c:cat>
            <c:strRef>
              <c:f>Dashboard!$DF$3:$DF$22</c:f>
              <c:strCache>
                <c:ptCount val="10"/>
                <c:pt idx="0">
                  <c:v>GMP</c:v>
                </c:pt>
                <c:pt idx="1">
                  <c:v>Honey</c:v>
                </c:pt>
                <c:pt idx="2">
                  <c:v>Jaggery</c:v>
                </c:pt>
                <c:pt idx="3">
                  <c:v>MG</c:v>
                </c:pt>
                <c:pt idx="4">
                  <c:v>Oil</c:v>
                </c:pt>
                <c:pt idx="5">
                  <c:v>Other Atta</c:v>
                </c:pt>
                <c:pt idx="6">
                  <c:v>Protein Atta</c:v>
                </c:pt>
                <c:pt idx="7">
                  <c:v>Raw Agri</c:v>
                </c:pt>
                <c:pt idx="8">
                  <c:v>Saffron</c:v>
                </c:pt>
                <c:pt idx="9">
                  <c:v>Spices</c:v>
                </c:pt>
              </c:strCache>
            </c:strRef>
          </c:cat>
          <c:val>
            <c:numRef>
              <c:f>Dashboard!$DG$3:$DG$22</c:f>
              <c:numCache>
                <c:formatCode>General</c:formatCode>
                <c:ptCount val="20"/>
                <c:pt idx="0">
                  <c:v>0</c:v>
                </c:pt>
                <c:pt idx="1">
                  <c:v>0.71775142832534233</c:v>
                </c:pt>
                <c:pt idx="2">
                  <c:v>0.4791473174670639</c:v>
                </c:pt>
                <c:pt idx="3">
                  <c:v>0.47137039095488298</c:v>
                </c:pt>
                <c:pt idx="4">
                  <c:v>0</c:v>
                </c:pt>
                <c:pt idx="5">
                  <c:v>0.31617234174941955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5-4775-8788-8A5044EC2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394504"/>
        <c:axId val="1924396552"/>
      </c:barChart>
      <c:catAx>
        <c:axId val="192439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96552"/>
        <c:crosses val="autoZero"/>
        <c:auto val="1"/>
        <c:lblAlgn val="ctr"/>
        <c:lblOffset val="100"/>
        <c:noMultiLvlLbl val="0"/>
      </c:catAx>
      <c:valAx>
        <c:axId val="192439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9450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Location-Wise Pending — Source Signed KG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Source Pending (KG)</c:v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cat>
            <c:strRef>
              <c:f>Dashboard!$DI$3:$DI$12</c:f>
              <c:strCache>
                <c:ptCount val="2"/>
                <c:pt idx="0">
                  <c:v>C39/Pre-Production</c:v>
                </c:pt>
                <c:pt idx="1">
                  <c:v>MIND/Pre-Production</c:v>
                </c:pt>
              </c:strCache>
            </c:strRef>
          </c:cat>
          <c:val>
            <c:numRef>
              <c:f>Dashboard!$DJ$3:$DJ$12</c:f>
              <c:numCache>
                <c:formatCode>General</c:formatCode>
                <c:ptCount val="10"/>
                <c:pt idx="0">
                  <c:v>-156947.42427487689</c:v>
                </c:pt>
                <c:pt idx="1">
                  <c:v>-163721.47184200003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F-4EC6-A3D6-A177B968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6895240"/>
        <c:axId val="1196897288"/>
      </c:barChart>
      <c:catAx>
        <c:axId val="119689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97288"/>
        <c:crosses val="autoZero"/>
        <c:auto val="1"/>
        <c:lblAlgn val="ctr"/>
        <c:lblOffset val="100"/>
        <c:noMultiLvlLbl val="0"/>
      </c:catAx>
      <c:valAx>
        <c:axId val="119689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9524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RM Receipt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Receipt (KG)</c:v>
          </c:tx>
          <c:spPr>
            <a:ln w="28575" cap="rnd" cmpd="sng" algn="ctr">
              <a:solidFill>
                <a:srgbClr val="0EA5A8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Dashboard!$DL$3:$DL$102</c:f>
              <c:strCache>
                <c:ptCount val="68"/>
                <c:pt idx="0">
                  <c:v>24-Aug</c:v>
                </c:pt>
                <c:pt idx="1">
                  <c:v>25-Aug</c:v>
                </c:pt>
                <c:pt idx="2">
                  <c:v>26-Aug</c:v>
                </c:pt>
                <c:pt idx="3">
                  <c:v>27-Aug</c:v>
                </c:pt>
                <c:pt idx="4">
                  <c:v>28-Aug</c:v>
                </c:pt>
                <c:pt idx="5">
                  <c:v>29-Aug</c:v>
                </c:pt>
                <c:pt idx="6">
                  <c:v>30-Aug</c:v>
                </c:pt>
                <c:pt idx="7">
                  <c:v>31-Aug</c:v>
                </c:pt>
                <c:pt idx="8">
                  <c:v>1-Sep</c:v>
                </c:pt>
                <c:pt idx="9">
                  <c:v>2-Sep</c:v>
                </c:pt>
                <c:pt idx="10">
                  <c:v>3-Sep</c:v>
                </c:pt>
                <c:pt idx="11">
                  <c:v>4-Sep</c:v>
                </c:pt>
                <c:pt idx="12">
                  <c:v>5-Sep</c:v>
                </c:pt>
                <c:pt idx="13">
                  <c:v>6-Sep</c:v>
                </c:pt>
                <c:pt idx="14">
                  <c:v>7-Sep</c:v>
                </c:pt>
                <c:pt idx="15">
                  <c:v>8-Sep</c:v>
                </c:pt>
                <c:pt idx="16">
                  <c:v>9-Sep</c:v>
                </c:pt>
                <c:pt idx="17">
                  <c:v>10-Sep</c:v>
                </c:pt>
                <c:pt idx="18">
                  <c:v>11-Sep</c:v>
                </c:pt>
                <c:pt idx="19">
                  <c:v>12-Sep</c:v>
                </c:pt>
                <c:pt idx="20">
                  <c:v>13-Sep</c:v>
                </c:pt>
                <c:pt idx="21">
                  <c:v>14-Sep</c:v>
                </c:pt>
                <c:pt idx="22">
                  <c:v>15-Sep</c:v>
                </c:pt>
                <c:pt idx="23">
                  <c:v>16-Sep</c:v>
                </c:pt>
                <c:pt idx="24">
                  <c:v>17-Sep</c:v>
                </c:pt>
                <c:pt idx="25">
                  <c:v>18-Sep</c:v>
                </c:pt>
                <c:pt idx="26">
                  <c:v>19-Sep</c:v>
                </c:pt>
                <c:pt idx="27">
                  <c:v>20-Sep</c:v>
                </c:pt>
                <c:pt idx="28">
                  <c:v>21-Sep</c:v>
                </c:pt>
                <c:pt idx="29">
                  <c:v>22-Sep</c:v>
                </c:pt>
                <c:pt idx="30">
                  <c:v>23-Sep</c:v>
                </c:pt>
                <c:pt idx="31">
                  <c:v>24-Sep</c:v>
                </c:pt>
                <c:pt idx="32">
                  <c:v>25-Sep</c:v>
                </c:pt>
                <c:pt idx="33">
                  <c:v>26-Sep</c:v>
                </c:pt>
                <c:pt idx="34">
                  <c:v>27-Sep</c:v>
                </c:pt>
                <c:pt idx="35">
                  <c:v>28-Sep</c:v>
                </c:pt>
                <c:pt idx="36">
                  <c:v>29-Sep</c:v>
                </c:pt>
                <c:pt idx="37">
                  <c:v>30-Sep</c:v>
                </c:pt>
                <c:pt idx="38">
                  <c:v>1-Oct</c:v>
                </c:pt>
                <c:pt idx="39">
                  <c:v>2-Oct</c:v>
                </c:pt>
                <c:pt idx="40">
                  <c:v>3-Oct</c:v>
                </c:pt>
                <c:pt idx="41">
                  <c:v>4-Oct</c:v>
                </c:pt>
                <c:pt idx="42">
                  <c:v>5-Oct</c:v>
                </c:pt>
                <c:pt idx="43">
                  <c:v>6-Oct</c:v>
                </c:pt>
                <c:pt idx="44">
                  <c:v>7-Oct</c:v>
                </c:pt>
                <c:pt idx="45">
                  <c:v>8-Oct</c:v>
                </c:pt>
                <c:pt idx="46">
                  <c:v>9-Oct</c:v>
                </c:pt>
                <c:pt idx="47">
                  <c:v>10-Oct</c:v>
                </c:pt>
                <c:pt idx="48">
                  <c:v>11-Oct</c:v>
                </c:pt>
                <c:pt idx="49">
                  <c:v>12-Oct</c:v>
                </c:pt>
                <c:pt idx="50">
                  <c:v>13-Oct</c:v>
                </c:pt>
                <c:pt idx="51">
                  <c:v>14-Oct</c:v>
                </c:pt>
                <c:pt idx="52">
                  <c:v>15-Oct</c:v>
                </c:pt>
                <c:pt idx="53">
                  <c:v>16-Oct</c:v>
                </c:pt>
                <c:pt idx="54">
                  <c:v>17-Oct</c:v>
                </c:pt>
                <c:pt idx="55">
                  <c:v>18-Oct</c:v>
                </c:pt>
                <c:pt idx="56">
                  <c:v>19-Oct</c:v>
                </c:pt>
                <c:pt idx="57">
                  <c:v>20-Oct</c:v>
                </c:pt>
                <c:pt idx="58">
                  <c:v>21-Oct</c:v>
                </c:pt>
                <c:pt idx="59">
                  <c:v>22-Oct</c:v>
                </c:pt>
                <c:pt idx="60">
                  <c:v>23-Oct</c:v>
                </c:pt>
                <c:pt idx="61">
                  <c:v>24-Oct</c:v>
                </c:pt>
                <c:pt idx="62">
                  <c:v>25-Oct</c:v>
                </c:pt>
                <c:pt idx="63">
                  <c:v>26-Oct</c:v>
                </c:pt>
                <c:pt idx="64">
                  <c:v>27-Oct</c:v>
                </c:pt>
                <c:pt idx="65">
                  <c:v>28-Oct</c:v>
                </c:pt>
                <c:pt idx="66">
                  <c:v>29-Oct</c:v>
                </c:pt>
                <c:pt idx="67">
                  <c:v>30-Oct</c:v>
                </c:pt>
              </c:strCache>
            </c:strRef>
          </c:cat>
          <c:val>
            <c:numRef>
              <c:f>Dashboard!$DM$3:$DM$102</c:f>
              <c:numCache>
                <c:formatCode>General</c:formatCode>
                <c:ptCount val="100"/>
                <c:pt idx="0">
                  <c:v>8650</c:v>
                </c:pt>
                <c:pt idx="1">
                  <c:v>8600</c:v>
                </c:pt>
                <c:pt idx="2">
                  <c:v>10010</c:v>
                </c:pt>
                <c:pt idx="3">
                  <c:v>19370</c:v>
                </c:pt>
                <c:pt idx="4">
                  <c:v>32690</c:v>
                </c:pt>
                <c:pt idx="5">
                  <c:v>0</c:v>
                </c:pt>
                <c:pt idx="6">
                  <c:v>20000</c:v>
                </c:pt>
                <c:pt idx="7">
                  <c:v>3000</c:v>
                </c:pt>
                <c:pt idx="8">
                  <c:v>20000</c:v>
                </c:pt>
                <c:pt idx="9">
                  <c:v>4500</c:v>
                </c:pt>
                <c:pt idx="10">
                  <c:v>64270</c:v>
                </c:pt>
                <c:pt idx="11">
                  <c:v>10600</c:v>
                </c:pt>
                <c:pt idx="12">
                  <c:v>48595</c:v>
                </c:pt>
                <c:pt idx="13">
                  <c:v>0</c:v>
                </c:pt>
                <c:pt idx="14">
                  <c:v>5800</c:v>
                </c:pt>
                <c:pt idx="15">
                  <c:v>38910</c:v>
                </c:pt>
                <c:pt idx="16">
                  <c:v>2400</c:v>
                </c:pt>
                <c:pt idx="17">
                  <c:v>30391</c:v>
                </c:pt>
                <c:pt idx="18">
                  <c:v>36690</c:v>
                </c:pt>
                <c:pt idx="19">
                  <c:v>17334</c:v>
                </c:pt>
                <c:pt idx="20">
                  <c:v>4800</c:v>
                </c:pt>
                <c:pt idx="21">
                  <c:v>0</c:v>
                </c:pt>
                <c:pt idx="22">
                  <c:v>57001</c:v>
                </c:pt>
                <c:pt idx="23">
                  <c:v>7661</c:v>
                </c:pt>
                <c:pt idx="24">
                  <c:v>31700</c:v>
                </c:pt>
                <c:pt idx="25">
                  <c:v>21736</c:v>
                </c:pt>
                <c:pt idx="26">
                  <c:v>34033</c:v>
                </c:pt>
                <c:pt idx="27">
                  <c:v>0</c:v>
                </c:pt>
                <c:pt idx="28">
                  <c:v>53066</c:v>
                </c:pt>
                <c:pt idx="29">
                  <c:v>19350</c:v>
                </c:pt>
                <c:pt idx="30">
                  <c:v>37672</c:v>
                </c:pt>
                <c:pt idx="31">
                  <c:v>10240</c:v>
                </c:pt>
                <c:pt idx="32">
                  <c:v>34970</c:v>
                </c:pt>
                <c:pt idx="33">
                  <c:v>8701</c:v>
                </c:pt>
                <c:pt idx="34">
                  <c:v>8100</c:v>
                </c:pt>
                <c:pt idx="35">
                  <c:v>48327</c:v>
                </c:pt>
                <c:pt idx="36">
                  <c:v>18111</c:v>
                </c:pt>
                <c:pt idx="37">
                  <c:v>48371</c:v>
                </c:pt>
                <c:pt idx="38">
                  <c:v>22980</c:v>
                </c:pt>
                <c:pt idx="39">
                  <c:v>0</c:v>
                </c:pt>
                <c:pt idx="40">
                  <c:v>35987</c:v>
                </c:pt>
                <c:pt idx="41">
                  <c:v>0</c:v>
                </c:pt>
                <c:pt idx="42">
                  <c:v>32092</c:v>
                </c:pt>
                <c:pt idx="43">
                  <c:v>17720</c:v>
                </c:pt>
                <c:pt idx="44">
                  <c:v>21510</c:v>
                </c:pt>
                <c:pt idx="45">
                  <c:v>15197</c:v>
                </c:pt>
                <c:pt idx="46">
                  <c:v>22027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3-453E-B8B4-DB52220D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835784"/>
        <c:axId val="1197837832"/>
      </c:lineChart>
      <c:catAx>
        <c:axId val="119783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837832"/>
        <c:crosses val="autoZero"/>
        <c:auto val="1"/>
        <c:lblAlgn val="ctr"/>
        <c:lblOffset val="100"/>
        <c:tickLblSkip val="4"/>
        <c:noMultiLvlLbl val="0"/>
      </c:catAx>
      <c:valAx>
        <c:axId val="119783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83578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Fulfillment Trend*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Fulfillment Rate</c:v>
          </c:tx>
          <c:spPr>
            <a:solidFill>
              <a:srgbClr val="0EA5A8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Dashboard!$DO$3:$DO$14</c:f>
              <c:strCache>
                <c:ptCount val="3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</c:strCache>
            </c:strRef>
          </c:cat>
          <c:val>
            <c:numRef>
              <c:f>Dashboard!$DQ$3:$DQ$14</c:f>
              <c:numCache>
                <c:formatCode>General</c:formatCode>
                <c:ptCount val="12"/>
                <c:pt idx="0">
                  <c:v>0.20959400750801976</c:v>
                </c:pt>
                <c:pt idx="1">
                  <c:v>1.4816792792881981</c:v>
                </c:pt>
                <c:pt idx="2">
                  <c:v>0.34313644428939516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2-4540-B513-D88027068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42504"/>
        <c:axId val="1198350344"/>
      </c:barChart>
      <c:catAx>
        <c:axId val="119844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50344"/>
        <c:crosses val="autoZero"/>
        <c:auto val="1"/>
        <c:lblAlgn val="ctr"/>
        <c:lblOffset val="100"/>
        <c:noMultiLvlLbl val="0"/>
      </c:catAx>
      <c:valAx>
        <c:axId val="119835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4250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Items Requiring Attention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Fulfillment Rate</c:v>
          </c:tx>
          <c:spPr>
            <a:solidFill>
              <a:srgbClr val="D97706"/>
            </a:solidFill>
            <a:ln>
              <a:noFill/>
            </a:ln>
            <a:effectLst/>
          </c:spPr>
          <c:invertIfNegative val="0"/>
          <c:cat>
            <c:strRef>
              <c:f>Dashboard!$DR$3:$DR$12</c:f>
              <c:strCache>
                <c:ptCount val="10"/>
                <c:pt idx="0">
                  <c:v>Raw lakadong turmeric [RM000149]</c:v>
                </c:pt>
                <c:pt idx="1">
                  <c:v>Moringa Leaf [RM000113]</c:v>
                </c:pt>
                <c:pt idx="2">
                  <c:v>Haldi-Turmeric Powder [RM000071]</c:v>
                </c:pt>
                <c:pt idx="3">
                  <c:v>Coconut Sap Sugar [RM000044]</c:v>
                </c:pt>
                <c:pt idx="4">
                  <c:v>Byadgi chill powder [RM000030]</c:v>
                </c:pt>
                <c:pt idx="5">
                  <c:v>Saffron [RM000179]</c:v>
                </c:pt>
                <c:pt idx="6">
                  <c:v>Rock Salt Powder [RM000177]</c:v>
                </c:pt>
                <c:pt idx="7">
                  <c:v>Raw waghaya peanut [RM000172]</c:v>
                </c:pt>
                <c:pt idx="8">
                  <c:v>Indrayani rice [RM000076]</c:v>
                </c:pt>
                <c:pt idx="9">
                  <c:v>Raw Ajara Ghansal Rice [RM000139]</c:v>
                </c:pt>
              </c:strCache>
            </c:strRef>
          </c:cat>
          <c:val>
            <c:numRef>
              <c:f>Dashboard!$DS$3:$DS$12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5-452D-971C-40F2D736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9068680"/>
        <c:axId val="1199070728"/>
      </c:barChart>
      <c:catAx>
        <c:axId val="1199068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70728"/>
        <c:crosses val="autoZero"/>
        <c:auto val="1"/>
        <c:lblAlgn val="ctr"/>
        <c:lblOffset val="100"/>
        <c:noMultiLvlLbl val="0"/>
      </c:catAx>
      <c:valAx>
        <c:axId val="119907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686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Fulfillment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Items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Dashboard!$CY$2:$CY$6</c:f>
              <c:strCache>
                <c:ptCount val="5"/>
                <c:pt idx="0">
                  <c:v>Not Received</c:v>
                </c:pt>
                <c:pt idx="1">
                  <c:v>Partially Fulfilled</c:v>
                </c:pt>
                <c:pt idx="2">
                  <c:v>Fully Fulfilled</c:v>
                </c:pt>
                <c:pt idx="3">
                  <c:v>Over-Fulfilled</c:v>
                </c:pt>
                <c:pt idx="4">
                  <c:v>Data Review</c:v>
                </c:pt>
              </c:strCache>
            </c:strRef>
          </c:cat>
          <c:val>
            <c:numRef>
              <c:f>Dashboard!$CZ$2:$CZ$6</c:f>
              <c:numCache>
                <c:formatCode>General</c:formatCode>
                <c:ptCount val="5"/>
                <c:pt idx="0">
                  <c:v>31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B-42BC-898A-9817B70C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4" name="Requirement_vs_Received">
          <a:extLst>
            <a:ext uri="{FF2B5EF4-FFF2-40B4-BE49-F238E27FC236}">
              <a16:creationId xmlns:a16="http://schemas.microsoft.com/office/drawing/2014/main" id="{771F7EE7-41F5-EFF1-0C20-0E9C6D024394}"/>
            </a:ext>
            <a:ext uri="{147F2762-F138-4A5C-976F-8EAC2B608ADB}">
              <a16:predDERef xmlns:a16="http://schemas.microsoft.com/office/drawing/2014/main" pred="{B1765B8A-5508-4C8E-0630-118E04BE4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24</xdr:col>
      <xdr:colOff>0</xdr:colOff>
      <xdr:row>31</xdr:row>
      <xdr:rowOff>0</xdr:rowOff>
    </xdr:to>
    <xdr:graphicFrame macro="">
      <xdr:nvGraphicFramePr>
        <xdr:cNvPr id="5" name="Section_Fulfillment">
          <a:extLst>
            <a:ext uri="{FF2B5EF4-FFF2-40B4-BE49-F238E27FC236}">
              <a16:creationId xmlns:a16="http://schemas.microsoft.com/office/drawing/2014/main" id="{FA720099-FECB-A6E3-609E-BDD6424722AB}"/>
            </a:ext>
            <a:ext uri="{147F2762-F138-4A5C-976F-8EAC2B608ADB}">
              <a16:predDERef xmlns:a16="http://schemas.microsoft.com/office/drawing/2014/main" pred="{771F7EE7-41F5-EFF1-0C20-0E9C6D024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6" name="Location_Pending">
          <a:extLst>
            <a:ext uri="{FF2B5EF4-FFF2-40B4-BE49-F238E27FC236}">
              <a16:creationId xmlns:a16="http://schemas.microsoft.com/office/drawing/2014/main" id="{2092CE43-EDED-81D5-25AD-11BF71461B58}"/>
            </a:ext>
            <a:ext uri="{147F2762-F138-4A5C-976F-8EAC2B608ADB}">
              <a16:predDERef xmlns:a16="http://schemas.microsoft.com/office/drawing/2014/main" pred="{FA720099-FECB-A6E3-609E-BDD642472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7" name="Daily_Receipt_Trend">
          <a:extLst>
            <a:ext uri="{FF2B5EF4-FFF2-40B4-BE49-F238E27FC236}">
              <a16:creationId xmlns:a16="http://schemas.microsoft.com/office/drawing/2014/main" id="{22D36006-4CD4-CB5F-C91A-576337C8647D}"/>
            </a:ext>
            <a:ext uri="{147F2762-F138-4A5C-976F-8EAC2B608ADB}">
              <a16:predDERef xmlns:a16="http://schemas.microsoft.com/office/drawing/2014/main" pred="{2092CE43-EDED-81D5-25AD-11BF71461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24</xdr:col>
      <xdr:colOff>0</xdr:colOff>
      <xdr:row>48</xdr:row>
      <xdr:rowOff>0</xdr:rowOff>
    </xdr:to>
    <xdr:graphicFrame macro="">
      <xdr:nvGraphicFramePr>
        <xdr:cNvPr id="8" name="Monthly_Fulfillment_Trend">
          <a:extLst>
            <a:ext uri="{FF2B5EF4-FFF2-40B4-BE49-F238E27FC236}">
              <a16:creationId xmlns:a16="http://schemas.microsoft.com/office/drawing/2014/main" id="{6A40C651-2BD7-7D77-AE2E-F065499908A2}"/>
            </a:ext>
            <a:ext uri="{147F2762-F138-4A5C-976F-8EAC2B608ADB}">
              <a16:predDERef xmlns:a16="http://schemas.microsoft.com/office/drawing/2014/main" pred="{22D36006-4CD4-CB5F-C91A-576337C86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24</xdr:col>
      <xdr:colOff>0</xdr:colOff>
      <xdr:row>65</xdr:row>
      <xdr:rowOff>0</xdr:rowOff>
    </xdr:to>
    <xdr:graphicFrame macro="">
      <xdr:nvGraphicFramePr>
        <xdr:cNvPr id="9" name="Items_Requiring_Attention">
          <a:extLst>
            <a:ext uri="{FF2B5EF4-FFF2-40B4-BE49-F238E27FC236}">
              <a16:creationId xmlns:a16="http://schemas.microsoft.com/office/drawing/2014/main" id="{8C7C74D4-D734-4871-45FD-6F62A545BCED}"/>
            </a:ext>
            <a:ext uri="{147F2762-F138-4A5C-976F-8EAC2B608ADB}">
              <a16:predDERef xmlns:a16="http://schemas.microsoft.com/office/drawing/2014/main" pred="{6A40C651-2BD7-7D77-AE2E-F06549990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0" name="RM_Status_Overview">
          <a:extLst>
            <a:ext uri="{FF2B5EF4-FFF2-40B4-BE49-F238E27FC236}">
              <a16:creationId xmlns:a16="http://schemas.microsoft.com/office/drawing/2014/main" id="{EB56CB3C-1525-081A-8CFA-6854EEA420A7}"/>
            </a:ext>
            <a:ext uri="{147F2762-F138-4A5C-976F-8EAC2B608ADB}">
              <a16:predDERef xmlns:a16="http://schemas.microsoft.com/office/drawing/2014/main" pred="{8C7C74D4-D734-4871-45FD-6F62A545B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boffoodspvtltd-my.sharepoint.com/personal/sudhanshu_kumar_twobrothersindia_com/Documents/Monthly_RM_PM_MRP_Oct.xlsx" TargetMode="External"/><Relationship Id="rId1" Type="http://schemas.openxmlformats.org/officeDocument/2006/relationships/externalLinkPath" Target="https://tboffoodspvtltd-my.sharepoint.com/personal/sudhanshu_kumar_twobrothersindia_com/Documents/Monthly_RM_PM_MRP_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-4yud4iEWfTO2df1x4oLm8qKJV7LJIhOR4s2l1tE5fHutY-yvQSaso7g1u17tG" itemId="01ALL7TPULO7U4WJQDWNDJ3KJTFLWURNVK">
      <xxl21:absoluteUrl r:id="rId2"/>
    </xxl21:alternateUrls>
    <sheetNames>
      <sheetName val="PM Tracker"/>
      <sheetName val="RM Tracker"/>
      <sheetName val="PP"/>
      <sheetName val="RM Master"/>
      <sheetName val="PM Master"/>
      <sheetName val="RM Requirement"/>
      <sheetName val="PM Requirement"/>
      <sheetName val="Sheet2"/>
      <sheetName val="SOH"/>
    </sheetNames>
    <sheetDataSet>
      <sheetData sheetId="0"/>
      <sheetData sheetId="1">
        <row r="2">
          <cell r="B2" t="str">
            <v>RM Code</v>
          </cell>
          <cell r="E2" t="str">
            <v>RM QTY</v>
          </cell>
        </row>
        <row r="3">
          <cell r="B3" t="str">
            <v>RM000078</v>
          </cell>
          <cell r="E3">
            <v>117200.82</v>
          </cell>
        </row>
        <row r="4">
          <cell r="B4" t="str">
            <v>RM000155</v>
          </cell>
          <cell r="E4">
            <v>12099.829841999999</v>
          </cell>
        </row>
        <row r="5">
          <cell r="B5" t="str">
            <v>RM000153</v>
          </cell>
          <cell r="E5">
            <v>18952.48</v>
          </cell>
        </row>
        <row r="6">
          <cell r="B6" t="str">
            <v>RM000162</v>
          </cell>
          <cell r="E6">
            <v>16433</v>
          </cell>
        </row>
        <row r="7">
          <cell r="B7" t="str">
            <v>RM000186</v>
          </cell>
          <cell r="E7">
            <v>84810.12</v>
          </cell>
        </row>
        <row r="8">
          <cell r="B8" t="str">
            <v>RM000179</v>
          </cell>
          <cell r="E8">
            <v>6.2570000000000006</v>
          </cell>
        </row>
        <row r="9">
          <cell r="B9" t="str">
            <v>RM000221</v>
          </cell>
          <cell r="E9">
            <v>24362.490000000009</v>
          </cell>
        </row>
        <row r="10">
          <cell r="B10" t="str">
            <v>RM000001</v>
          </cell>
          <cell r="E10">
            <v>0</v>
          </cell>
        </row>
        <row r="11">
          <cell r="B11" t="str">
            <v>RM000220</v>
          </cell>
          <cell r="E11">
            <v>0.1888</v>
          </cell>
        </row>
        <row r="12">
          <cell r="B12" t="str">
            <v>RM000057</v>
          </cell>
          <cell r="E12">
            <v>19836.68</v>
          </cell>
        </row>
        <row r="13">
          <cell r="B13" t="str">
            <v>RM000177</v>
          </cell>
          <cell r="E13">
            <v>12332.28</v>
          </cell>
        </row>
        <row r="14">
          <cell r="B14" t="str">
            <v>RM000151</v>
          </cell>
          <cell r="E14">
            <v>2786.48</v>
          </cell>
        </row>
        <row r="15">
          <cell r="B15" t="str">
            <v>RM000167</v>
          </cell>
          <cell r="E15">
            <v>1471.6320000000001</v>
          </cell>
        </row>
        <row r="16">
          <cell r="B16" t="str">
            <v>RM000219</v>
          </cell>
          <cell r="E16">
            <v>0</v>
          </cell>
        </row>
        <row r="17">
          <cell r="B17" t="str">
            <v>RM000139</v>
          </cell>
          <cell r="E17">
            <v>324.65000000000009</v>
          </cell>
        </row>
        <row r="18">
          <cell r="B18" t="str">
            <v>RM000072</v>
          </cell>
          <cell r="E18">
            <v>242.52000000000041</v>
          </cell>
        </row>
        <row r="19">
          <cell r="B19" t="str">
            <v>RM000076</v>
          </cell>
          <cell r="E19">
            <v>860.65</v>
          </cell>
        </row>
        <row r="20">
          <cell r="B20" t="str">
            <v>RM000067</v>
          </cell>
          <cell r="E20">
            <v>0</v>
          </cell>
        </row>
        <row r="21">
          <cell r="B21" t="str">
            <v>RM000070</v>
          </cell>
          <cell r="E21">
            <v>0</v>
          </cell>
        </row>
        <row r="22">
          <cell r="B22" t="str">
            <v>RM000183</v>
          </cell>
          <cell r="E22">
            <v>0</v>
          </cell>
        </row>
        <row r="23">
          <cell r="B23" t="str">
            <v>RM000071</v>
          </cell>
          <cell r="E23">
            <v>0</v>
          </cell>
        </row>
        <row r="24">
          <cell r="B24" t="str">
            <v>RM000168</v>
          </cell>
          <cell r="E24">
            <v>5.5099999999999909</v>
          </cell>
        </row>
        <row r="25">
          <cell r="B25" t="str">
            <v>RM000213</v>
          </cell>
          <cell r="E25">
            <v>2938.28</v>
          </cell>
        </row>
        <row r="26">
          <cell r="B26" t="str">
            <v>RM000149</v>
          </cell>
          <cell r="E26">
            <v>2215.2446</v>
          </cell>
        </row>
        <row r="27">
          <cell r="B27" t="str">
            <v>RM000164</v>
          </cell>
          <cell r="E27">
            <v>0</v>
          </cell>
        </row>
        <row r="28">
          <cell r="B28" t="str">
            <v>RM000062</v>
          </cell>
          <cell r="E28">
            <v>0</v>
          </cell>
        </row>
        <row r="29">
          <cell r="B29" t="str">
            <v>RM000197</v>
          </cell>
          <cell r="E29">
            <v>1000</v>
          </cell>
        </row>
        <row r="30">
          <cell r="B30" t="str">
            <v>RM000030</v>
          </cell>
          <cell r="E30">
            <v>236.70999999999989</v>
          </cell>
        </row>
        <row r="31">
          <cell r="B31" t="str">
            <v>RM000025</v>
          </cell>
          <cell r="E31">
            <v>0</v>
          </cell>
        </row>
        <row r="32">
          <cell r="B32" t="str">
            <v>RM000075</v>
          </cell>
          <cell r="E32">
            <v>168.6999999999999</v>
          </cell>
        </row>
        <row r="33">
          <cell r="B33" t="str">
            <v>RM000044</v>
          </cell>
          <cell r="E33">
            <v>249.33</v>
          </cell>
        </row>
        <row r="34">
          <cell r="B34" t="str">
            <v>RM000144</v>
          </cell>
          <cell r="E34">
            <v>0</v>
          </cell>
        </row>
        <row r="35">
          <cell r="B35" t="str">
            <v>RM000066</v>
          </cell>
          <cell r="E35">
            <v>0</v>
          </cell>
        </row>
        <row r="36">
          <cell r="B36" t="str">
            <v>RM000200</v>
          </cell>
          <cell r="E36">
            <v>336.11</v>
          </cell>
        </row>
        <row r="37">
          <cell r="B37" t="str">
            <v>RM000172</v>
          </cell>
          <cell r="E37">
            <v>800.63</v>
          </cell>
        </row>
        <row r="38">
          <cell r="B38" t="str">
            <v>RM000002</v>
          </cell>
          <cell r="E38">
            <v>0</v>
          </cell>
        </row>
        <row r="39">
          <cell r="B39" t="str">
            <v>RM000198</v>
          </cell>
          <cell r="E39">
            <v>0</v>
          </cell>
        </row>
        <row r="40">
          <cell r="B40" t="str">
            <v>RM000056</v>
          </cell>
          <cell r="E40">
            <v>45.699757635467968</v>
          </cell>
        </row>
        <row r="41">
          <cell r="B41" t="str">
            <v>RM000227</v>
          </cell>
          <cell r="E41">
            <v>31825.54</v>
          </cell>
        </row>
        <row r="42">
          <cell r="B42" t="str">
            <v>RM000143</v>
          </cell>
          <cell r="E42">
            <v>0</v>
          </cell>
        </row>
        <row r="43">
          <cell r="B43" t="str">
            <v>RM000116</v>
          </cell>
          <cell r="E43">
            <v>0</v>
          </cell>
        </row>
        <row r="44">
          <cell r="B44" t="str">
            <v>RM000069</v>
          </cell>
          <cell r="E44">
            <v>0</v>
          </cell>
        </row>
        <row r="45">
          <cell r="B45" t="str">
            <v>RM000031</v>
          </cell>
          <cell r="E45">
            <v>36.748798029556667</v>
          </cell>
        </row>
        <row r="46">
          <cell r="B46" t="str">
            <v>RM000015</v>
          </cell>
          <cell r="E46">
            <v>16.838000000000001</v>
          </cell>
        </row>
        <row r="47">
          <cell r="B47" t="str">
            <v>RM000018</v>
          </cell>
          <cell r="E47">
            <v>0</v>
          </cell>
        </row>
        <row r="48">
          <cell r="B48" t="str">
            <v>RM000224</v>
          </cell>
          <cell r="E48">
            <v>0</v>
          </cell>
        </row>
        <row r="49">
          <cell r="B49" t="str">
            <v>RM000166</v>
          </cell>
          <cell r="E49">
            <v>0</v>
          </cell>
        </row>
        <row r="50">
          <cell r="B50" t="str">
            <v>RM000122</v>
          </cell>
          <cell r="E50">
            <v>7.1767192118226566</v>
          </cell>
        </row>
        <row r="51">
          <cell r="B51" t="str">
            <v>RM000180</v>
          </cell>
          <cell r="E51">
            <v>0</v>
          </cell>
        </row>
        <row r="52">
          <cell r="B52" t="str">
            <v>RM000006</v>
          </cell>
          <cell r="E52">
            <v>0</v>
          </cell>
        </row>
        <row r="53">
          <cell r="B53" t="str">
            <v>RM000051</v>
          </cell>
          <cell r="E53">
            <v>4.9800000000000004</v>
          </cell>
        </row>
        <row r="54">
          <cell r="B54" t="str">
            <v>RM000113</v>
          </cell>
          <cell r="E54">
            <v>420.48599999999988</v>
          </cell>
        </row>
        <row r="55">
          <cell r="B55" t="str">
            <v>RM000133</v>
          </cell>
          <cell r="E55">
            <v>0</v>
          </cell>
        </row>
        <row r="56">
          <cell r="B56" t="str">
            <v>RM000080</v>
          </cell>
          <cell r="E56">
            <v>47199.96</v>
          </cell>
        </row>
        <row r="57">
          <cell r="B57" t="str">
            <v>RM000022</v>
          </cell>
          <cell r="E57">
            <v>0</v>
          </cell>
        </row>
        <row r="58">
          <cell r="B58" t="str">
            <v>RM000074</v>
          </cell>
          <cell r="E58">
            <v>2952.65</v>
          </cell>
        </row>
        <row r="59">
          <cell r="B59" t="str">
            <v>RM000073</v>
          </cell>
          <cell r="E59">
            <v>0</v>
          </cell>
        </row>
        <row r="60">
          <cell r="B60" t="str">
            <v>RM000195</v>
          </cell>
          <cell r="E60">
            <v>0</v>
          </cell>
        </row>
        <row r="61">
          <cell r="B61" t="str">
            <v>RM000235</v>
          </cell>
          <cell r="E61">
            <v>0</v>
          </cell>
        </row>
        <row r="62">
          <cell r="E62">
            <v>402180.67151687702</v>
          </cell>
        </row>
        <row r="83">
          <cell r="B83" t="str">
            <v>RM Code</v>
          </cell>
          <cell r="E83" t="str">
            <v>RM QTY</v>
          </cell>
        </row>
        <row r="84">
          <cell r="B84" t="str">
            <v>RM000078</v>
          </cell>
          <cell r="E84">
            <v>117200.82</v>
          </cell>
        </row>
        <row r="85">
          <cell r="B85" t="str">
            <v>RM000155</v>
          </cell>
          <cell r="E85">
            <v>12099.829841999999</v>
          </cell>
        </row>
        <row r="86">
          <cell r="B86" t="str">
            <v>RM000153</v>
          </cell>
          <cell r="E86">
            <v>18952.48</v>
          </cell>
        </row>
        <row r="87">
          <cell r="B87" t="str">
            <v>RM000162</v>
          </cell>
          <cell r="E87">
            <v>16433</v>
          </cell>
        </row>
        <row r="88">
          <cell r="B88" t="str">
            <v>RM000186</v>
          </cell>
          <cell r="E88">
            <v>84810.12</v>
          </cell>
        </row>
        <row r="89">
          <cell r="B89" t="str">
            <v>RM000179</v>
          </cell>
          <cell r="E89">
            <v>6.2570000000000006</v>
          </cell>
        </row>
        <row r="90">
          <cell r="B90" t="str">
            <v>RM000221</v>
          </cell>
          <cell r="E90">
            <v>24362.490000000009</v>
          </cell>
        </row>
        <row r="91">
          <cell r="B91" t="str">
            <v>RM000001</v>
          </cell>
          <cell r="E91">
            <v>0</v>
          </cell>
        </row>
        <row r="92">
          <cell r="B92" t="str">
            <v>RM000220</v>
          </cell>
          <cell r="E92">
            <v>0.1888</v>
          </cell>
        </row>
        <row r="93">
          <cell r="B93" t="str">
            <v>RM000057</v>
          </cell>
          <cell r="E93">
            <v>19836.68</v>
          </cell>
        </row>
        <row r="94">
          <cell r="B94" t="str">
            <v>RM000177</v>
          </cell>
          <cell r="E94">
            <v>12332.28</v>
          </cell>
        </row>
        <row r="95">
          <cell r="B95" t="str">
            <v>RM000151</v>
          </cell>
          <cell r="E95">
            <v>2786.48</v>
          </cell>
        </row>
        <row r="96">
          <cell r="B96" t="str">
            <v>RM000167</v>
          </cell>
          <cell r="E96">
            <v>1471.6320000000001</v>
          </cell>
        </row>
        <row r="97">
          <cell r="B97" t="str">
            <v>RM000219</v>
          </cell>
          <cell r="E97">
            <v>0</v>
          </cell>
        </row>
        <row r="98">
          <cell r="B98" t="str">
            <v>RM000139</v>
          </cell>
          <cell r="E98">
            <v>324.65000000000009</v>
          </cell>
        </row>
        <row r="99">
          <cell r="B99" t="str">
            <v>RM000072</v>
          </cell>
          <cell r="E99">
            <v>242.52000000000041</v>
          </cell>
        </row>
        <row r="100">
          <cell r="B100" t="str">
            <v>RM000076</v>
          </cell>
          <cell r="E100">
            <v>860.65</v>
          </cell>
        </row>
        <row r="101">
          <cell r="B101" t="str">
            <v>RM000067</v>
          </cell>
          <cell r="E101">
            <v>0</v>
          </cell>
        </row>
        <row r="102">
          <cell r="B102" t="str">
            <v>RM000070</v>
          </cell>
          <cell r="E102">
            <v>0</v>
          </cell>
        </row>
        <row r="103">
          <cell r="B103" t="str">
            <v>RM000183</v>
          </cell>
          <cell r="E103">
            <v>0</v>
          </cell>
        </row>
        <row r="104">
          <cell r="B104" t="str">
            <v>RM000071</v>
          </cell>
          <cell r="E104">
            <v>0</v>
          </cell>
        </row>
        <row r="105">
          <cell r="B105" t="str">
            <v>RM000168</v>
          </cell>
          <cell r="E105">
            <v>5.5099999999999909</v>
          </cell>
        </row>
        <row r="106">
          <cell r="B106" t="str">
            <v>RM000213</v>
          </cell>
          <cell r="E106">
            <v>2938.28</v>
          </cell>
        </row>
        <row r="107">
          <cell r="B107" t="str">
            <v>RM000149</v>
          </cell>
          <cell r="E107">
            <v>2215.2446</v>
          </cell>
        </row>
        <row r="108">
          <cell r="B108" t="str">
            <v>RM000164</v>
          </cell>
          <cell r="E108">
            <v>0</v>
          </cell>
        </row>
        <row r="109">
          <cell r="B109" t="str">
            <v>RM000062</v>
          </cell>
          <cell r="E109">
            <v>0</v>
          </cell>
        </row>
        <row r="110">
          <cell r="B110" t="str">
            <v>RM000197</v>
          </cell>
          <cell r="E110">
            <v>1000</v>
          </cell>
        </row>
        <row r="111">
          <cell r="B111" t="str">
            <v>RM000030</v>
          </cell>
          <cell r="E111">
            <v>236.70999999999989</v>
          </cell>
        </row>
        <row r="112">
          <cell r="B112" t="str">
            <v>RM000025</v>
          </cell>
          <cell r="E112">
            <v>0</v>
          </cell>
        </row>
        <row r="113">
          <cell r="B113" t="str">
            <v>RM000075</v>
          </cell>
          <cell r="E113">
            <v>168.6999999999999</v>
          </cell>
        </row>
        <row r="114">
          <cell r="B114" t="str">
            <v>RM000044</v>
          </cell>
          <cell r="E114">
            <v>249.33</v>
          </cell>
        </row>
        <row r="115">
          <cell r="B115" t="str">
            <v>RM000144</v>
          </cell>
          <cell r="E115">
            <v>0</v>
          </cell>
        </row>
        <row r="116">
          <cell r="B116" t="str">
            <v>RM000066</v>
          </cell>
          <cell r="E116">
            <v>0</v>
          </cell>
        </row>
        <row r="117">
          <cell r="B117" t="str">
            <v>RM000200</v>
          </cell>
          <cell r="E117">
            <v>336.11</v>
          </cell>
        </row>
        <row r="118">
          <cell r="B118" t="str">
            <v>RM000172</v>
          </cell>
          <cell r="E118">
            <v>800.63</v>
          </cell>
        </row>
        <row r="119">
          <cell r="B119" t="str">
            <v>RM000002</v>
          </cell>
          <cell r="E119">
            <v>0</v>
          </cell>
        </row>
        <row r="120">
          <cell r="B120" t="str">
            <v>RM000198</v>
          </cell>
          <cell r="E120">
            <v>0</v>
          </cell>
        </row>
        <row r="121">
          <cell r="B121" t="str">
            <v>RM000056</v>
          </cell>
          <cell r="E121">
            <v>45.699757635467968</v>
          </cell>
        </row>
        <row r="122">
          <cell r="B122" t="str">
            <v>RM000227</v>
          </cell>
          <cell r="E122">
            <v>31825.54</v>
          </cell>
        </row>
        <row r="123">
          <cell r="B123" t="str">
            <v>RM000143</v>
          </cell>
          <cell r="E123">
            <v>0</v>
          </cell>
        </row>
        <row r="124">
          <cell r="B124" t="str">
            <v>RM000116</v>
          </cell>
          <cell r="E124">
            <v>0</v>
          </cell>
        </row>
        <row r="125">
          <cell r="B125" t="str">
            <v>RM000069</v>
          </cell>
          <cell r="E125">
            <v>0</v>
          </cell>
        </row>
        <row r="126">
          <cell r="B126" t="str">
            <v>RM000031</v>
          </cell>
          <cell r="E126">
            <v>36.748798029556667</v>
          </cell>
        </row>
        <row r="127">
          <cell r="B127" t="str">
            <v>RM000015</v>
          </cell>
          <cell r="E127">
            <v>16.838000000000001</v>
          </cell>
        </row>
        <row r="128">
          <cell r="B128" t="str">
            <v>RM000018</v>
          </cell>
          <cell r="E128">
            <v>0</v>
          </cell>
        </row>
        <row r="129">
          <cell r="B129" t="str">
            <v>RM000224</v>
          </cell>
          <cell r="E129">
            <v>0</v>
          </cell>
        </row>
        <row r="130">
          <cell r="B130" t="str">
            <v>RM000166</v>
          </cell>
          <cell r="E130">
            <v>0</v>
          </cell>
        </row>
        <row r="131">
          <cell r="B131" t="str">
            <v>RM000122</v>
          </cell>
          <cell r="E131">
            <v>7.1767192118226566</v>
          </cell>
        </row>
        <row r="132">
          <cell r="B132" t="str">
            <v>RM000180</v>
          </cell>
          <cell r="E132">
            <v>0</v>
          </cell>
        </row>
        <row r="133">
          <cell r="B133" t="str">
            <v>RM000006</v>
          </cell>
          <cell r="E133">
            <v>0</v>
          </cell>
        </row>
        <row r="134">
          <cell r="B134" t="str">
            <v>RM000051</v>
          </cell>
          <cell r="E134">
            <v>4.9800000000000004</v>
          </cell>
        </row>
        <row r="135">
          <cell r="B135" t="str">
            <v>RM000113</v>
          </cell>
          <cell r="E135">
            <v>420.48599999999988</v>
          </cell>
        </row>
        <row r="136">
          <cell r="B136" t="str">
            <v>RM000133</v>
          </cell>
          <cell r="E136">
            <v>0</v>
          </cell>
        </row>
        <row r="137">
          <cell r="B137" t="str">
            <v>RM000080</v>
          </cell>
          <cell r="E137">
            <v>47199.96</v>
          </cell>
        </row>
        <row r="138">
          <cell r="B138" t="str">
            <v>RM000022</v>
          </cell>
          <cell r="E138">
            <v>0</v>
          </cell>
        </row>
        <row r="139">
          <cell r="B139" t="str">
            <v>RM000074</v>
          </cell>
          <cell r="E139">
            <v>2952.65</v>
          </cell>
        </row>
        <row r="140">
          <cell r="B140" t="str">
            <v>RM000073</v>
          </cell>
          <cell r="E140">
            <v>0</v>
          </cell>
        </row>
        <row r="141">
          <cell r="B141" t="str">
            <v>RM000195</v>
          </cell>
          <cell r="E141">
            <v>0</v>
          </cell>
        </row>
        <row r="142">
          <cell r="B142" t="str">
            <v>RM000235</v>
          </cell>
          <cell r="E142">
            <v>0</v>
          </cell>
        </row>
        <row r="143">
          <cell r="B143">
            <v>0</v>
          </cell>
          <cell r="E143">
            <v>402180.67151687702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ekhar Sonawane" id="{6F75B021-D392-4D16-AE77-C7AE4ABF3DC0}" userId="S::shekhar.sonawane@twobrothersindia.com::46851191-7d26-4144-8062-824cd4e4d78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FE10EC-3F07-4E52-8327-76E02D78D635}" name="RM_PM_Final" displayName="RM_PM_Final" ref="A82:BY142" totalsRowShown="0">
  <autoFilter ref="A82:BY142" xr:uid="{D2FE10EC-3F07-4E52-8327-76E02D78D635}"/>
  <tableColumns count="77">
    <tableColumn id="1" xr3:uid="{058C7848-40E4-48BA-B671-BD5E6399A453}" name="Sr. No." dataDxfId="6">
      <calculatedColumnFormula>A2</calculatedColumnFormula>
    </tableColumn>
    <tableColumn id="2" xr3:uid="{E0B4200B-61CB-4707-8A48-A0E934C799B4}" name="RM Code">
      <calculatedColumnFormula>B2</calculatedColumnFormula>
    </tableColumn>
    <tableColumn id="3" xr3:uid="{3C8A4C2F-5820-4FC6-9E2D-B2EAECCC706A}" name="Section">
      <calculatedColumnFormula>C2</calculatedColumnFormula>
    </tableColumn>
    <tableColumn id="4" xr3:uid="{96E51E23-D5D5-4275-8DEB-008F5B67D9C7}" name="Location">
      <calculatedColumnFormula>D2</calculatedColumnFormula>
    </tableColumn>
    <tableColumn id="5" xr3:uid="{05B1423F-2A39-45BC-AE67-2ABC897DC32D}" name="RM Name">
      <calculatedColumnFormula>E2</calculatedColumnFormula>
    </tableColumn>
    <tableColumn id="6" xr3:uid="{2F3B8538-A149-4928-85DA-426B49128F01}" name="RM QTY" dataDxfId="5">
      <calculatedColumnFormula>F2</calculatedColumnFormula>
    </tableColumn>
    <tableColumn id="53" xr3:uid="{745BD712-64F2-4A2C-82C7-16FD654262EB}" name="Total Monthly RM (KG) Received">
      <calculatedColumnFormula>G2</calculatedColumnFormula>
    </tableColumn>
    <tableColumn id="52" xr3:uid="{82B17AEF-3287-4383-8B87-377C422EAD11}" name="Total Monthly RM Pending (KG)" dataDxfId="4">
      <calculatedColumnFormula>H2</calculatedColumnFormula>
    </tableColumn>
    <tableColumn id="51" xr3:uid="{1AAA801A-43D4-44F5-BDDA-D344160604D4}" name="Total Fulfillment Rate %" dataDxfId="3">
      <calculatedColumnFormula>I2</calculatedColumnFormula>
    </tableColumn>
    <tableColumn id="7" xr3:uid="{3F147AE8-1FBE-4550-A1BF-89487E17855B}" name="24-Aug">
      <calculatedColumnFormula>J2</calculatedColumnFormula>
    </tableColumn>
    <tableColumn id="8" xr3:uid="{411E2CE1-50CF-4048-AD8C-099F90F7C73D}" name="25-Aug">
      <calculatedColumnFormula>K2</calculatedColumnFormula>
    </tableColumn>
    <tableColumn id="9" xr3:uid="{1801737C-6916-44FD-BE88-787E25BA7E64}" name="26-Aug">
      <calculatedColumnFormula>L2</calculatedColumnFormula>
    </tableColumn>
    <tableColumn id="10" xr3:uid="{225C925E-EB27-4161-95BF-718C808CEDA5}" name="27-Aug">
      <calculatedColumnFormula>M2</calculatedColumnFormula>
    </tableColumn>
    <tableColumn id="11" xr3:uid="{258B862D-AAC8-48A0-A46B-0EC3A90623B6}" name="28-Aug">
      <calculatedColumnFormula>N2</calculatedColumnFormula>
    </tableColumn>
    <tableColumn id="12" xr3:uid="{61180F0C-635C-4C02-AE94-A85A5599FB34}" name="29-Aug">
      <calculatedColumnFormula>O2</calculatedColumnFormula>
    </tableColumn>
    <tableColumn id="13" xr3:uid="{F71B0E01-0C51-45B1-85EA-A33D81B584CC}" name="30-Aug">
      <calculatedColumnFormula>P2</calculatedColumnFormula>
    </tableColumn>
    <tableColumn id="14" xr3:uid="{E5F6C67E-0BBF-425E-8A3A-21DA66CEA71C}" name="31-Aug">
      <calculatedColumnFormula>Q2</calculatedColumnFormula>
    </tableColumn>
    <tableColumn id="17" xr3:uid="{2B9B1B22-14B8-41FB-864B-0E91A14BD487}" name="1-Sep">
      <calculatedColumnFormula>R2</calculatedColumnFormula>
    </tableColumn>
    <tableColumn id="18" xr3:uid="{5D3BE571-DBD3-4E3B-B0E7-52948CAA68BE}" name="2-Sep">
      <calculatedColumnFormula>S2</calculatedColumnFormula>
    </tableColumn>
    <tableColumn id="19" xr3:uid="{E508EEBC-802E-4F2E-946A-6D79B1545DCB}" name="3-Sep">
      <calculatedColumnFormula>T2</calculatedColumnFormula>
    </tableColumn>
    <tableColumn id="20" xr3:uid="{20077D74-88A6-4473-BE39-29BF8F99F2A3}" name="4-Sep">
      <calculatedColumnFormula>U2</calculatedColumnFormula>
    </tableColumn>
    <tableColumn id="21" xr3:uid="{FCC711CE-425A-4ED2-B13E-09320FF9D451}" name="5-Sep">
      <calculatedColumnFormula>V2</calculatedColumnFormula>
    </tableColumn>
    <tableColumn id="22" xr3:uid="{64A17ADF-2EB3-4D86-93E0-91FC8212A93E}" name="6-Sep">
      <calculatedColumnFormula>W2</calculatedColumnFormula>
    </tableColumn>
    <tableColumn id="23" xr3:uid="{59A18396-6BF7-4C67-B6D3-1A5CC8E943F5}" name="7-Sep">
      <calculatedColumnFormula>X2</calculatedColumnFormula>
    </tableColumn>
    <tableColumn id="26" xr3:uid="{965175C8-4336-460D-B409-BAA57ED1060C}" name="8-Sep">
      <calculatedColumnFormula>Y2</calculatedColumnFormula>
    </tableColumn>
    <tableColumn id="27" xr3:uid="{4B7BD093-7DDB-470A-8D00-16C0D4FF90EE}" name="9-Sep">
      <calculatedColumnFormula>Z2</calculatedColumnFormula>
    </tableColumn>
    <tableColumn id="28" xr3:uid="{E9B68C6B-7A95-499B-BC83-B2C7A8361411}" name="10-Sep">
      <calculatedColumnFormula>AA2</calculatedColumnFormula>
    </tableColumn>
    <tableColumn id="29" xr3:uid="{B9CBF2DA-599D-455D-8AF6-23FCE3E81EE8}" name="11-Sep">
      <calculatedColumnFormula>AB2</calculatedColumnFormula>
    </tableColumn>
    <tableColumn id="30" xr3:uid="{D36D9C12-7578-45AE-9954-96F44E7330FA}" name="12-Sep">
      <calculatedColumnFormula>AC2</calculatedColumnFormula>
    </tableColumn>
    <tableColumn id="31" xr3:uid="{FB83A13D-E639-492E-B76F-67C018B80D02}" name="13-Sep">
      <calculatedColumnFormula>AD2</calculatedColumnFormula>
    </tableColumn>
    <tableColumn id="32" xr3:uid="{39F5DFEB-496E-4D0D-B12C-9B8CEEEB6759}" name="14-Sep">
      <calculatedColumnFormula>AE2</calculatedColumnFormula>
    </tableColumn>
    <tableColumn id="35" xr3:uid="{4420925E-0C85-4230-BA51-DEFD56E9E352}" name="15-Sep">
      <calculatedColumnFormula>AF2</calculatedColumnFormula>
    </tableColumn>
    <tableColumn id="36" xr3:uid="{09C85BE7-889F-4A6F-AF6A-1F6B0222EC6E}" name="16-Sep">
      <calculatedColumnFormula>AG2</calculatedColumnFormula>
    </tableColumn>
    <tableColumn id="37" xr3:uid="{45BCA343-91CE-43A1-8401-D71DD1F49A75}" name="17-Sep">
      <calculatedColumnFormula>AH2</calculatedColumnFormula>
    </tableColumn>
    <tableColumn id="38" xr3:uid="{4BBF490E-DD13-4AAA-82EE-B0FDFEE4F592}" name="18-Sep">
      <calculatedColumnFormula>AI2</calculatedColumnFormula>
    </tableColumn>
    <tableColumn id="39" xr3:uid="{13A7348D-C1EA-4BC3-BEDA-56EED853B6B8}" name="19-Sep">
      <calculatedColumnFormula>AJ2</calculatedColumnFormula>
    </tableColumn>
    <tableColumn id="40" xr3:uid="{77DC386B-7069-443F-A6E7-8D725D334F25}" name="20-Sep">
      <calculatedColumnFormula>AK2</calculatedColumnFormula>
    </tableColumn>
    <tableColumn id="41" xr3:uid="{F2F228BA-7998-4808-A831-927914B93376}" name="21-Sep">
      <calculatedColumnFormula>AL2</calculatedColumnFormula>
    </tableColumn>
    <tableColumn id="42" xr3:uid="{02126454-67EB-43FD-8565-E9D3C06CA78B}" name="22-Sep">
      <calculatedColumnFormula>AM2</calculatedColumnFormula>
    </tableColumn>
    <tableColumn id="43" xr3:uid="{FB165D05-8F7A-43F9-8A6F-F90C340F4C5A}" name="23-Sep">
      <calculatedColumnFormula>AN2</calculatedColumnFormula>
    </tableColumn>
    <tableColumn id="15" xr3:uid="{4D922FD3-FFE3-4FFF-8935-6F700974EF66}" name="24-Sep">
      <calculatedColumnFormula>AO2</calculatedColumnFormula>
    </tableColumn>
    <tableColumn id="16" xr3:uid="{9B7156F6-CCFB-4D33-B61F-4849CF97220C}" name="25-Sep">
      <calculatedColumnFormula>AP2</calculatedColumnFormula>
    </tableColumn>
    <tableColumn id="24" xr3:uid="{B2D20980-2FA2-4DF1-8DEC-915025AD7410}" name="26-Sep" dataDxfId="2">
      <calculatedColumnFormula>AQ2</calculatedColumnFormula>
    </tableColumn>
    <tableColumn id="25" xr3:uid="{42371689-0746-461B-BB2C-54CE4DBFE669}" name="27-Sep" dataDxfId="1">
      <calculatedColumnFormula>AR2</calculatedColumnFormula>
    </tableColumn>
    <tableColumn id="33" xr3:uid="{7F28F491-019E-4935-906B-3FA0FD2B9275}" name="28-Sep">
      <calculatedColumnFormula>AS2</calculatedColumnFormula>
    </tableColumn>
    <tableColumn id="34" xr3:uid="{BB20B7CA-F119-4BA9-B12A-BBA5AB3F286A}" name="29-Sep">
      <calculatedColumnFormula>AT2</calculatedColumnFormula>
    </tableColumn>
    <tableColumn id="44" xr3:uid="{5BC8F2B3-4906-4B96-8041-74A518D16547}" name="30-Sep">
      <calculatedColumnFormula>AU2</calculatedColumnFormula>
    </tableColumn>
    <tableColumn id="45" xr3:uid="{F77D275F-CDD0-44A9-99A6-D87DF61337B6}" name="1-Oct">
      <calculatedColumnFormula>AV2</calculatedColumnFormula>
    </tableColumn>
    <tableColumn id="46" xr3:uid="{8E6C2391-21DF-43B7-B302-3BABC5D99564}" name="2-Oct">
      <calculatedColumnFormula>AW2</calculatedColumnFormula>
    </tableColumn>
    <tableColumn id="47" xr3:uid="{64F2CEDA-6ACC-447E-8B46-83A8D16CD2F6}" name="3-Oct">
      <calculatedColumnFormula>AX2</calculatedColumnFormula>
    </tableColumn>
    <tableColumn id="48" xr3:uid="{94017BF9-94F3-494E-BAD9-FEA897A9521B}" name="4-Oct">
      <calculatedColumnFormula>AY2</calculatedColumnFormula>
    </tableColumn>
    <tableColumn id="49" xr3:uid="{32D1E1D2-8124-4793-B2CA-5042A3C0B2C9}" name="5-Oct">
      <calculatedColumnFormula>AZ2</calculatedColumnFormula>
    </tableColumn>
    <tableColumn id="50" xr3:uid="{DE0459C5-FEA8-4A40-A64F-DD866FA646F0}" name="6-Oct">
      <calculatedColumnFormula>BA2</calculatedColumnFormula>
    </tableColumn>
    <tableColumn id="54" xr3:uid="{6193C8FC-C022-400D-B0C6-EC72781506AF}" name="7-Oct">
      <calculatedColumnFormula>BB2</calculatedColumnFormula>
    </tableColumn>
    <tableColumn id="55" xr3:uid="{4F11742D-C97F-4E9E-83CB-4943C7C970EB}" name="8-Oct">
      <calculatedColumnFormula>BC2</calculatedColumnFormula>
    </tableColumn>
    <tableColumn id="56" xr3:uid="{BE94EEE5-7AF4-42BD-85B3-ADBF74447D16}" name="9-Oct">
      <calculatedColumnFormula>BD2</calculatedColumnFormula>
    </tableColumn>
    <tableColumn id="57" xr3:uid="{D375C62F-CED0-44CD-90D2-CF670CC32895}" name="10-Oct">
      <calculatedColumnFormula>BE2</calculatedColumnFormula>
    </tableColumn>
    <tableColumn id="58" xr3:uid="{C04CF2B7-0669-4D4A-9D3F-913E4232E1D3}" name="11-Oct">
      <calculatedColumnFormula>BF2</calculatedColumnFormula>
    </tableColumn>
    <tableColumn id="59" xr3:uid="{FBBD31A4-1ADD-477E-8309-9271FE1E0042}" name="12-Oct">
      <calculatedColumnFormula>BG2</calculatedColumnFormula>
    </tableColumn>
    <tableColumn id="60" xr3:uid="{D7C6D5E0-C2E1-48F4-BF52-255A89C778BC}" name="13-Oct">
      <calculatedColumnFormula>BH2</calculatedColumnFormula>
    </tableColumn>
    <tableColumn id="61" xr3:uid="{C1677934-C820-4EFA-A798-AB1F014C7118}" name="14-Oct">
      <calculatedColumnFormula>BI2</calculatedColumnFormula>
    </tableColumn>
    <tableColumn id="62" xr3:uid="{D7862681-A0F7-4EC2-8C47-647A736D3560}" name="15-Oct">
      <calculatedColumnFormula>BJ2</calculatedColumnFormula>
    </tableColumn>
    <tableColumn id="63" xr3:uid="{616C7B70-97D5-4EE4-9491-F44998133E8D}" name="16-Oct">
      <calculatedColumnFormula>BK2</calculatedColumnFormula>
    </tableColumn>
    <tableColumn id="64" xr3:uid="{FE60A54E-38FA-4B58-8BAA-C8E2AAB830A4}" name="17-Oct">
      <calculatedColumnFormula>BL2</calculatedColumnFormula>
    </tableColumn>
    <tableColumn id="65" xr3:uid="{82E92504-EC3D-4D67-B595-A281E27BBBD4}" name="18-Oct">
      <calculatedColumnFormula>BM2</calculatedColumnFormula>
    </tableColumn>
    <tableColumn id="66" xr3:uid="{F7BFCDA9-AAB3-410E-A769-82DDE1B28F7A}" name="19-Oct">
      <calculatedColumnFormula>BN2</calculatedColumnFormula>
    </tableColumn>
    <tableColumn id="67" xr3:uid="{8D88E05F-BBF1-4526-9B5B-AD1373CB3DC9}" name="20-Oct">
      <calculatedColumnFormula>BO2</calculatedColumnFormula>
    </tableColumn>
    <tableColumn id="68" xr3:uid="{C5962285-E859-4666-AFD4-087CCFA1B4BE}" name="21-Oct">
      <calculatedColumnFormula>BP2</calculatedColumnFormula>
    </tableColumn>
    <tableColumn id="69" xr3:uid="{4BC25500-80A1-495B-A52D-8ADDA0E19EBE}" name="22-Oct">
      <calculatedColumnFormula>BQ2</calculatedColumnFormula>
    </tableColumn>
    <tableColumn id="70" xr3:uid="{D00F039B-560B-4C50-99F6-4FFA7FD52A5C}" name="23-Oct">
      <calculatedColumnFormula>BR2</calculatedColumnFormula>
    </tableColumn>
    <tableColumn id="71" xr3:uid="{30701AF7-2443-44F8-9A2F-FD42277942F9}" name="24-Oct">
      <calculatedColumnFormula>BS2</calculatedColumnFormula>
    </tableColumn>
    <tableColumn id="72" xr3:uid="{377D01F5-9961-44C4-9715-B6D85D95B01E}" name="25-Oct">
      <calculatedColumnFormula>BT2</calculatedColumnFormula>
    </tableColumn>
    <tableColumn id="73" xr3:uid="{01369773-1A65-428F-83DE-D475A613A146}" name="26-Oct">
      <calculatedColumnFormula>BU2</calculatedColumnFormula>
    </tableColumn>
    <tableColumn id="74" xr3:uid="{867C5E25-41DB-45E7-A3E9-3500BBEFD950}" name="27-Oct">
      <calculatedColumnFormula>BV2</calculatedColumnFormula>
    </tableColumn>
    <tableColumn id="75" xr3:uid="{665C05E5-7D43-4C59-9F0C-70915D5AD333}" name="28-Oct">
      <calculatedColumnFormula>BW2</calculatedColumnFormula>
    </tableColumn>
    <tableColumn id="76" xr3:uid="{221BE228-5944-4A67-AF9D-38C3D97B232F}" name="29-Oct">
      <calculatedColumnFormula>BX2</calculatedColumnFormula>
    </tableColumn>
    <tableColumn id="77" xr3:uid="{3FBFD505-8E84-4ABF-89E5-3799D066F28C}" name="30-Oct">
      <calculatedColumnFormula>BY2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3F2CB-F182-47F3-8DAE-595764BAD99E}" name="RM_PM_Quantity" displayName="RM_PM_Quantity" ref="G5:M231" totalsRowShown="0">
  <autoFilter ref="G5:M231" xr:uid="{18C3F2CB-F182-47F3-8DAE-595764BAD99E}"/>
  <tableColumns count="7">
    <tableColumn id="1" xr3:uid="{A0EC3910-892A-455E-BF15-9AF7A8D4126A}" name="Date"/>
    <tableColumn id="2" xr3:uid="{34F622E7-0BE1-4E5F-AF4F-6648E0224331}" name="Location"/>
    <tableColumn id="3" xr3:uid="{6C68495A-1659-4174-A8C3-75BA806AFB7C}" name="Section"/>
    <tableColumn id="4" xr3:uid="{F9E96140-352F-4286-8777-CA2CEAE8E882}" name="RM Name"/>
    <tableColumn id="5" xr3:uid="{C1484E41-B021-4360-B688-4CF346BCF747}" name="Quantity"/>
    <tableColumn id="6" xr3:uid="{35CECA14-B190-40CE-BC11-81E08B4CF7A7}" name="ID"/>
    <tableColumn id="7" xr3:uid="{2B232D3F-5B6B-45AD-A2F2-FC93B0EED57C}" name="Name of Supervi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208E7B-ECB6-42FF-829E-AADBB1603E5A}" name="RM_PM_Master" displayName="RM_PM_Master" ref="A1:C62" totalsRowShown="0">
  <autoFilter ref="A1:C62" xr:uid="{25208E7B-ECB6-42FF-829E-AADBB1603E5A}"/>
  <tableColumns count="3">
    <tableColumn id="1" xr3:uid="{CF9AAF76-8450-4EBA-91F5-EDC4237A62A3}" name="Location"/>
    <tableColumn id="2" xr3:uid="{10E3639B-4D1B-4218-BFF0-5E42D51293CF}" name="Section"/>
    <tableColumn id="3" xr3:uid="{52DD09DB-F030-44A8-B871-8E7911B11B4D}" name="RM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3" dT="2026-07-29T07:25:13.28" personId="{6F75B021-D392-4D16-AE77-C7AE4ABF3DC0}" id="{4491A9DE-5D53-46E1-9497-19AB78A783F0}">
    <text>63.81kg Short received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04658A-F7C0-4369-B363-29D43AFD7543}">
  <we:reference id="WA200010725" version="1.0.0.1" store="Omex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DED1-9852-4B4D-8ABB-000D587F920D}">
  <sheetPr>
    <tabColor rgb="FF7030A0"/>
  </sheetPr>
  <dimension ref="A1:DS220"/>
  <sheetViews>
    <sheetView showGridLines="0" tabSelected="1" workbookViewId="0">
      <pane ySplit="5" topLeftCell="A6" activePane="bottomLeft" state="frozen"/>
      <selection pane="bottomLeft" activeCell="M5" sqref="M5:O5"/>
    </sheetView>
  </sheetViews>
  <sheetFormatPr defaultRowHeight="15"/>
  <cols>
    <col min="1" max="1" width="27.5703125" customWidth="1"/>
    <col min="2" max="2" width="15.28515625" customWidth="1"/>
    <col min="3" max="3" width="17.140625" customWidth="1"/>
    <col min="4" max="4" width="24.7109375" customWidth="1"/>
    <col min="5" max="5" width="14.85546875" customWidth="1"/>
    <col min="6" max="6" width="13.28515625" customWidth="1"/>
    <col min="7" max="8" width="17.5703125" customWidth="1"/>
    <col min="9" max="9" width="13.7109375" customWidth="1"/>
    <col min="10" max="10" width="17.5703125" customWidth="1"/>
    <col min="11" max="11" width="27.5703125" customWidth="1"/>
    <col min="12" max="79" width="11" customWidth="1"/>
    <col min="82" max="124" width="0" hidden="1" customWidth="1"/>
  </cols>
  <sheetData>
    <row r="1" spans="1:123" ht="27.75" customHeigh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</row>
    <row r="2" spans="1:123" ht="27.7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CD2" t="str" cm="1">
        <f t="array" ref="CD2:CD5">_xlfn.LET(_xlpm.h,_xlfn.DROP(RM_PM_Final[#Headers],,9),_xlfn.VSTACK("All",TRANSPOSE(_xlfn.UNIQUE(_xlfn.TEXTAFTER(_xlpm.h,"-"),TRUE))))</f>
        <v>All</v>
      </c>
      <c r="CE2" t="s">
        <v>1</v>
      </c>
      <c r="CF2" t="str" cm="1">
        <f t="array" ref="CF2:CF12">_xlfn.VSTACK("All",_xlfn._xlws.SORT(_xlfn.UNIQUE(_xlfn._xlws.FILTER(RM_PM_Final[Section],LEFT(RM_PM_Final[RM Code],2)="RM"))))</f>
        <v>All</v>
      </c>
      <c r="CG2" t="str" cm="1">
        <f t="array" ref="CG2:CG4">_xlfn.VSTACK("All",_xlfn._xlws.SORT(_xlfn.UNIQUE(_xlfn._xlws.FILTER(RM_PM_Final[Location],LEFT(RM_PM_Final[RM Code],2)="RM"))))</f>
        <v>All</v>
      </c>
      <c r="CH2" t="str" cm="1">
        <f t="array" ref="CH2:CH51">_xlfn.VSTACK("All",_xlfn._xlws.SORT(_xlfn.UNIQUE(_xlfn._xlws.FILTER(RM_PM_Final[RM Code],LEFT(RM_PM_Final[RM Code],2)="RM"))))</f>
        <v>All</v>
      </c>
      <c r="CI2" t="str" cm="1">
        <f t="array" ref="CI2:CI52">_xlfn.VSTACK("All",_xlfn._xlws.SORT(_xlfn.UNIQUE(_xlfn._xlws.FILTER(RM_PM_Final[RM Name],LEFT(RM_PM_Final[RM Code],2)="RM"))))</f>
        <v>All</v>
      </c>
      <c r="CJ2" t="s">
        <v>2</v>
      </c>
      <c r="CK2" t="s">
        <v>3</v>
      </c>
      <c r="CY2" t="s">
        <v>4</v>
      </c>
      <c r="CZ2" cm="1">
        <f t="array" ref="CZ2">SUM(--(_xlfn.ANCHORARRAY($CX$20)="Not Received"))</f>
        <v>31</v>
      </c>
      <c r="DB2" t="s">
        <v>5</v>
      </c>
      <c r="DC2" t="s">
        <v>6</v>
      </c>
      <c r="DD2" t="s">
        <v>7</v>
      </c>
      <c r="DF2" t="s">
        <v>8</v>
      </c>
      <c r="DG2" t="s">
        <v>9</v>
      </c>
      <c r="DI2" t="s">
        <v>10</v>
      </c>
      <c r="DJ2" t="s">
        <v>11</v>
      </c>
      <c r="DL2" t="s">
        <v>12</v>
      </c>
      <c r="DM2" t="s">
        <v>13</v>
      </c>
      <c r="DO2" t="s">
        <v>14</v>
      </c>
      <c r="DP2" t="s">
        <v>13</v>
      </c>
      <c r="DQ2" t="s">
        <v>15</v>
      </c>
    </row>
    <row r="3" spans="1:123" ht="23.25" customHeight="1">
      <c r="A3" s="129" t="str" cm="1">
        <f t="array" ref="A3">"Source monthly metrics | Daily history through "&amp;INDEX(_xlfn.DROP(RM_PM_Final[#Headers],,9),1,COLUMNS(_xlfn.DROP(RM_PM_Final[#Headers],,9)))&amp;" (year not supplied) | Automatic recalculation"</f>
        <v>Source monthly metrics | Daily history through 30-Oct (year not supplied) | Automatic recalculation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CD3" t="str">
        <v>Aug</v>
      </c>
      <c r="CF3" t="str">
        <v>GMP</v>
      </c>
      <c r="CG3" t="str">
        <v>C39/Pre-Production</v>
      </c>
      <c r="CH3" t="str">
        <v>RM000002</v>
      </c>
      <c r="CI3" t="str">
        <v>Acacia Raw Honey</v>
      </c>
      <c r="CJ3" t="s">
        <v>4</v>
      </c>
      <c r="CK3" t="s">
        <v>16</v>
      </c>
      <c r="CY3" t="s">
        <v>17</v>
      </c>
      <c r="CZ3" cm="1">
        <f t="array" ref="CZ3">SUM(--(_xlfn.ANCHORARRAY($CX$20)="Low Fulfillment"))+SUM(--(_xlfn.ANCHORARRAY($CX$20)="Partial Fulfillment"))</f>
        <v>7</v>
      </c>
      <c r="DB3" t="str" cm="1">
        <f t="array" ref="DB3:DD12">_xlfn.LET(_xlpm.x,_xlfn.ANCHORARRAY($CM$20),_xlpm.q,IFERROR(1*_xlfn.CHOOSECOLS(_xlpm.x,6),0),_xlpm.n,_xlfn.CHOOSECOLS(_xlpm.x,5)&amp;" ["&amp;_xlfn.CHOOSECOLS(_xlpm.x,2)&amp;"]",_xlpm.r,IFERROR(1*_xlfn.CHOOSECOLS(_xlpm.x,7),0),_xlpm.sc,_xlpm.q+_xlfn.SEQUENCE(ROWS(_xlpm.q))/1000000,_xlpm.pos,_xlfn._xlws.FILTER(_xlpm.sc,_xlpm.q&gt;0),_xlpm.k,_xlfn.SEQUENCE(MIN(10,ROWS(_xlpm.pos))),_xlpm.ix,_xlfn.XMATCH(LARGE(_xlpm.pos,_xlpm.k),_xlpm.sc),_xlfn.HSTACK(INDEX(_xlpm.n,_xlpm.ix),INDEX(_xlpm.q,_xlpm.ix),INDEX(_xlpm.r,_xlpm.ix)))</f>
        <v>Jaggery Powder gms [RM000078]</v>
      </c>
      <c r="DC3">
        <v>117200.82</v>
      </c>
      <c r="DD3">
        <v>53078</v>
      </c>
      <c r="DF3" t="str" cm="1">
        <f t="array" ref="DF3:DG12">_xlfn.LET(_xlpm.x,_xlfn.ANCHORARRAY($CM$20),_xlpm.u,_xlfn._xlws.SORT(_xlfn.UNIQUE(_xlfn.CHOOSECOLS(_xlpm.x,3))),_xlfn.HSTACK(_xlpm.u,_xlfn.MAP(_xlpm.u,_xlfn.LAMBDA(_xlpm.z,IFERROR(SUM(_xlfn._xlws.FILTER(_xlfn.CHOOSECOLS(_xlpm.x,7),_xlfn.CHOOSECOLS(_xlpm.x,3)=_xlpm.z))/SUM(_xlfn._xlws.FILTER(_xlfn.CHOOSECOLS(_xlpm.x,6),_xlfn.CHOOSECOLS(_xlpm.x,3)=_xlpm.z)),0)))))</f>
        <v>GMP</v>
      </c>
      <c r="DG3">
        <v>0</v>
      </c>
      <c r="DI3" t="str" cm="1">
        <f t="array" ref="DI3:DJ4">_xlfn.LET(_xlpm.x,_xlfn.ANCHORARRAY($CM$20),_xlpm.u,_xlfn._xlws.SORT(_xlfn.UNIQUE(_xlfn.CHOOSECOLS(_xlpm.x,4))),_xlfn.HSTACK(_xlpm.u,_xlfn.MAP(_xlpm.u,_xlfn.LAMBDA(_xlpm.z,SUM(_xlfn._xlws.FILTER(_xlfn.CHOOSECOLS(_xlpm.x,8),_xlfn.CHOOSECOLS(_xlpm.x,4)=_xlpm.z))))))</f>
        <v>C39/Pre-Production</v>
      </c>
      <c r="DJ3">
        <v>-156947.42427487689</v>
      </c>
      <c r="DL3" t="str" cm="1">
        <f t="array" ref="DL3:DM70">_xlfn.LET(_xlpm.h,_xlfn.DROP(RM_PM_Final[#Headers],,9),_xlpm.d,RM_PM_Final[#Data],_xlpm.c,_xlfn.CHOOSECOLS(_xlpm.d,2),_xlpm.s,_xlfn.CHOOSECOLS(_xlpm.d,3),_xlpm.l,_xlfn.CHOOSECOLS(_xlpm.d,4),_xlpm.n,_xlfn.CHOOSECOLS(_xlpm.d,5),_xlpm.q,_xlfn.CHOOSECOLS(_xlpm.d,6),_xlpm.r,_xlfn.CHOOSECOLS(_xlpm.d,7),_xlpm.f,_xlfn.CHOOSECOLS(_xlpm.d,9),_xlpm.st,IF((_xlpm.c="")+(_xlpm.q&lt;=0),"Data Review",IF(_xlpm.r=0,"Not Received",IF(_xlpm.f&lt;0.5,"Low Fulfillment",IF(_xlpm.f&lt;1,"Partial Fulfillment",IF(ABS(_xlpm.f-1)&lt;0.000001,"Fulfilled","Over-Fulfilled"))))),_xlpm.k,(LEFT(_xlpm.c,2)="RM")*IF($G$5="All",1,_xlpm.s=$G$5)*IF($J$5="All",1,_xlpm.l=$J$5)*IF($M$5="All",1,_xlpm.c=$M$5)*IF($P$5="All",1,_xlpm.n=$P$5)*IF($S$5="All",1,_xlpm.st=$S$5),_xlpm.fd,_xlfn._xlws.FILTER(_xlfn.DROP(_xlpm.d,,9),_xlpm.k),_xlpm.v,_xlfn.BYCOL(_xlpm.fd,_xlfn.LAMBDA(_xlpm.a,SUM(_xlpm.a))),_xlpm.m,IF($A$5="All",_xlfn.SEQUENCE(,COLUMNS(_xlpm.h)),_xlfn._xlws.FILTER(_xlfn.SEQUENCE(,COLUMNS(_xlpm.h)),ISNUMBER(SEARCH("-"&amp;$A$5,_xlpm.h)))),_xlfn.HSTACK(TRANSPOSE(_xlfn.CHOOSECOLS(_xlpm.h,_xlpm.m)),TRANSPOSE(_xlfn.CHOOSECOLS(_xlpm.v,_xlpm.m))))</f>
        <v>24-Aug</v>
      </c>
      <c r="DM3">
        <v>8650</v>
      </c>
      <c r="DO3" t="str" cm="1">
        <f t="array" ref="DO3:DP5">_xlfn.LET(_xlpm.z,_xlfn.ANCHORARRAY($DL$3),_xlpm.m,_xlfn.UNIQUE(_xlfn.TEXTAFTER(_xlfn.CHOOSECOLS(_xlpm.z,1),"-")),_xlfn.HSTACK(_xlpm.m,_xlfn.MAP(_xlpm.m,_xlfn.LAMBDA(_xlpm.a,SUM(_xlfn._xlws.FILTER(_xlfn.CHOOSECOLS(_xlpm.z,2),_xlfn.TEXTAFTER(_xlfn.CHOOSECOLS(_xlpm.z,1),"-")=_xlpm.a))))))</f>
        <v>Aug</v>
      </c>
      <c r="DP3">
        <v>102320</v>
      </c>
      <c r="DQ3" cm="1">
        <f t="array" ref="DQ3:DQ5">IFERROR(_xlfn.CHOOSECOLS(_xlfn.ANCHORARRAY($DO$3),2)/SUM(_xlfn.CHOOSECOLS(_xlfn.ANCHORARRAY($CM$20),6)),0)</f>
        <v>0.20959400750801976</v>
      </c>
      <c r="DR3" t="str" cm="1">
        <f t="array" ref="DR3:DS12">_xlfn.LET(_xlpm.x,_xlfn.ANCHORARRAY($CM$20),_xlpm.y,_xlfn.HSTACK(_xlfn.CHOOSECOLS(_xlpm.x,5)&amp;" ["&amp;_xlfn.CHOOSECOLS(_xlpm.x,2)&amp;"]",_xlfn.CHOOSECOLS(_xlpm.x,9)),_xlfn.TAKE(_xlfn.SORTBY(_xlpm.y,_xlfn.CHOOSECOLS(_xlpm.y,2),1),10))</f>
        <v>Raw lakadong turmeric [RM000149]</v>
      </c>
      <c r="DS3">
        <v>0</v>
      </c>
    </row>
    <row r="4" spans="1:123" ht="23.25" customHeight="1">
      <c r="A4" s="114" t="s">
        <v>18</v>
      </c>
      <c r="B4" s="114"/>
      <c r="C4" s="114"/>
      <c r="D4" s="114" t="s">
        <v>19</v>
      </c>
      <c r="E4" s="114"/>
      <c r="F4" s="114"/>
      <c r="G4" s="114" t="s">
        <v>8</v>
      </c>
      <c r="H4" s="114"/>
      <c r="I4" s="114"/>
      <c r="J4" s="114" t="s">
        <v>10</v>
      </c>
      <c r="K4" s="114"/>
      <c r="L4" s="114"/>
      <c r="M4" s="114" t="s">
        <v>20</v>
      </c>
      <c r="N4" s="114"/>
      <c r="O4" s="114"/>
      <c r="P4" s="114" t="s">
        <v>21</v>
      </c>
      <c r="Q4" s="114"/>
      <c r="R4" s="114"/>
      <c r="S4" s="114" t="s">
        <v>22</v>
      </c>
      <c r="T4" s="114"/>
      <c r="U4" s="114"/>
      <c r="V4" s="114" t="s">
        <v>23</v>
      </c>
      <c r="W4" s="114"/>
      <c r="X4" s="114"/>
      <c r="CD4" t="str">
        <v>Sep</v>
      </c>
      <c r="CF4" t="str">
        <v>Honey</v>
      </c>
      <c r="CG4" t="str">
        <v>MIND/Pre-Production</v>
      </c>
      <c r="CH4" t="str">
        <v>RM000015</v>
      </c>
      <c r="CI4" t="str">
        <v>Bajara</v>
      </c>
      <c r="CJ4" t="s">
        <v>24</v>
      </c>
      <c r="CY4" t="s">
        <v>25</v>
      </c>
      <c r="CZ4" cm="1">
        <f t="array" ref="CZ4">SUM(--(_xlfn.ANCHORARRAY($CX$20)="Fulfilled"))</f>
        <v>0</v>
      </c>
      <c r="DB4" t="str">
        <v>Sugarcane Jaggery Block - 900gm [RM000186]</v>
      </c>
      <c r="DC4">
        <v>84810.12</v>
      </c>
      <c r="DD4">
        <v>43715</v>
      </c>
      <c r="DF4" t="str">
        <v>Honey</v>
      </c>
      <c r="DG4">
        <v>0.71775142832534233</v>
      </c>
      <c r="DI4" t="str">
        <v>MIND/Pre-Production</v>
      </c>
      <c r="DJ4">
        <v>-163721.47184200003</v>
      </c>
      <c r="DL4" t="str">
        <v>25-Aug</v>
      </c>
      <c r="DM4">
        <v>8600</v>
      </c>
      <c r="DO4" t="str">
        <v>Sep</v>
      </c>
      <c r="DP4">
        <v>723329</v>
      </c>
      <c r="DQ4">
        <v>1.4816792792881981</v>
      </c>
      <c r="DR4" t="str">
        <v>Moringa Leaf [RM000113]</v>
      </c>
      <c r="DS4">
        <v>0</v>
      </c>
    </row>
    <row r="5" spans="1:123" ht="23.25" customHeight="1">
      <c r="A5" s="115" t="s">
        <v>2</v>
      </c>
      <c r="B5" s="115"/>
      <c r="C5" s="115"/>
      <c r="D5" s="115" t="s">
        <v>1</v>
      </c>
      <c r="E5" s="115"/>
      <c r="F5" s="115"/>
      <c r="G5" s="115" t="s">
        <v>2</v>
      </c>
      <c r="H5" s="115"/>
      <c r="I5" s="115"/>
      <c r="J5" s="115" t="s">
        <v>2</v>
      </c>
      <c r="K5" s="115"/>
      <c r="L5" s="115"/>
      <c r="M5" s="115" t="s">
        <v>2</v>
      </c>
      <c r="N5" s="115"/>
      <c r="O5" s="115"/>
      <c r="P5" s="115" t="s">
        <v>2</v>
      </c>
      <c r="Q5" s="115"/>
      <c r="R5" s="115"/>
      <c r="S5" s="115" t="s">
        <v>2</v>
      </c>
      <c r="T5" s="115"/>
      <c r="U5" s="115"/>
      <c r="V5" s="115" t="s">
        <v>3</v>
      </c>
      <c r="W5" s="115"/>
      <c r="X5" s="115"/>
      <c r="CD5" t="str">
        <v>Oct</v>
      </c>
      <c r="CF5" t="str">
        <v>Jaggery</v>
      </c>
      <c r="CH5" t="str">
        <v>RM000018</v>
      </c>
      <c r="CI5" t="str">
        <v>Black cardamom</v>
      </c>
      <c r="CJ5" t="s">
        <v>26</v>
      </c>
      <c r="CY5" t="s">
        <v>27</v>
      </c>
      <c r="CZ5" cm="1">
        <f t="array" ref="CZ5">SUM(--(_xlfn.ANCHORARRAY($CX$20)="Over-Fulfilled"))</f>
        <v>0</v>
      </c>
      <c r="DB5" t="str">
        <v>Jowar Grains [RM000080]</v>
      </c>
      <c r="DC5">
        <v>47199.96</v>
      </c>
      <c r="DD5">
        <v>7750</v>
      </c>
      <c r="DF5" t="str">
        <v>Jaggery</v>
      </c>
      <c r="DG5">
        <v>0.4791473174670639</v>
      </c>
      <c r="DL5" t="str">
        <v>26-Aug</v>
      </c>
      <c r="DM5">
        <v>10010</v>
      </c>
      <c r="DO5" t="str">
        <v>Oct</v>
      </c>
      <c r="DP5">
        <v>167513</v>
      </c>
      <c r="DQ5">
        <v>0.34313644428939516</v>
      </c>
      <c r="DR5" t="str">
        <v>Haldi-Turmeric Powder [RM000071]</v>
      </c>
      <c r="DS5">
        <v>0</v>
      </c>
    </row>
    <row r="6" spans="1:123" ht="18" customHeight="1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CF6" t="str">
        <v>MG</v>
      </c>
      <c r="CH6" t="str">
        <v>RM000030</v>
      </c>
      <c r="CI6" t="str">
        <v>Black Pepper (Kali Miri)</v>
      </c>
      <c r="CJ6" t="s">
        <v>28</v>
      </c>
      <c r="CY6" t="s">
        <v>29</v>
      </c>
      <c r="CZ6" cm="1">
        <f t="array" ref="CZ6">SUM(--(_xlfn.ANCHORARRAY($CX$20)="Data Review"))</f>
        <v>21</v>
      </c>
      <c r="DB6" t="str">
        <v>Bajara [RM000080]</v>
      </c>
      <c r="DC6">
        <v>47199.96</v>
      </c>
      <c r="DD6">
        <v>0</v>
      </c>
      <c r="DF6" t="str">
        <v>MG</v>
      </c>
      <c r="DG6">
        <v>0.47137039095488298</v>
      </c>
      <c r="DL6" t="str">
        <v>27-Aug</v>
      </c>
      <c r="DM6">
        <v>19370</v>
      </c>
      <c r="DR6" t="str">
        <v>Coconut Sap Sugar [RM000044]</v>
      </c>
      <c r="DS6">
        <v>0</v>
      </c>
    </row>
    <row r="7" spans="1:123" ht="18" customHeight="1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CF7" t="str">
        <v>Oil</v>
      </c>
      <c r="CH7" t="str">
        <v>RM000031</v>
      </c>
      <c r="CI7" t="str">
        <v>Broken Saffron</v>
      </c>
      <c r="CJ7" t="s">
        <v>27</v>
      </c>
      <c r="DB7" t="str">
        <v>Moong Dal [RM000227]</v>
      </c>
      <c r="DC7">
        <v>31825.54</v>
      </c>
      <c r="DD7">
        <v>0</v>
      </c>
      <c r="DF7" t="str">
        <v>Oil</v>
      </c>
      <c r="DG7">
        <v>0</v>
      </c>
      <c r="DL7" t="str">
        <v>28-Aug</v>
      </c>
      <c r="DM7">
        <v>32690</v>
      </c>
      <c r="DR7" t="str">
        <v>Byadgi chill powder [RM000030]</v>
      </c>
      <c r="DS7">
        <v>0</v>
      </c>
    </row>
    <row r="8" spans="1:123" ht="21.75" customHeight="1">
      <c r="A8" s="114" t="s">
        <v>30</v>
      </c>
      <c r="B8" s="114"/>
      <c r="C8" s="114"/>
      <c r="D8" s="114"/>
      <c r="E8" s="114" t="s">
        <v>31</v>
      </c>
      <c r="F8" s="114"/>
      <c r="G8" s="114"/>
      <c r="H8" s="114"/>
      <c r="I8" s="114" t="s">
        <v>32</v>
      </c>
      <c r="J8" s="114"/>
      <c r="K8" s="114"/>
      <c r="L8" s="114"/>
      <c r="M8" s="114" t="s">
        <v>33</v>
      </c>
      <c r="N8" s="114"/>
      <c r="O8" s="114"/>
      <c r="P8" s="114"/>
      <c r="Q8" s="114" t="s">
        <v>34</v>
      </c>
      <c r="R8" s="114"/>
      <c r="S8" s="114"/>
      <c r="T8" s="114"/>
      <c r="U8" s="114" t="s">
        <v>35</v>
      </c>
      <c r="V8" s="114"/>
      <c r="W8" s="114"/>
      <c r="X8" s="114"/>
      <c r="CF8" t="str">
        <v>Other Atta</v>
      </c>
      <c r="CH8" t="str">
        <v>RM000044</v>
      </c>
      <c r="CI8" t="str">
        <v>Byadgi chill powder</v>
      </c>
      <c r="CJ8" t="s">
        <v>29</v>
      </c>
      <c r="DB8" t="str">
        <v>RM- Barley [RM000221]</v>
      </c>
      <c r="DC8">
        <v>24362.490000000009</v>
      </c>
      <c r="DD8">
        <v>9900</v>
      </c>
      <c r="DF8" t="str">
        <v>Other Atta</v>
      </c>
      <c r="DG8">
        <v>0.31617234174941955</v>
      </c>
      <c r="DL8" t="str">
        <v>29-Aug</v>
      </c>
      <c r="DM8">
        <v>0</v>
      </c>
      <c r="DR8" t="str">
        <v>Saffron [RM000179]</v>
      </c>
      <c r="DS8">
        <v>0</v>
      </c>
    </row>
    <row r="9" spans="1:123" ht="21.75" customHeight="1">
      <c r="A9" s="117">
        <f>IFERROR(ROWS(_xlfn.UNIQUE(_xlfn.CHOOSECOLS(_xlfn.ANCHORARRAY($CM$20),2))),0)</f>
        <v>49</v>
      </c>
      <c r="B9" s="116"/>
      <c r="C9" s="116"/>
      <c r="D9" s="116"/>
      <c r="E9" s="118">
        <f>IFERROR(SUM(_xlfn.CHOOSECOLS(_xlfn.ANCHORARRAY($CM$20),6)),0)</f>
        <v>488181.8961168768</v>
      </c>
      <c r="F9" s="116"/>
      <c r="G9" s="116"/>
      <c r="H9" s="116"/>
      <c r="I9" s="118">
        <f>IFERROR(SUM(_xlfn.CHOOSECOLS(_xlfn.ANCHORARRAY($CM$20),7)),0)</f>
        <v>167513</v>
      </c>
      <c r="J9" s="116"/>
      <c r="K9" s="116"/>
      <c r="L9" s="116"/>
      <c r="M9" s="119">
        <f>IFERROR(SUM(_xlfn.CHOOSECOLS(_xlfn.ANCHORARRAY($CM$20),8)),0)</f>
        <v>-320668.89611687674</v>
      </c>
      <c r="N9" s="116"/>
      <c r="O9" s="116"/>
      <c r="P9" s="116"/>
      <c r="Q9" s="120">
        <f>IFERROR(SUM(_xlfn.CHOOSECOLS(_xlfn.ANCHORARRAY($CM$20),7))/SUM(_xlfn.CHOOSECOLS(_xlfn.ANCHORARRAY($CM$20),6)),0)</f>
        <v>0.34313644428939516</v>
      </c>
      <c r="R9" s="116"/>
      <c r="S9" s="116"/>
      <c r="T9" s="116"/>
      <c r="U9" s="117" cm="1">
        <f t="array" ref="U9">IFERROR(SUM(--(_xlfn.CHOOSECOLS(_xlfn.ANCHORARRAY($CM$20),10)="Fulfilled")),0)</f>
        <v>0</v>
      </c>
      <c r="V9" s="116"/>
      <c r="W9" s="116"/>
      <c r="X9" s="116"/>
      <c r="CF9" t="str">
        <v>Protein Atta</v>
      </c>
      <c r="CH9" t="str">
        <v>RM000051</v>
      </c>
      <c r="CI9" t="str">
        <v>Cardamom</v>
      </c>
      <c r="DB9" t="str">
        <v>Finger Millet [RM000057]</v>
      </c>
      <c r="DC9">
        <v>19836.68</v>
      </c>
      <c r="DD9">
        <v>0</v>
      </c>
      <c r="DF9" t="str">
        <v>Protein Atta</v>
      </c>
      <c r="DG9">
        <v>0</v>
      </c>
      <c r="DL9" t="str">
        <v>30-Aug</v>
      </c>
      <c r="DM9">
        <v>20000</v>
      </c>
      <c r="DR9" t="str">
        <v>Rock Salt Powder [RM000177]</v>
      </c>
      <c r="DS9">
        <v>0</v>
      </c>
    </row>
    <row r="10" spans="1:123" ht="21.7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CF10" t="str">
        <v>Raw Agri</v>
      </c>
      <c r="CH10" t="str">
        <v>RM000056</v>
      </c>
      <c r="CI10" t="str">
        <v>Coconut Sap Sugar</v>
      </c>
      <c r="DB10" t="str">
        <v>Finger Millet [RM000057]</v>
      </c>
      <c r="DC10">
        <v>19836.68</v>
      </c>
      <c r="DD10">
        <v>0</v>
      </c>
      <c r="DF10" t="str">
        <v>Raw Agri</v>
      </c>
      <c r="DG10">
        <v>0</v>
      </c>
      <c r="DL10" t="str">
        <v>31-Aug</v>
      </c>
      <c r="DM10">
        <v>3000</v>
      </c>
      <c r="DR10" t="str">
        <v>Raw waghaya peanut [RM000172]</v>
      </c>
      <c r="DS10">
        <v>0</v>
      </c>
    </row>
    <row r="11" spans="1:123" ht="21.75" customHeight="1">
      <c r="CF11" t="str">
        <v>Saffron</v>
      </c>
      <c r="CH11" t="str">
        <v>RM000057</v>
      </c>
      <c r="CI11" t="str">
        <v>Dalchini/cinnamon</v>
      </c>
      <c r="DB11" t="str">
        <v>Raw mustard oil [RM000153]</v>
      </c>
      <c r="DC11">
        <v>18952.48</v>
      </c>
      <c r="DD11">
        <v>0</v>
      </c>
      <c r="DF11" t="str">
        <v>Saffron</v>
      </c>
      <c r="DG11">
        <v>0</v>
      </c>
      <c r="DL11" t="str">
        <v>1-Sep</v>
      </c>
      <c r="DM11">
        <v>20000</v>
      </c>
      <c r="DR11" t="str">
        <v>Indrayani rice [RM000076]</v>
      </c>
      <c r="DS11">
        <v>0</v>
      </c>
    </row>
    <row r="12" spans="1:123" ht="21.75" customHeight="1">
      <c r="A12" s="114" t="s">
        <v>36</v>
      </c>
      <c r="B12" s="114"/>
      <c r="C12" s="114"/>
      <c r="D12" s="114"/>
      <c r="E12" s="114" t="s">
        <v>37</v>
      </c>
      <c r="F12" s="114"/>
      <c r="G12" s="114"/>
      <c r="H12" s="114"/>
      <c r="I12" s="114" t="s">
        <v>38</v>
      </c>
      <c r="J12" s="114"/>
      <c r="K12" s="114"/>
      <c r="L12" s="114"/>
      <c r="M12" s="114" t="s">
        <v>39</v>
      </c>
      <c r="N12" s="114"/>
      <c r="O12" s="114"/>
      <c r="P12" s="114"/>
      <c r="Q12" s="114" t="s">
        <v>40</v>
      </c>
      <c r="R12" s="114"/>
      <c r="S12" s="114"/>
      <c r="T12" s="114"/>
      <c r="U12" s="114" t="s">
        <v>41</v>
      </c>
      <c r="V12" s="114"/>
      <c r="W12" s="114"/>
      <c r="X12" s="114"/>
      <c r="CF12" t="str">
        <v>Spices</v>
      </c>
      <c r="CH12" t="str">
        <v>RM000062</v>
      </c>
      <c r="CI12" t="str">
        <v>Fennel Seeds</v>
      </c>
      <c r="DB12" t="str">
        <v>Raw Soyabean [RM000162]</v>
      </c>
      <c r="DC12">
        <v>16433</v>
      </c>
      <c r="DD12">
        <v>0</v>
      </c>
      <c r="DF12" t="str">
        <v>Spices</v>
      </c>
      <c r="DG12">
        <v>0</v>
      </c>
      <c r="DL12" t="str">
        <v>2-Sep</v>
      </c>
      <c r="DM12">
        <v>4500</v>
      </c>
      <c r="DR12" t="str">
        <v>Raw Ajara Ghansal Rice [RM000139]</v>
      </c>
      <c r="DS12">
        <v>0</v>
      </c>
    </row>
    <row r="13" spans="1:123" ht="21.75" customHeight="1">
      <c r="A13" s="117" cm="1">
        <f t="array" ref="A13">IFERROR(SUM(--(_xlfn.CHOOSECOLS(_xlfn.ANCHORARRAY($CM$20),10)="Low Fulfillment"))+SUM(--(_xlfn.CHOOSECOLS(_xlfn.ANCHORARRAY($CM$20),10)="Partial Fulfillment")),0)</f>
        <v>7</v>
      </c>
      <c r="B13" s="116"/>
      <c r="C13" s="116"/>
      <c r="D13" s="116"/>
      <c r="E13" s="117" cm="1">
        <f t="array" ref="E13">IFERROR(SUM(--(_xlfn.CHOOSECOLS(_xlfn.ANCHORARRAY($CM$20),10)="Not Received")),0)</f>
        <v>31</v>
      </c>
      <c r="F13" s="116"/>
      <c r="G13" s="116"/>
      <c r="H13" s="116"/>
      <c r="I13" s="117" cm="1">
        <f t="array" ref="I13">IFERROR(SUM(--(_xlfn.CHOOSECOLS(_xlfn.ANCHORARRAY($CM$20),10)="Over-Fulfilled")),0)</f>
        <v>0</v>
      </c>
      <c r="J13" s="116"/>
      <c r="K13" s="116"/>
      <c r="L13" s="116"/>
      <c r="M13" s="117">
        <f>IFERROR(ROWS(_xlfn.UNIQUE(_xlfn.CHOOSECOLS(_xlfn.ANCHORARRAY($CM$20),3))),0)</f>
        <v>10</v>
      </c>
      <c r="N13" s="116"/>
      <c r="O13" s="116"/>
      <c r="P13" s="116"/>
      <c r="Q13" s="117">
        <f>IFERROR(ROWS(_xlfn.UNIQUE(_xlfn.CHOOSECOLS(_xlfn.ANCHORARRAY($CM$20),4))),0)</f>
        <v>2</v>
      </c>
      <c r="R13" s="116"/>
      <c r="S13" s="116"/>
      <c r="T13" s="116"/>
      <c r="U13" s="117" cm="1">
        <f t="array" ref="U13">IFERROR(SUM(--ISNUMBER(SEARCH("Critical",_xlfn.CHOOSECOLS(_xlfn.ANCHORARRAY($CM$20),11)))),0)</f>
        <v>5</v>
      </c>
      <c r="V13" s="116"/>
      <c r="W13" s="116"/>
      <c r="X13" s="116"/>
      <c r="CH13" t="str">
        <v>RM000066</v>
      </c>
      <c r="CI13" t="str">
        <v>Finger Millet</v>
      </c>
      <c r="DL13" t="str">
        <v>3-Sep</v>
      </c>
      <c r="DM13">
        <v>64270</v>
      </c>
    </row>
    <row r="14" spans="1:123" ht="21.7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CH14" t="str">
        <v>RM000067</v>
      </c>
      <c r="CI14" t="str">
        <v>Flaxseed</v>
      </c>
      <c r="DL14" t="str">
        <v>4-Sep</v>
      </c>
      <c r="DM14">
        <v>10600</v>
      </c>
    </row>
    <row r="15" spans="1:123" ht="18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CH15" t="str">
        <v>RM000069</v>
      </c>
      <c r="CI15" t="str">
        <v>Ginger Powder</v>
      </c>
      <c r="DL15" t="str">
        <v>5-Sep</v>
      </c>
      <c r="DM15">
        <v>48595</v>
      </c>
    </row>
    <row r="16" spans="1:123" ht="18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CH16" t="str">
        <v>RM000071</v>
      </c>
      <c r="CI16" t="str">
        <v>Green Moong</v>
      </c>
      <c r="DL16" t="str">
        <v>6-Sep</v>
      </c>
      <c r="DM16">
        <v>0</v>
      </c>
    </row>
    <row r="17" spans="1:117" ht="18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CH17" t="str">
        <v>RM000072</v>
      </c>
      <c r="CI17" t="str">
        <v>Groundnut Whole</v>
      </c>
      <c r="DL17" t="str">
        <v>7-Sep</v>
      </c>
      <c r="DM17">
        <v>5800</v>
      </c>
    </row>
    <row r="18" spans="1:117" ht="18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CH18" t="str">
        <v>RM000074</v>
      </c>
      <c r="CI18" t="str">
        <v>Haldi-Turmeric Powder</v>
      </c>
      <c r="DL18" t="str">
        <v>8-Sep</v>
      </c>
      <c r="DM18">
        <v>38910</v>
      </c>
    </row>
    <row r="19" spans="1:117" ht="18" customHeight="1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CH19" t="str">
        <v>RM000076</v>
      </c>
      <c r="CI19" t="str">
        <v>Harbara Dal</v>
      </c>
      <c r="DL19" t="str">
        <v>9-Sep</v>
      </c>
      <c r="DM19">
        <v>2400</v>
      </c>
    </row>
    <row r="20" spans="1:117" ht="18" customHeight="1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CH20" t="str">
        <v>RM000078</v>
      </c>
      <c r="CI20" t="str">
        <v>Horsegram</v>
      </c>
      <c r="CM20" cm="1">
        <f t="array" ref="CM20:CW78">_xlfn.LET(_xlpm.d,RM_PM_Final[#Data],_xlpm.c,_xlfn.CHOOSECOLS(_xlpm.d,2),_xlpm.s,_xlfn.CHOOSECOLS(_xlpm.d,3),_xlpm.l,_xlfn.CHOOSECOLS(_xlpm.d,4),_xlpm.n,_xlfn.CHOOSECOLS(_xlpm.d,5),_xlpm.q,_xlfn.CHOOSECOLS(_xlpm.d,6),_xlpm.r,_xlfn.CHOOSECOLS(_xlpm.d,7),_xlpm.p,_xlfn.CHOOSECOLS(_xlpm.d,8),_xlpm.f,_xlfn.CHOOSECOLS(_xlpm.d,9),_xlpm.st,IF((_xlpm.c="")+(NOT(ISNUMBER(_xlpm.q)))+(_xlpm.q&lt;=0),"Data Review",IF(_xlpm.r=0,"Not Received",IF(_xlpm.f&lt;0.5,"Low Fulfillment",IF(_xlpm.f&lt;1,"Partial Fulfillment",IF(ABS(_xlpm.f-1)&lt;0.000001,"Fulfilled","Over-Fulfilled"))))),_xlpm.at,IF(ABS(_xlpm.p-(_xlpm.r-_xlpm.q))&gt;0.1,"Reconciliation mismatch",IF((_xlpm.q&gt;0)*(_xlpm.r=0),"No receipt",IF((_xlpm.f&lt;0.5)*(-_xlpm.p&gt;=1000),"Critical shortfall &gt;=1,000 KG",IF(_xlpm.p&lt;0,"Negative pending (shortfall)",IF(_xlpm.p&gt;0,"Positive pending / over-receipt",""))))),_xlpm.k,(LEFT(_xlpm.c,2)="RM")*IF($G$5="All",1,_xlpm.s=$G$5)*IF($J$5="All",1,_xlpm.l=$J$5)*IF($M$5="All",1,_xlpm.c=$M$5)*IF($P$5="All",1,_xlpm.n=$P$5)*IF($S$5="All",1,_xlpm.st=$S$5),_xlfn._xlws.FILTER(_xlfn.HSTACK(_xlfn.CHOOSECOLS(_xlpm.d,1,2,3,4,5,6,7,8,9),_xlpm.st,_xlpm.at),_xlpm.k,""))</f>
        <v>1</v>
      </c>
      <c r="CN20" t="str">
        <v>RM000149</v>
      </c>
      <c r="CO20" t="str">
        <v>Spices</v>
      </c>
      <c r="CP20" t="str">
        <v>C39/Pre-Production</v>
      </c>
      <c r="CQ20" t="str">
        <v>Raw lakadong turmeric</v>
      </c>
      <c r="CR20">
        <v>2215.2446</v>
      </c>
      <c r="CS20">
        <v>0</v>
      </c>
      <c r="CT20">
        <v>-2215.2446</v>
      </c>
      <c r="CU20">
        <v>0</v>
      </c>
      <c r="CV20" t="str">
        <v>Not Received</v>
      </c>
      <c r="CW20" t="str">
        <v>No receipt</v>
      </c>
      <c r="CX20" t="str" cm="1">
        <f t="array" ref="CX20:CX78">_xlfn.CHOOSECOLS(_xlfn.ANCHORARRAY($CM$20),10)</f>
        <v>Not Received</v>
      </c>
      <c r="DL20" t="str">
        <v>10-Sep</v>
      </c>
      <c r="DM20">
        <v>30391</v>
      </c>
    </row>
    <row r="21" spans="1:117" ht="18" customHeight="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CH21" t="str">
        <v>RM000080</v>
      </c>
      <c r="CI21" t="str">
        <v>Indrayani rice</v>
      </c>
      <c r="CM21">
        <v>2</v>
      </c>
      <c r="CN21" t="str">
        <v>RM000113</v>
      </c>
      <c r="CO21" t="str">
        <v>Spices</v>
      </c>
      <c r="CP21" t="str">
        <v>C39/Pre-Production</v>
      </c>
      <c r="CQ21" t="str">
        <v>Moringa Leaf</v>
      </c>
      <c r="CR21">
        <v>420.48599999999988</v>
      </c>
      <c r="CS21">
        <v>0</v>
      </c>
      <c r="CT21">
        <v>-420.48599999999988</v>
      </c>
      <c r="CU21">
        <v>0</v>
      </c>
      <c r="CV21" t="str">
        <v>Not Received</v>
      </c>
      <c r="CW21" t="str">
        <v>No receipt</v>
      </c>
      <c r="CX21" t="str">
        <v>Not Received</v>
      </c>
      <c r="DL21" t="str">
        <v>11-Sep</v>
      </c>
      <c r="DM21">
        <v>36690</v>
      </c>
    </row>
    <row r="22" spans="1:117" ht="18" customHeight="1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CH22" t="str">
        <v>RM000094</v>
      </c>
      <c r="CI22" t="str">
        <v>Jaggery Powder gms</v>
      </c>
      <c r="CM22">
        <v>3</v>
      </c>
      <c r="CN22" t="str">
        <v>RM000071</v>
      </c>
      <c r="CO22" t="str">
        <v>Spices</v>
      </c>
      <c r="CP22" t="str">
        <v>C39/Pre-Production</v>
      </c>
      <c r="CQ22" t="str">
        <v>Haldi-Turmeric Powder</v>
      </c>
      <c r="CR22">
        <v>0</v>
      </c>
      <c r="CS22">
        <v>0</v>
      </c>
      <c r="CT22">
        <v>0</v>
      </c>
      <c r="CU22">
        <v>0</v>
      </c>
      <c r="CV22" t="str">
        <v>Data Review</v>
      </c>
      <c r="CW22" t="str">
        <v/>
      </c>
      <c r="CX22" t="str">
        <v>Data Review</v>
      </c>
      <c r="DL22" t="str">
        <v>12-Sep</v>
      </c>
      <c r="DM22">
        <v>17334</v>
      </c>
    </row>
    <row r="23" spans="1:117" ht="18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CH23" t="str">
        <v>RM000113</v>
      </c>
      <c r="CI23" t="str">
        <v>Jowar Grains</v>
      </c>
      <c r="CM23">
        <v>4</v>
      </c>
      <c r="CN23" t="str">
        <v>RM000044</v>
      </c>
      <c r="CO23" t="str">
        <v>Spices</v>
      </c>
      <c r="CP23" t="str">
        <v>C39/Pre-Production</v>
      </c>
      <c r="CQ23" t="str">
        <v>Coconut Sap Sugar</v>
      </c>
      <c r="CR23">
        <v>249.33</v>
      </c>
      <c r="CS23">
        <v>0</v>
      </c>
      <c r="CT23">
        <v>-249.33</v>
      </c>
      <c r="CU23">
        <v>0</v>
      </c>
      <c r="CV23" t="str">
        <v>Not Received</v>
      </c>
      <c r="CW23" t="str">
        <v>No receipt</v>
      </c>
      <c r="CX23" t="str">
        <v>Not Received</v>
      </c>
      <c r="DL23" t="str">
        <v>13-Sep</v>
      </c>
      <c r="DM23">
        <v>4800</v>
      </c>
    </row>
    <row r="24" spans="1:117" ht="18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CH24" t="str">
        <v>RM000116</v>
      </c>
      <c r="CI24" t="str">
        <v>Khapli Wheat Grains</v>
      </c>
      <c r="CM24">
        <v>5</v>
      </c>
      <c r="CN24" t="str">
        <v>RM000030</v>
      </c>
      <c r="CO24" t="str">
        <v>Spices</v>
      </c>
      <c r="CP24" t="str">
        <v>C39/Pre-Production</v>
      </c>
      <c r="CQ24" t="str">
        <v>Byadgi chill powder</v>
      </c>
      <c r="CR24">
        <v>236.70999999999989</v>
      </c>
      <c r="CS24">
        <v>0</v>
      </c>
      <c r="CT24">
        <v>-236.70999999999989</v>
      </c>
      <c r="CU24">
        <v>0</v>
      </c>
      <c r="CV24" t="str">
        <v>Not Received</v>
      </c>
      <c r="CW24" t="str">
        <v>No receipt</v>
      </c>
      <c r="CX24" t="str">
        <v>Not Received</v>
      </c>
      <c r="DL24" t="str">
        <v>14-Sep</v>
      </c>
      <c r="DM24">
        <v>0</v>
      </c>
    </row>
    <row r="25" spans="1:117" ht="18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CH25" t="str">
        <v>RM000122</v>
      </c>
      <c r="CI25" t="str">
        <v>Khapli Wheat Grains (Packing)</v>
      </c>
      <c r="CM25">
        <v>6</v>
      </c>
      <c r="CN25" t="str">
        <v>RM000179</v>
      </c>
      <c r="CO25" t="str">
        <v>Saffron</v>
      </c>
      <c r="CP25" t="str">
        <v>C39/Pre-Production</v>
      </c>
      <c r="CQ25" t="str">
        <v>Saffron</v>
      </c>
      <c r="CR25">
        <v>6.2570000000000006</v>
      </c>
      <c r="CS25">
        <v>0</v>
      </c>
      <c r="CT25">
        <v>-6.2570000000000006</v>
      </c>
      <c r="CU25">
        <v>0</v>
      </c>
      <c r="CV25" t="str">
        <v>Not Received</v>
      </c>
      <c r="CW25" t="str">
        <v>No receipt</v>
      </c>
      <c r="CX25" t="str">
        <v>Not Received</v>
      </c>
      <c r="DL25" t="str">
        <v>15-Sep</v>
      </c>
      <c r="DM25">
        <v>57001</v>
      </c>
    </row>
    <row r="26" spans="1:117" ht="18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CH26" t="str">
        <v>RM000133</v>
      </c>
      <c r="CI26" t="str">
        <v>Moong Dal</v>
      </c>
      <c r="CM26">
        <v>7</v>
      </c>
      <c r="CN26" t="str">
        <v>RM000177</v>
      </c>
      <c r="CO26" t="str">
        <v>Raw Agri</v>
      </c>
      <c r="CP26" t="str">
        <v>MIND/Pre-Production</v>
      </c>
      <c r="CQ26" t="str">
        <v>Rock Salt Powder</v>
      </c>
      <c r="CR26">
        <v>12332.28</v>
      </c>
      <c r="CS26">
        <v>0</v>
      </c>
      <c r="CT26">
        <v>-12332.28</v>
      </c>
      <c r="CU26">
        <v>0</v>
      </c>
      <c r="CV26" t="str">
        <v>Not Received</v>
      </c>
      <c r="CW26" t="str">
        <v>No receipt</v>
      </c>
      <c r="CX26" t="str">
        <v>Not Received</v>
      </c>
      <c r="DL26" t="str">
        <v>16-Sep</v>
      </c>
      <c r="DM26">
        <v>7661</v>
      </c>
    </row>
    <row r="27" spans="1:117" ht="18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CH27" t="str">
        <v>RM000139</v>
      </c>
      <c r="CI27" t="str">
        <v>Moringa Leaf</v>
      </c>
      <c r="CM27">
        <v>8</v>
      </c>
      <c r="CN27" t="str">
        <v>RM000172</v>
      </c>
      <c r="CO27" t="str">
        <v>Raw Agri</v>
      </c>
      <c r="CP27" t="str">
        <v>MIND/Pre-Production</v>
      </c>
      <c r="CQ27" t="str">
        <v>Raw waghaya peanut</v>
      </c>
      <c r="CR27">
        <v>800.63</v>
      </c>
      <c r="CS27">
        <v>0</v>
      </c>
      <c r="CT27">
        <v>-800.63</v>
      </c>
      <c r="CU27">
        <v>0</v>
      </c>
      <c r="CV27" t="str">
        <v>Not Received</v>
      </c>
      <c r="CW27" t="str">
        <v>No receipt</v>
      </c>
      <c r="CX27" t="str">
        <v>Not Received</v>
      </c>
      <c r="DL27" t="str">
        <v>17-Sep</v>
      </c>
      <c r="DM27">
        <v>31700</v>
      </c>
    </row>
    <row r="28" spans="1:117" ht="18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CH28" t="str">
        <v>RM000144</v>
      </c>
      <c r="CI28" t="str">
        <v>Mustard Seeds</v>
      </c>
      <c r="CM28">
        <v>9</v>
      </c>
      <c r="CN28" t="str">
        <v>RM000076</v>
      </c>
      <c r="CO28" t="str">
        <v>Raw Agri</v>
      </c>
      <c r="CP28" t="str">
        <v>MIND/Pre-Production</v>
      </c>
      <c r="CQ28" t="str">
        <v>Indrayani rice</v>
      </c>
      <c r="CR28">
        <v>860.65</v>
      </c>
      <c r="CS28">
        <v>0</v>
      </c>
      <c r="CT28">
        <v>-860.65</v>
      </c>
      <c r="CU28">
        <v>0</v>
      </c>
      <c r="CV28" t="str">
        <v>Not Received</v>
      </c>
      <c r="CW28" t="str">
        <v>No receipt</v>
      </c>
      <c r="CX28" t="str">
        <v>Not Received</v>
      </c>
      <c r="DL28" t="str">
        <v>18-Sep</v>
      </c>
      <c r="DM28">
        <v>21736</v>
      </c>
    </row>
    <row r="29" spans="1:117" ht="18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CH29" t="str">
        <v>RM000149</v>
      </c>
      <c r="CI29" t="str">
        <v>Nutmeg( jayfal)</v>
      </c>
      <c r="CM29">
        <v>10</v>
      </c>
      <c r="CN29" t="str">
        <v>RM000139</v>
      </c>
      <c r="CO29" t="str">
        <v>Raw Agri</v>
      </c>
      <c r="CP29" t="str">
        <v>MIND/Pre-Production</v>
      </c>
      <c r="CQ29" t="str">
        <v>Raw Ajara Ghansal Rice</v>
      </c>
      <c r="CR29">
        <v>324.65000000000009</v>
      </c>
      <c r="CS29">
        <v>0</v>
      </c>
      <c r="CT29">
        <v>-324.65000000000009</v>
      </c>
      <c r="CU29">
        <v>0</v>
      </c>
      <c r="CV29" t="str">
        <v>Not Received</v>
      </c>
      <c r="CW29" t="str">
        <v>No receipt</v>
      </c>
      <c r="CX29" t="str">
        <v>Not Received</v>
      </c>
      <c r="DL29" t="str">
        <v>19-Sep</v>
      </c>
      <c r="DM29">
        <v>34033</v>
      </c>
    </row>
    <row r="30" spans="1:117" ht="18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CH30" t="str">
        <v>RM000151</v>
      </c>
      <c r="CI30" t="str">
        <v>Raw Ajara Ghansal Rice</v>
      </c>
      <c r="CM30">
        <v>11</v>
      </c>
      <c r="CN30" t="str">
        <v>RM000164</v>
      </c>
      <c r="CO30" t="str">
        <v>Raw Agri</v>
      </c>
      <c r="CP30" t="str">
        <v>MIND/Pre-Production</v>
      </c>
      <c r="CQ30" t="str">
        <v>Raw Stony Ambemohar rice</v>
      </c>
      <c r="CR30">
        <v>0</v>
      </c>
      <c r="CS30">
        <v>0</v>
      </c>
      <c r="CT30">
        <v>0</v>
      </c>
      <c r="CU30">
        <v>0</v>
      </c>
      <c r="CV30" t="str">
        <v>Data Review</v>
      </c>
      <c r="CW30" t="str">
        <v/>
      </c>
      <c r="CX30" t="str">
        <v>Data Review</v>
      </c>
      <c r="DL30" t="str">
        <v>20-Sep</v>
      </c>
      <c r="DM30">
        <v>0</v>
      </c>
    </row>
    <row r="31" spans="1:117" ht="18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CH31" t="str">
        <v>RM000153</v>
      </c>
      <c r="CI31" t="str">
        <v>Raw Coconut Oil</v>
      </c>
      <c r="CM31">
        <v>12</v>
      </c>
      <c r="CN31" t="str">
        <v>RM000198</v>
      </c>
      <c r="CO31" t="str">
        <v>Raw Agri</v>
      </c>
      <c r="CP31" t="str">
        <v>MIND/Pre-Production</v>
      </c>
      <c r="CQ31" t="str">
        <v>Waghya Rajma</v>
      </c>
      <c r="CR31">
        <v>0</v>
      </c>
      <c r="CS31">
        <v>0</v>
      </c>
      <c r="CT31">
        <v>0</v>
      </c>
      <c r="CU31">
        <v>0</v>
      </c>
      <c r="CV31" t="str">
        <v>Data Review</v>
      </c>
      <c r="CW31" t="str">
        <v/>
      </c>
      <c r="CX31" t="str">
        <v>Data Review</v>
      </c>
      <c r="DL31" t="str">
        <v>21-Sep</v>
      </c>
      <c r="DM31">
        <v>53066</v>
      </c>
    </row>
    <row r="32" spans="1:117" ht="18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CH32" t="str">
        <v>RM000155</v>
      </c>
      <c r="CI32" t="str">
        <v>Raw lakadong turmeric</v>
      </c>
      <c r="CM32">
        <v>13</v>
      </c>
      <c r="CN32" t="str">
        <v>RM000066</v>
      </c>
      <c r="CO32" t="str">
        <v>Raw Agri</v>
      </c>
      <c r="CP32" t="str">
        <v>MIND/Pre-Production</v>
      </c>
      <c r="CQ32" t="str">
        <v>Green Moong</v>
      </c>
      <c r="CR32">
        <v>0</v>
      </c>
      <c r="CS32">
        <v>0</v>
      </c>
      <c r="CT32">
        <v>0</v>
      </c>
      <c r="CU32">
        <v>0</v>
      </c>
      <c r="CV32" t="str">
        <v>Data Review</v>
      </c>
      <c r="CW32" t="str">
        <v/>
      </c>
      <c r="CX32" t="str">
        <v>Data Review</v>
      </c>
      <c r="DL32" t="str">
        <v>22-Sep</v>
      </c>
      <c r="DM32">
        <v>19350</v>
      </c>
    </row>
    <row r="33" spans="1:117" ht="18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CH33" t="str">
        <v>RM000162</v>
      </c>
      <c r="CI33" t="str">
        <v>Raw multiflora forest honey</v>
      </c>
      <c r="CM33">
        <v>14</v>
      </c>
      <c r="CN33" t="str">
        <v>RM000200</v>
      </c>
      <c r="CO33" t="str">
        <v>Raw Agri</v>
      </c>
      <c r="CP33" t="str">
        <v>MIND/Pre-Production</v>
      </c>
      <c r="CQ33" t="str">
        <v>Whole Organic Cashew</v>
      </c>
      <c r="CR33">
        <v>336.11</v>
      </c>
      <c r="CS33">
        <v>0</v>
      </c>
      <c r="CT33">
        <v>-336.11</v>
      </c>
      <c r="CU33">
        <v>0</v>
      </c>
      <c r="CV33" t="str">
        <v>Not Received</v>
      </c>
      <c r="CW33" t="str">
        <v>No receipt</v>
      </c>
      <c r="CX33" t="str">
        <v>Not Received</v>
      </c>
      <c r="DL33" t="str">
        <v>23-Sep</v>
      </c>
      <c r="DM33">
        <v>37672</v>
      </c>
    </row>
    <row r="34" spans="1:117" ht="18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CH34" t="str">
        <v>RM000164</v>
      </c>
      <c r="CI34" t="str">
        <v>Raw mustard oil</v>
      </c>
      <c r="CM34">
        <v>15</v>
      </c>
      <c r="CN34" t="str">
        <v>RM000094</v>
      </c>
      <c r="CO34" t="str">
        <v>Raw Agri</v>
      </c>
      <c r="CP34" t="str">
        <v>MIND/Pre-Production</v>
      </c>
      <c r="CQ34" t="str">
        <v>Khapli Wheat Grains (Packing)</v>
      </c>
      <c r="CR34" t="str">
        <v>0</v>
      </c>
      <c r="CS34">
        <v>0</v>
      </c>
      <c r="CT34">
        <v>0</v>
      </c>
      <c r="CU34">
        <v>0</v>
      </c>
      <c r="CV34" t="str">
        <v>Data Review</v>
      </c>
      <c r="CW34" t="str">
        <v>No receipt</v>
      </c>
      <c r="CX34" t="str">
        <v>Data Review</v>
      </c>
      <c r="DL34" t="str">
        <v>24-Sep</v>
      </c>
      <c r="DM34">
        <v>10240</v>
      </c>
    </row>
    <row r="35" spans="1:117" ht="18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CH35" t="str">
        <v>RM000166</v>
      </c>
      <c r="CI35" t="str">
        <v>Raw peanut oil</v>
      </c>
      <c r="CM35">
        <v>16</v>
      </c>
      <c r="CN35" t="str">
        <v>RM000067</v>
      </c>
      <c r="CO35" t="str">
        <v>Raw Agri</v>
      </c>
      <c r="CP35" t="str">
        <v>MIND/Pre-Production</v>
      </c>
      <c r="CQ35" t="str">
        <v>RM KalaNamak</v>
      </c>
      <c r="CR35">
        <v>0</v>
      </c>
      <c r="CS35">
        <v>0</v>
      </c>
      <c r="CT35">
        <v>0</v>
      </c>
      <c r="CU35">
        <v>0</v>
      </c>
      <c r="CV35" t="str">
        <v>Data Review</v>
      </c>
      <c r="CW35" t="str">
        <v/>
      </c>
      <c r="CX35" t="str">
        <v>Data Review</v>
      </c>
      <c r="DL35" t="str">
        <v>25-Sep</v>
      </c>
      <c r="DM35">
        <v>34970</v>
      </c>
    </row>
    <row r="36" spans="1:117" ht="18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CH36" t="str">
        <v>RM000167</v>
      </c>
      <c r="CI36" t="str">
        <v>Raw Soyabean</v>
      </c>
      <c r="CM36">
        <v>17</v>
      </c>
      <c r="CN36" t="str">
        <v>RM000227</v>
      </c>
      <c r="CO36" t="str">
        <v>Raw Agri</v>
      </c>
      <c r="CP36" t="str">
        <v>MIND/Pre-Production</v>
      </c>
      <c r="CQ36" t="str">
        <v>Moong Dal</v>
      </c>
      <c r="CR36">
        <v>31825.54</v>
      </c>
      <c r="CS36">
        <v>0</v>
      </c>
      <c r="CT36">
        <v>-31825.54</v>
      </c>
      <c r="CU36">
        <v>0</v>
      </c>
      <c r="CV36" t="str">
        <v>Not Received</v>
      </c>
      <c r="CW36" t="str">
        <v>No receipt</v>
      </c>
      <c r="CX36" t="str">
        <v>Not Received</v>
      </c>
      <c r="DL36" t="str">
        <v>26-Sep</v>
      </c>
      <c r="DM36">
        <v>8701</v>
      </c>
    </row>
    <row r="37" spans="1:117" ht="18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CH37" t="str">
        <v>RM000168</v>
      </c>
      <c r="CI37" t="str">
        <v>Raw Stony Ambemohar rice</v>
      </c>
      <c r="CM37">
        <v>18</v>
      </c>
      <c r="CN37" t="str">
        <v>RM000168</v>
      </c>
      <c r="CO37" t="str">
        <v>Raw Agri</v>
      </c>
      <c r="CP37" t="str">
        <v>MIND/Pre-Production</v>
      </c>
      <c r="CQ37" t="str">
        <v>Raw Tur Dal</v>
      </c>
      <c r="CR37">
        <v>5.5099999999999909</v>
      </c>
      <c r="CS37">
        <v>0</v>
      </c>
      <c r="CT37">
        <v>-5.5099999999999909</v>
      </c>
      <c r="CU37">
        <v>0</v>
      </c>
      <c r="CV37" t="str">
        <v>Not Received</v>
      </c>
      <c r="CW37" t="str">
        <v>No receipt</v>
      </c>
      <c r="CX37" t="str">
        <v>Not Received</v>
      </c>
      <c r="DL37" t="str">
        <v>27-Sep</v>
      </c>
      <c r="DM37">
        <v>8100</v>
      </c>
    </row>
    <row r="38" spans="1:117" ht="18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CH38" t="str">
        <v>RM000172</v>
      </c>
      <c r="CI38" t="str">
        <v>Raw Sunflower</v>
      </c>
      <c r="CM38">
        <v>19</v>
      </c>
      <c r="CN38" t="str">
        <v>RM000094</v>
      </c>
      <c r="CO38" t="str">
        <v>Protein Atta</v>
      </c>
      <c r="CP38" t="str">
        <v>MIND/Pre-Production</v>
      </c>
      <c r="CQ38" t="str">
        <v>Khapli Wheat Grains</v>
      </c>
      <c r="CR38" t="str">
        <v>0</v>
      </c>
      <c r="CS38">
        <v>0</v>
      </c>
      <c r="CT38">
        <v>0</v>
      </c>
      <c r="CU38">
        <v>0</v>
      </c>
      <c r="CV38" t="str">
        <v>Data Review</v>
      </c>
      <c r="CW38" t="str">
        <v>No receipt</v>
      </c>
      <c r="CX38" t="str">
        <v>Data Review</v>
      </c>
      <c r="DL38" t="str">
        <v>28-Sep</v>
      </c>
      <c r="DM38">
        <v>48327</v>
      </c>
    </row>
    <row r="39" spans="1:117" ht="18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CH39" t="str">
        <v>RM000177</v>
      </c>
      <c r="CI39" t="str">
        <v>Raw Sunflower Oil</v>
      </c>
      <c r="CM39">
        <v>20</v>
      </c>
      <c r="CN39" t="str">
        <v>RM000072</v>
      </c>
      <c r="CO39" t="str">
        <v>Protein Atta</v>
      </c>
      <c r="CP39" t="str">
        <v>MIND/Pre-Production</v>
      </c>
      <c r="CQ39" t="str">
        <v>Harbara Dal</v>
      </c>
      <c r="CR39">
        <v>242.52000000000041</v>
      </c>
      <c r="CS39">
        <v>0</v>
      </c>
      <c r="CT39">
        <v>-242.52000000000041</v>
      </c>
      <c r="CU39">
        <v>0</v>
      </c>
      <c r="CV39" t="str">
        <v>Not Received</v>
      </c>
      <c r="CW39" t="str">
        <v>No receipt</v>
      </c>
      <c r="CX39" t="str">
        <v>Not Received</v>
      </c>
      <c r="DL39" t="str">
        <v>29-Sep</v>
      </c>
      <c r="DM39">
        <v>18111</v>
      </c>
    </row>
    <row r="40" spans="1:117" ht="18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CH40" t="str">
        <v>RM000179</v>
      </c>
      <c r="CI40" t="str">
        <v>Raw Tur Dal</v>
      </c>
      <c r="CM40">
        <v>21</v>
      </c>
      <c r="CN40" t="str">
        <v>RM000057</v>
      </c>
      <c r="CO40" t="str">
        <v>Protein Atta</v>
      </c>
      <c r="CP40" t="str">
        <v>MIND/Pre-Production</v>
      </c>
      <c r="CQ40" t="str">
        <v>Finger Millet</v>
      </c>
      <c r="CR40">
        <v>19836.68</v>
      </c>
      <c r="CS40">
        <v>0</v>
      </c>
      <c r="CT40">
        <v>-19836.68</v>
      </c>
      <c r="CU40">
        <v>0</v>
      </c>
      <c r="CV40" t="str">
        <v>Not Received</v>
      </c>
      <c r="CW40" t="str">
        <v>No receipt</v>
      </c>
      <c r="CX40" t="str">
        <v>Not Received</v>
      </c>
      <c r="DL40" t="str">
        <v>30-Sep</v>
      </c>
      <c r="DM40">
        <v>48371</v>
      </c>
    </row>
    <row r="41" spans="1:117" ht="18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CH41" t="str">
        <v>RM000183</v>
      </c>
      <c r="CI41" t="str">
        <v>Raw waghaya peanut</v>
      </c>
      <c r="CM41">
        <v>22</v>
      </c>
      <c r="CN41" t="str">
        <v>RM000162</v>
      </c>
      <c r="CO41" t="str">
        <v>Protein Atta</v>
      </c>
      <c r="CP41" t="str">
        <v>MIND/Pre-Production</v>
      </c>
      <c r="CQ41" t="str">
        <v>Raw Soyabean</v>
      </c>
      <c r="CR41">
        <v>16433</v>
      </c>
      <c r="CS41">
        <v>0</v>
      </c>
      <c r="CT41">
        <v>-16433</v>
      </c>
      <c r="CU41">
        <v>0</v>
      </c>
      <c r="CV41" t="str">
        <v>Not Received</v>
      </c>
      <c r="CW41" t="str">
        <v>No receipt</v>
      </c>
      <c r="CX41" t="str">
        <v>Not Received</v>
      </c>
      <c r="DL41" t="str">
        <v>1-Oct</v>
      </c>
      <c r="DM41">
        <v>22980</v>
      </c>
    </row>
    <row r="42" spans="1:117" ht="18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CH42" t="str">
        <v>RM000186</v>
      </c>
      <c r="CI42" t="str">
        <v>RM- Barley</v>
      </c>
      <c r="CM42">
        <v>23</v>
      </c>
      <c r="CN42" t="str">
        <v>RM000235</v>
      </c>
      <c r="CO42" t="str">
        <v>Protein Atta</v>
      </c>
      <c r="CP42" t="str">
        <v>MIND/Pre-Production</v>
      </c>
      <c r="CQ42" t="str">
        <v>Soy Protein Isolate</v>
      </c>
      <c r="CR42">
        <v>0</v>
      </c>
      <c r="CS42">
        <v>0</v>
      </c>
      <c r="CT42">
        <v>0</v>
      </c>
      <c r="CU42">
        <v>0</v>
      </c>
      <c r="CV42" t="str">
        <v>Data Review</v>
      </c>
      <c r="CW42" t="str">
        <v/>
      </c>
      <c r="CX42" t="str">
        <v>Data Review</v>
      </c>
      <c r="DL42" t="str">
        <v>2-Oct</v>
      </c>
      <c r="DM42">
        <v>0</v>
      </c>
    </row>
    <row r="43" spans="1:117" ht="18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CH43" t="str">
        <v>RM000197</v>
      </c>
      <c r="CI43" t="str">
        <v>RM Jaggery Spice Cube 5 GM</v>
      </c>
      <c r="CM43">
        <v>24</v>
      </c>
      <c r="CN43" t="str">
        <v>RM000133</v>
      </c>
      <c r="CO43" t="str">
        <v>Other Atta</v>
      </c>
      <c r="CP43" t="str">
        <v>MIND/Pre-Production</v>
      </c>
      <c r="CQ43" t="str">
        <v>Jowar Grains</v>
      </c>
      <c r="CR43">
        <v>0</v>
      </c>
      <c r="CS43">
        <v>0</v>
      </c>
      <c r="CT43">
        <v>0</v>
      </c>
      <c r="CU43">
        <v>0</v>
      </c>
      <c r="CV43" t="str">
        <v>Data Review</v>
      </c>
      <c r="CW43" t="str">
        <v/>
      </c>
      <c r="CX43" t="str">
        <v>Data Review</v>
      </c>
      <c r="DL43" t="str">
        <v>3-Oct</v>
      </c>
      <c r="DM43">
        <v>35987</v>
      </c>
    </row>
    <row r="44" spans="1:117" ht="18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CH44" t="str">
        <v>RM000198</v>
      </c>
      <c r="CI44" t="str">
        <v>RM KalaNamak</v>
      </c>
      <c r="CM44">
        <v>25</v>
      </c>
      <c r="CN44" t="str">
        <v>RM000080</v>
      </c>
      <c r="CO44" t="str">
        <v>Other Atta</v>
      </c>
      <c r="CP44" t="str">
        <v>MIND/Pre-Production</v>
      </c>
      <c r="CQ44" t="str">
        <v>Bajara</v>
      </c>
      <c r="CR44">
        <v>47199.96</v>
      </c>
      <c r="CS44">
        <v>0</v>
      </c>
      <c r="CT44">
        <v>-47199.96</v>
      </c>
      <c r="CU44">
        <v>0</v>
      </c>
      <c r="CV44" t="str">
        <v>Not Received</v>
      </c>
      <c r="CW44" t="str">
        <v>No receipt</v>
      </c>
      <c r="CX44" t="str">
        <v>Not Received</v>
      </c>
      <c r="DL44" t="str">
        <v>4-Oct</v>
      </c>
      <c r="DM44">
        <v>0</v>
      </c>
    </row>
    <row r="45" spans="1:117" ht="18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CH45" t="str">
        <v>RM000200</v>
      </c>
      <c r="CI45" t="str">
        <v>Rock Salt Powder</v>
      </c>
      <c r="CM45">
        <v>26</v>
      </c>
      <c r="CN45" t="str">
        <v>RM000094</v>
      </c>
      <c r="CO45" t="str">
        <v>Other Atta</v>
      </c>
      <c r="CP45" t="str">
        <v>C39/Pre-Production</v>
      </c>
      <c r="CQ45" t="str">
        <v>Khapli Wheat Grains</v>
      </c>
      <c r="CR45" t="str">
        <v>0</v>
      </c>
      <c r="CS45">
        <v>15000</v>
      </c>
      <c r="CT45">
        <v>15000</v>
      </c>
      <c r="CU45">
        <v>0</v>
      </c>
      <c r="CV45" t="str">
        <v>Data Review</v>
      </c>
      <c r="CW45" t="str">
        <v>Positive pending / over-receipt</v>
      </c>
      <c r="CX45" t="str">
        <v>Data Review</v>
      </c>
      <c r="DL45" t="str">
        <v>5-Oct</v>
      </c>
      <c r="DM45">
        <v>32092</v>
      </c>
    </row>
    <row r="46" spans="1:117" ht="18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CH46" t="str">
        <v>RM000213</v>
      </c>
      <c r="CI46" t="str">
        <v>Saffron</v>
      </c>
      <c r="CM46">
        <v>27</v>
      </c>
      <c r="CN46" t="str">
        <v>RM000072</v>
      </c>
      <c r="CO46" t="str">
        <v>Other Atta</v>
      </c>
      <c r="CP46" t="str">
        <v>C39/Pre-Production</v>
      </c>
      <c r="CQ46" t="str">
        <v>Harbara Dal</v>
      </c>
      <c r="CR46">
        <v>242.52000000000041</v>
      </c>
      <c r="CS46">
        <v>0</v>
      </c>
      <c r="CT46">
        <v>-242.52000000000041</v>
      </c>
      <c r="CU46">
        <v>0</v>
      </c>
      <c r="CV46" t="str">
        <v>Not Received</v>
      </c>
      <c r="CW46" t="str">
        <v>No receipt</v>
      </c>
      <c r="CX46" t="str">
        <v>Not Received</v>
      </c>
      <c r="DL46" t="str">
        <v>6-Oct</v>
      </c>
      <c r="DM46">
        <v>17720</v>
      </c>
    </row>
    <row r="47" spans="1:117" ht="18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CH47" t="str">
        <v>RM000220</v>
      </c>
      <c r="CI47" t="str">
        <v>Solid Date Palm Jaggery</v>
      </c>
      <c r="CM47">
        <v>28</v>
      </c>
      <c r="CN47" t="str">
        <v>RM000069</v>
      </c>
      <c r="CO47" t="str">
        <v>Oil</v>
      </c>
      <c r="CP47" t="str">
        <v>MIND/Pre-Production</v>
      </c>
      <c r="CQ47" t="str">
        <v>Groundnut Whole</v>
      </c>
      <c r="CR47">
        <v>0</v>
      </c>
      <c r="CS47">
        <v>0</v>
      </c>
      <c r="CT47">
        <v>0</v>
      </c>
      <c r="CU47">
        <v>0</v>
      </c>
      <c r="CV47" t="str">
        <v>Data Review</v>
      </c>
      <c r="CW47" t="str">
        <v/>
      </c>
      <c r="CX47" t="str">
        <v>Data Review</v>
      </c>
      <c r="DL47" t="str">
        <v>7-Oct</v>
      </c>
      <c r="DM47">
        <v>21510</v>
      </c>
    </row>
    <row r="48" spans="1:117" ht="18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CH48" t="str">
        <v>RM000221</v>
      </c>
      <c r="CI48" t="str">
        <v>Soy Protein Isolate</v>
      </c>
      <c r="CM48">
        <v>29</v>
      </c>
      <c r="CN48" t="str">
        <v>RM000155</v>
      </c>
      <c r="CO48" t="str">
        <v>Oil</v>
      </c>
      <c r="CP48" t="str">
        <v>MIND/Pre-Production</v>
      </c>
      <c r="CQ48" t="str">
        <v>Raw peanut oil</v>
      </c>
      <c r="CR48">
        <v>12099.829841999999</v>
      </c>
      <c r="CS48">
        <v>0</v>
      </c>
      <c r="CT48">
        <v>-12099.829841999999</v>
      </c>
      <c r="CU48">
        <v>0</v>
      </c>
      <c r="CV48" t="str">
        <v>Not Received</v>
      </c>
      <c r="CW48" t="str">
        <v>No receipt</v>
      </c>
      <c r="CX48" t="str">
        <v>Not Received</v>
      </c>
      <c r="DL48" t="str">
        <v>8-Oct</v>
      </c>
      <c r="DM48">
        <v>15197</v>
      </c>
    </row>
    <row r="49" spans="1:117" ht="18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30" t="s">
        <v>42</v>
      </c>
      <c r="R49" s="130"/>
      <c r="S49" s="130"/>
      <c r="T49" s="130"/>
      <c r="U49" s="130"/>
      <c r="V49" s="130"/>
      <c r="W49" s="130"/>
      <c r="X49" s="130"/>
      <c r="CH49" t="str">
        <v>RM000226</v>
      </c>
      <c r="CI49" t="str">
        <v>Sugarcane Jaggery Block - 900gm</v>
      </c>
      <c r="CM49">
        <v>30</v>
      </c>
      <c r="CN49" t="str">
        <v>RM000144</v>
      </c>
      <c r="CO49" t="str">
        <v>Oil</v>
      </c>
      <c r="CP49" t="str">
        <v>MIND/Pre-Production</v>
      </c>
      <c r="CQ49" t="str">
        <v>Raw Coconut Oil</v>
      </c>
      <c r="CR49">
        <v>0</v>
      </c>
      <c r="CS49">
        <v>0</v>
      </c>
      <c r="CT49">
        <v>0</v>
      </c>
      <c r="CU49">
        <v>0</v>
      </c>
      <c r="CV49" t="str">
        <v>Data Review</v>
      </c>
      <c r="CW49" t="str">
        <v/>
      </c>
      <c r="CX49" t="str">
        <v>Data Review</v>
      </c>
      <c r="DL49" t="str">
        <v>9-Oct</v>
      </c>
      <c r="DM49">
        <v>22027</v>
      </c>
    </row>
    <row r="50" spans="1:117" ht="24" customHeight="1">
      <c r="A50" s="131" t="s">
        <v>43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CH50" t="str">
        <v>RM000227</v>
      </c>
      <c r="CI50" t="str">
        <v>VCO</v>
      </c>
      <c r="CM50">
        <v>31</v>
      </c>
      <c r="CN50" t="str">
        <v>RM000166</v>
      </c>
      <c r="CO50" t="str">
        <v>Oil</v>
      </c>
      <c r="CP50" t="str">
        <v>MIND/Pre-Production</v>
      </c>
      <c r="CQ50" t="str">
        <v>Raw Sunflower</v>
      </c>
      <c r="CR50">
        <v>0</v>
      </c>
      <c r="CS50">
        <v>0</v>
      </c>
      <c r="CT50">
        <v>0</v>
      </c>
      <c r="CU50">
        <v>0</v>
      </c>
      <c r="CV50" t="str">
        <v>Data Review</v>
      </c>
      <c r="CW50" t="str">
        <v/>
      </c>
      <c r="CX50" t="str">
        <v>Data Review</v>
      </c>
      <c r="DL50" t="str">
        <v>10-Oct</v>
      </c>
      <c r="DM50">
        <v>0</v>
      </c>
    </row>
    <row r="51" spans="1:117" ht="18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CH51" t="str">
        <v>RM000235</v>
      </c>
      <c r="CI51" t="str">
        <v>Waghya Rajma</v>
      </c>
      <c r="CM51">
        <v>32</v>
      </c>
      <c r="CN51" t="str">
        <v>RM000167</v>
      </c>
      <c r="CO51" t="str">
        <v>Oil</v>
      </c>
      <c r="CP51" t="str">
        <v>MIND/Pre-Production</v>
      </c>
      <c r="CQ51" t="str">
        <v>Raw Sunflower Oil</v>
      </c>
      <c r="CR51">
        <v>1471.6320000000001</v>
      </c>
      <c r="CS51">
        <v>0</v>
      </c>
      <c r="CT51">
        <v>-1471.6320000000001</v>
      </c>
      <c r="CU51">
        <v>0</v>
      </c>
      <c r="CV51" t="str">
        <v>Not Received</v>
      </c>
      <c r="CW51" t="str">
        <v>No receipt</v>
      </c>
      <c r="CX51" t="str">
        <v>Not Received</v>
      </c>
      <c r="DL51" t="str">
        <v>11-Oct</v>
      </c>
      <c r="DM51">
        <v>0</v>
      </c>
    </row>
    <row r="52" spans="1:117" ht="18" customHeight="1">
      <c r="A52" s="121" t="s">
        <v>21</v>
      </c>
      <c r="B52" s="121" t="s">
        <v>20</v>
      </c>
      <c r="C52" s="121" t="s">
        <v>8</v>
      </c>
      <c r="D52" s="121" t="s">
        <v>10</v>
      </c>
      <c r="E52" s="121" t="s">
        <v>44</v>
      </c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CI52" t="str">
        <v>Whole Organic Cashew</v>
      </c>
      <c r="CM52">
        <v>33</v>
      </c>
      <c r="CN52" t="str">
        <v>RM000153</v>
      </c>
      <c r="CO52" t="str">
        <v>Oil</v>
      </c>
      <c r="CP52" t="str">
        <v>MIND/Pre-Production</v>
      </c>
      <c r="CQ52" t="str">
        <v>Raw mustard oil</v>
      </c>
      <c r="CR52">
        <v>18952.48</v>
      </c>
      <c r="CS52">
        <v>0</v>
      </c>
      <c r="CT52">
        <v>-18952.48</v>
      </c>
      <c r="CU52">
        <v>0</v>
      </c>
      <c r="CV52" t="str">
        <v>Not Received</v>
      </c>
      <c r="CW52" t="str">
        <v>No receipt</v>
      </c>
      <c r="CX52" t="str">
        <v>Not Received</v>
      </c>
      <c r="DL52" t="str">
        <v>12-Oct</v>
      </c>
      <c r="DM52">
        <v>0</v>
      </c>
    </row>
    <row r="53" spans="1:117" ht="18" customHeight="1">
      <c r="A53" s="112" t="str" cm="1">
        <f t="array" ref="A53:E62">_xlfn.LET(_xlpm.x,_xlfn.ANCHORARRAY($CM$20),_xlpm.y,_xlfn.HSTACK(_xlfn.CHOOSECOLS(_xlpm.x,5),_xlfn.CHOOSECOLS(_xlpm.x,2),_xlfn.CHOOSECOLS(_xlpm.x,3),_xlfn.CHOOSECOLS(_xlpm.x,4),_xlfn.CHOOSECOLS(_xlpm.x,8)),_xlfn.TAKE(_xlfn.SORTBY(_xlpm.y,_xlfn.CHOOSECOLS(_xlpm.y,5),1),10))</f>
        <v>Jaggery Powder gms</v>
      </c>
      <c r="B53" s="112" t="str">
        <v>RM000078</v>
      </c>
      <c r="C53" s="112" t="str">
        <v>Jaggery</v>
      </c>
      <c r="D53" s="112" t="str">
        <v>C39/Pre-Production</v>
      </c>
      <c r="E53" s="122">
        <v>-64122.820000000007</v>
      </c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CM53">
        <v>34</v>
      </c>
      <c r="CN53" t="str">
        <v>RM000116</v>
      </c>
      <c r="CO53" t="str">
        <v>Oil</v>
      </c>
      <c r="CP53" t="str">
        <v>MIND/Pre-Production</v>
      </c>
      <c r="CQ53" t="str">
        <v>Mustard Seeds</v>
      </c>
      <c r="CR53">
        <v>0</v>
      </c>
      <c r="CS53">
        <v>0</v>
      </c>
      <c r="CT53">
        <v>0</v>
      </c>
      <c r="CU53">
        <v>0</v>
      </c>
      <c r="CV53" t="str">
        <v>Data Review</v>
      </c>
      <c r="CW53" t="str">
        <v/>
      </c>
      <c r="CX53" t="str">
        <v>Data Review</v>
      </c>
      <c r="DL53" t="str">
        <v>13-Oct</v>
      </c>
      <c r="DM53">
        <v>0</v>
      </c>
    </row>
    <row r="54" spans="1:117" ht="18" customHeight="1">
      <c r="A54" s="112" t="str">
        <v>Bajara</v>
      </c>
      <c r="B54" s="112" t="str">
        <v>RM000080</v>
      </c>
      <c r="C54" s="112" t="str">
        <v>Other Atta</v>
      </c>
      <c r="D54" s="112" t="str">
        <v>MIND/Pre-Production</v>
      </c>
      <c r="E54" s="122">
        <v>-47199.96</v>
      </c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CM54">
        <v>35</v>
      </c>
      <c r="CN54" t="str">
        <v>RM000197</v>
      </c>
      <c r="CO54" t="str">
        <v>Oil</v>
      </c>
      <c r="CP54" t="str">
        <v>MIND/Pre-Production</v>
      </c>
      <c r="CQ54" t="str">
        <v>VCO</v>
      </c>
      <c r="CR54">
        <v>1000</v>
      </c>
      <c r="CS54">
        <v>0</v>
      </c>
      <c r="CT54">
        <v>-1000</v>
      </c>
      <c r="CU54">
        <v>0</v>
      </c>
      <c r="CV54" t="str">
        <v>Not Received</v>
      </c>
      <c r="CW54" t="str">
        <v>No receipt</v>
      </c>
      <c r="CX54" t="str">
        <v>Not Received</v>
      </c>
      <c r="DL54" t="str">
        <v>14-Oct</v>
      </c>
      <c r="DM54">
        <v>0</v>
      </c>
    </row>
    <row r="55" spans="1:117" ht="18" customHeight="1">
      <c r="A55" s="112" t="str">
        <v>Sugarcane Jaggery Block - 900gm</v>
      </c>
      <c r="B55" s="112" t="str">
        <v>RM000186</v>
      </c>
      <c r="C55" s="112" t="str">
        <v>Jaggery</v>
      </c>
      <c r="D55" s="112" t="str">
        <v>C39/Pre-Production</v>
      </c>
      <c r="E55" s="122">
        <v>-41095.119999999995</v>
      </c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CM55">
        <v>36</v>
      </c>
      <c r="CN55" t="str">
        <v>RM000221</v>
      </c>
      <c r="CO55" t="str">
        <v>MG</v>
      </c>
      <c r="CP55" t="str">
        <v>C39/Pre-Production</v>
      </c>
      <c r="CQ55" t="str">
        <v>RM- Barley</v>
      </c>
      <c r="CR55">
        <v>24362.490000000009</v>
      </c>
      <c r="CS55">
        <v>9900</v>
      </c>
      <c r="CT55">
        <v>-14462.490000000009</v>
      </c>
      <c r="CU55">
        <v>0.4063624038429568</v>
      </c>
      <c r="CV55" t="str">
        <v>Low Fulfillment</v>
      </c>
      <c r="CW55" t="str">
        <v>Critical shortfall &gt;=1,000 KG</v>
      </c>
      <c r="CX55" t="str">
        <v>Low Fulfillment</v>
      </c>
      <c r="DL55" t="str">
        <v>15-Oct</v>
      </c>
      <c r="DM55">
        <v>0</v>
      </c>
    </row>
    <row r="56" spans="1:117" ht="18" customHeight="1">
      <c r="A56" s="112" t="str">
        <v>Jowar Grains</v>
      </c>
      <c r="B56" s="112" t="str">
        <v>RM000080</v>
      </c>
      <c r="C56" s="112" t="str">
        <v>MG</v>
      </c>
      <c r="D56" s="112" t="str">
        <v>C39/Pre-Production</v>
      </c>
      <c r="E56" s="122">
        <v>-39449.96</v>
      </c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CM56">
        <v>37</v>
      </c>
      <c r="CN56" t="str">
        <v>RM000213</v>
      </c>
      <c r="CO56" t="str">
        <v>MG</v>
      </c>
      <c r="CP56" t="str">
        <v>C39/Pre-Production</v>
      </c>
      <c r="CQ56" t="str">
        <v>Flaxseed</v>
      </c>
      <c r="CR56">
        <v>2938.28</v>
      </c>
      <c r="CS56">
        <v>510</v>
      </c>
      <c r="CT56">
        <v>-2428.2800000000002</v>
      </c>
      <c r="CU56">
        <v>0.17357093265447812</v>
      </c>
      <c r="CV56" t="str">
        <v>Low Fulfillment</v>
      </c>
      <c r="CW56" t="str">
        <v>Critical shortfall &gt;=1,000 KG</v>
      </c>
      <c r="CX56" t="str">
        <v>Low Fulfillment</v>
      </c>
      <c r="DL56" t="str">
        <v>16-Oct</v>
      </c>
      <c r="DM56">
        <v>0</v>
      </c>
    </row>
    <row r="57" spans="1:117" ht="18" customHeight="1">
      <c r="A57" s="112" t="str">
        <v>Moong Dal</v>
      </c>
      <c r="B57" s="112" t="str">
        <v>RM000227</v>
      </c>
      <c r="C57" s="112" t="str">
        <v>Raw Agri</v>
      </c>
      <c r="D57" s="112" t="str">
        <v>MIND/Pre-Production</v>
      </c>
      <c r="E57" s="122">
        <v>-31825.54</v>
      </c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CM57">
        <v>38</v>
      </c>
      <c r="CN57" t="str">
        <v>RM000162</v>
      </c>
      <c r="CO57" t="str">
        <v>MG</v>
      </c>
      <c r="CP57" t="str">
        <v>C39/Pre-Production</v>
      </c>
      <c r="CQ57" t="str">
        <v>Raw Soyabean</v>
      </c>
      <c r="CR57">
        <v>16433</v>
      </c>
      <c r="CS57">
        <v>0</v>
      </c>
      <c r="CT57">
        <v>-16433</v>
      </c>
      <c r="CU57">
        <v>0</v>
      </c>
      <c r="CV57" t="str">
        <v>Not Received</v>
      </c>
      <c r="CW57" t="str">
        <v>No receipt</v>
      </c>
      <c r="CX57" t="str">
        <v>Not Received</v>
      </c>
      <c r="DL57" t="str">
        <v>17-Oct</v>
      </c>
      <c r="DM57">
        <v>0</v>
      </c>
    </row>
    <row r="58" spans="1:117" ht="18" customHeight="1">
      <c r="A58" s="112" t="str">
        <v>Finger Millet</v>
      </c>
      <c r="B58" s="112" t="str">
        <v>RM000057</v>
      </c>
      <c r="C58" s="112" t="str">
        <v>Protein Atta</v>
      </c>
      <c r="D58" s="112" t="str">
        <v>MIND/Pre-Production</v>
      </c>
      <c r="E58" s="122">
        <v>-19836.68</v>
      </c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CM58">
        <v>39</v>
      </c>
      <c r="CN58" t="str">
        <v>RM000094</v>
      </c>
      <c r="CO58" t="str">
        <v>MG</v>
      </c>
      <c r="CP58" t="str">
        <v>C39/Pre-Production</v>
      </c>
      <c r="CQ58" t="str">
        <v>Khapli Wheat Grains</v>
      </c>
      <c r="CR58" t="str">
        <v>0</v>
      </c>
      <c r="CS58">
        <v>35050</v>
      </c>
      <c r="CT58">
        <v>35050</v>
      </c>
      <c r="CU58">
        <v>0</v>
      </c>
      <c r="CV58" t="str">
        <v>Data Review</v>
      </c>
      <c r="CW58" t="str">
        <v>Positive pending / over-receipt</v>
      </c>
      <c r="CX58" t="str">
        <v>Data Review</v>
      </c>
      <c r="DL58" t="str">
        <v>18-Oct</v>
      </c>
      <c r="DM58">
        <v>0</v>
      </c>
    </row>
    <row r="59" spans="1:117" ht="18" customHeight="1">
      <c r="A59" s="112" t="str">
        <v>Finger Millet</v>
      </c>
      <c r="B59" s="112" t="str">
        <v>RM000057</v>
      </c>
      <c r="C59" s="112" t="str">
        <v>MG</v>
      </c>
      <c r="D59" s="112" t="str">
        <v>C39/Pre-Production</v>
      </c>
      <c r="E59" s="122">
        <v>-19836.68</v>
      </c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CM59">
        <v>40</v>
      </c>
      <c r="CN59" t="str">
        <v>RM000080</v>
      </c>
      <c r="CO59" t="str">
        <v>MG</v>
      </c>
      <c r="CP59" t="str">
        <v>C39/Pre-Production</v>
      </c>
      <c r="CQ59" t="str">
        <v>Jowar Grains</v>
      </c>
      <c r="CR59">
        <v>47199.96</v>
      </c>
      <c r="CS59">
        <v>7750</v>
      </c>
      <c r="CT59">
        <v>-39449.96</v>
      </c>
      <c r="CU59">
        <v>0.16419505440258847</v>
      </c>
      <c r="CV59" t="str">
        <v>Low Fulfillment</v>
      </c>
      <c r="CW59" t="str">
        <v>Critical shortfall &gt;=1,000 KG</v>
      </c>
      <c r="CX59" t="str">
        <v>Low Fulfillment</v>
      </c>
      <c r="DL59" t="str">
        <v>19-Oct</v>
      </c>
      <c r="DM59">
        <v>0</v>
      </c>
    </row>
    <row r="60" spans="1:117" ht="18" customHeight="1">
      <c r="A60" s="112" t="str">
        <v>Raw mustard oil</v>
      </c>
      <c r="B60" s="112" t="str">
        <v>RM000153</v>
      </c>
      <c r="C60" s="112" t="str">
        <v>Oil</v>
      </c>
      <c r="D60" s="112" t="str">
        <v>MIND/Pre-Production</v>
      </c>
      <c r="E60" s="122">
        <v>-18952.48</v>
      </c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CM60">
        <v>41</v>
      </c>
      <c r="CN60" t="str">
        <v>RM000074</v>
      </c>
      <c r="CO60" t="str">
        <v>MG</v>
      </c>
      <c r="CP60" t="str">
        <v>C39/Pre-Production</v>
      </c>
      <c r="CQ60" t="str">
        <v>Horsegram</v>
      </c>
      <c r="CR60">
        <v>2952.65</v>
      </c>
      <c r="CS60">
        <v>510</v>
      </c>
      <c r="CT60">
        <v>-2442.65</v>
      </c>
      <c r="CU60">
        <v>0.17272619511286472</v>
      </c>
      <c r="CV60" t="str">
        <v>Low Fulfillment</v>
      </c>
      <c r="CW60" t="str">
        <v>Critical shortfall &gt;=1,000 KG</v>
      </c>
      <c r="CX60" t="str">
        <v>Low Fulfillment</v>
      </c>
      <c r="DL60" t="str">
        <v>20-Oct</v>
      </c>
      <c r="DM60">
        <v>0</v>
      </c>
    </row>
    <row r="61" spans="1:117" ht="18" customHeight="1">
      <c r="A61" s="112" t="str">
        <v>Raw Soyabean</v>
      </c>
      <c r="B61" s="112" t="str">
        <v>RM000162</v>
      </c>
      <c r="C61" s="112" t="str">
        <v>Protein Atta</v>
      </c>
      <c r="D61" s="112" t="str">
        <v>MIND/Pre-Production</v>
      </c>
      <c r="E61" s="122">
        <v>-16433</v>
      </c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CM61">
        <v>42</v>
      </c>
      <c r="CN61" t="str">
        <v>RM000072</v>
      </c>
      <c r="CO61" t="str">
        <v>MG</v>
      </c>
      <c r="CP61" t="str">
        <v>C39/Pre-Production</v>
      </c>
      <c r="CQ61" t="str">
        <v>Harbara Dal</v>
      </c>
      <c r="CR61">
        <v>242.52000000000041</v>
      </c>
      <c r="CS61">
        <v>0</v>
      </c>
      <c r="CT61">
        <v>-242.52000000000041</v>
      </c>
      <c r="CU61">
        <v>0</v>
      </c>
      <c r="CV61" t="str">
        <v>Not Received</v>
      </c>
      <c r="CW61" t="str">
        <v>No receipt</v>
      </c>
      <c r="CX61" t="str">
        <v>Not Received</v>
      </c>
      <c r="DL61" t="str">
        <v>21-Oct</v>
      </c>
      <c r="DM61">
        <v>0</v>
      </c>
    </row>
    <row r="62" spans="1:117" ht="18" customHeight="1">
      <c r="A62" s="112" t="str">
        <v>Raw Soyabean</v>
      </c>
      <c r="B62" s="112" t="str">
        <v>RM000162</v>
      </c>
      <c r="C62" s="112" t="str">
        <v>MG</v>
      </c>
      <c r="D62" s="112" t="str">
        <v>C39/Pre-Production</v>
      </c>
      <c r="E62" s="122">
        <v>-16433</v>
      </c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CM62">
        <v>43</v>
      </c>
      <c r="CN62" t="str">
        <v>RM000057</v>
      </c>
      <c r="CO62" t="str">
        <v>MG</v>
      </c>
      <c r="CP62" t="str">
        <v>C39/Pre-Production</v>
      </c>
      <c r="CQ62" t="str">
        <v>Finger Millet</v>
      </c>
      <c r="CR62">
        <v>19836.68</v>
      </c>
      <c r="CS62">
        <v>0</v>
      </c>
      <c r="CT62">
        <v>-19836.68</v>
      </c>
      <c r="CU62">
        <v>0</v>
      </c>
      <c r="CV62" t="str">
        <v>Not Received</v>
      </c>
      <c r="CW62" t="str">
        <v>No receipt</v>
      </c>
      <c r="CX62" t="str">
        <v>Not Received</v>
      </c>
      <c r="DL62" t="str">
        <v>22-Oct</v>
      </c>
      <c r="DM62">
        <v>0</v>
      </c>
    </row>
    <row r="63" spans="1:117" ht="18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CM63">
        <v>44</v>
      </c>
      <c r="CN63" t="str">
        <v>RM000226</v>
      </c>
      <c r="CO63" t="str">
        <v>Jaggery</v>
      </c>
      <c r="CP63" t="str">
        <v>C39/Pre-Production</v>
      </c>
      <c r="CQ63" t="str">
        <v>RM Jaggery Spice Cube 5 GM</v>
      </c>
      <c r="CR63" t="str">
        <v>0</v>
      </c>
      <c r="CS63">
        <v>0</v>
      </c>
      <c r="CT63">
        <v>0</v>
      </c>
      <c r="CU63">
        <v>0</v>
      </c>
      <c r="CV63" t="str">
        <v>Data Review</v>
      </c>
      <c r="CW63" t="str">
        <v>No receipt</v>
      </c>
      <c r="CX63" t="str">
        <v>Data Review</v>
      </c>
      <c r="DL63" t="str">
        <v>23-Oct</v>
      </c>
      <c r="DM63">
        <v>0</v>
      </c>
    </row>
    <row r="64" spans="1:117" ht="18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CM64">
        <v>45</v>
      </c>
      <c r="CN64" t="str">
        <v>RM000186</v>
      </c>
      <c r="CO64" t="str">
        <v>Jaggery</v>
      </c>
      <c r="CP64" t="str">
        <v>C39/Pre-Production</v>
      </c>
      <c r="CQ64" t="str">
        <v>Sugarcane Jaggery Block - 900gm</v>
      </c>
      <c r="CR64">
        <v>84810.12</v>
      </c>
      <c r="CS64">
        <v>43715</v>
      </c>
      <c r="CT64">
        <v>-41095.119999999995</v>
      </c>
      <c r="CU64">
        <v>0.51544556239278994</v>
      </c>
      <c r="CV64" t="str">
        <v>Partial Fulfillment</v>
      </c>
      <c r="CW64" t="str">
        <v>Negative pending (shortfall)</v>
      </c>
      <c r="CX64" t="str">
        <v>Partial Fulfillment</v>
      </c>
      <c r="DL64" t="str">
        <v>24-Oct</v>
      </c>
      <c r="DM64">
        <v>0</v>
      </c>
    </row>
    <row r="65" spans="1:117" ht="18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CM65">
        <v>46</v>
      </c>
      <c r="CN65" t="str">
        <v>RM000183</v>
      </c>
      <c r="CO65" t="str">
        <v>Jaggery</v>
      </c>
      <c r="CP65" t="str">
        <v>C39/Pre-Production</v>
      </c>
      <c r="CQ65" t="str">
        <v>Solid Date Palm Jaggery</v>
      </c>
      <c r="CR65">
        <v>0</v>
      </c>
      <c r="CS65">
        <v>0</v>
      </c>
      <c r="CT65">
        <v>0</v>
      </c>
      <c r="CU65">
        <v>0</v>
      </c>
      <c r="CV65" t="str">
        <v>Data Review</v>
      </c>
      <c r="CW65" t="str">
        <v/>
      </c>
      <c r="CX65" t="str">
        <v>Data Review</v>
      </c>
      <c r="DL65" t="str">
        <v>25-Oct</v>
      </c>
      <c r="DM65">
        <v>0</v>
      </c>
    </row>
    <row r="66" spans="1:117" ht="18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CM66">
        <v>47</v>
      </c>
      <c r="CN66" t="str">
        <v>RM000078</v>
      </c>
      <c r="CO66" t="str">
        <v>Jaggery</v>
      </c>
      <c r="CP66" t="str">
        <v>C39/Pre-Production</v>
      </c>
      <c r="CQ66" t="str">
        <v>Jaggery Powder gms</v>
      </c>
      <c r="CR66">
        <v>117200.82</v>
      </c>
      <c r="CS66">
        <v>53078</v>
      </c>
      <c r="CT66">
        <v>-64122.820000000007</v>
      </c>
      <c r="CU66">
        <v>0.45288079042450385</v>
      </c>
      <c r="CV66" t="str">
        <v>Low Fulfillment</v>
      </c>
      <c r="CW66" t="str">
        <v>Critical shortfall &gt;=1,000 KG</v>
      </c>
      <c r="CX66" t="str">
        <v>Low Fulfillment</v>
      </c>
      <c r="DL66" t="str">
        <v>26-Oct</v>
      </c>
      <c r="DM66">
        <v>0</v>
      </c>
    </row>
    <row r="67" spans="1:117" ht="18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CM67">
        <v>48</v>
      </c>
      <c r="CN67" t="str">
        <v>RM000151</v>
      </c>
      <c r="CO67" t="str">
        <v>Honey</v>
      </c>
      <c r="CP67" t="str">
        <v>C39/Pre-Production</v>
      </c>
      <c r="CQ67" t="str">
        <v>Raw multiflora forest honey</v>
      </c>
      <c r="CR67">
        <v>2786.48</v>
      </c>
      <c r="CS67">
        <v>2000</v>
      </c>
      <c r="CT67">
        <v>-786.48</v>
      </c>
      <c r="CU67">
        <v>0.71775142832534233</v>
      </c>
      <c r="CV67" t="str">
        <v>Partial Fulfillment</v>
      </c>
      <c r="CW67" t="str">
        <v>Negative pending (shortfall)</v>
      </c>
      <c r="CX67" t="str">
        <v>Partial Fulfillment</v>
      </c>
      <c r="DL67" t="str">
        <v>27-Oct</v>
      </c>
      <c r="DM67">
        <v>0</v>
      </c>
    </row>
    <row r="68" spans="1:117" ht="23.25" customHeight="1">
      <c r="A68" s="131" t="s">
        <v>45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CM68">
        <v>49</v>
      </c>
      <c r="CN68" t="str">
        <v>RM000002</v>
      </c>
      <c r="CO68" t="str">
        <v>Honey</v>
      </c>
      <c r="CP68" t="str">
        <v>C39/Pre-Production</v>
      </c>
      <c r="CQ68" t="str">
        <v>Acacia Raw Honey</v>
      </c>
      <c r="CR68">
        <v>0</v>
      </c>
      <c r="CS68">
        <v>0</v>
      </c>
      <c r="CT68">
        <v>0</v>
      </c>
      <c r="CU68">
        <v>0</v>
      </c>
      <c r="CV68" t="str">
        <v>Data Review</v>
      </c>
      <c r="CW68" t="str">
        <v/>
      </c>
      <c r="CX68" t="str">
        <v>Data Review</v>
      </c>
      <c r="DL68" t="str">
        <v>28-Oct</v>
      </c>
      <c r="DM68">
        <v>0</v>
      </c>
    </row>
    <row r="69" spans="1:117" ht="23.25" customHeight="1">
      <c r="A69" s="132" t="s">
        <v>46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CM69">
        <v>50</v>
      </c>
      <c r="CN69" t="str">
        <v>RM000220</v>
      </c>
      <c r="CO69" t="str">
        <v>GMP</v>
      </c>
      <c r="CP69" t="str">
        <v>C39/Pre-Production</v>
      </c>
      <c r="CQ69" t="str">
        <v>Broken Saffron</v>
      </c>
      <c r="CR69">
        <v>0.1888</v>
      </c>
      <c r="CS69">
        <v>0</v>
      </c>
      <c r="CT69">
        <v>-0.1888</v>
      </c>
      <c r="CU69">
        <v>0</v>
      </c>
      <c r="CV69" t="str">
        <v>Not Received</v>
      </c>
      <c r="CW69" t="str">
        <v>No receipt</v>
      </c>
      <c r="CX69" t="str">
        <v>Not Received</v>
      </c>
      <c r="DL69" t="str">
        <v>29-Oct</v>
      </c>
      <c r="DM69">
        <v>0</v>
      </c>
    </row>
    <row r="70" spans="1:117" ht="48" customHeight="1">
      <c r="A70" s="128" t="str" cm="1">
        <f t="array" ref="A70:CA70">_xlfn.LET(_xlpm.h,RM_PM_Final[#Headers],_xlpm.b,_xlfn.TAKE(_xlpm.h,,9),_xlpm.dh,_xlfn.DROP(_xlpm.h,,9),_xlpm.m,IF($A$5="All",_xlfn.SEQUENCE(,COLUMNS(_xlpm.dh)),_xlfn._xlws.FILTER(_xlfn.SEQUENCE(,COLUMNS(_xlpm.dh)),ISNUMBER(SEARCH("-"&amp;$A$5,_xlpm.dh)))),_xlfn.HSTACK(_xlpm.b,"Fulfillment Status","Attention Required",_xlfn.CHOOSECOLS(_xlpm.dh,_xlpm.m)))</f>
        <v>Sr. No.</v>
      </c>
      <c r="B70" s="128" t="str">
        <v>RM Code</v>
      </c>
      <c r="C70" s="128" t="str">
        <v>Section</v>
      </c>
      <c r="D70" s="128" t="str">
        <v>Location</v>
      </c>
      <c r="E70" s="128" t="str">
        <v>RM Name</v>
      </c>
      <c r="F70" s="128" t="str">
        <v>RM QTY</v>
      </c>
      <c r="G70" s="128" t="str">
        <v>Total Monthly RM (KG) Received</v>
      </c>
      <c r="H70" s="128" t="str">
        <v>Total Monthly RM Pending (KG)</v>
      </c>
      <c r="I70" s="128" t="str">
        <v>Total Fulfillment Rate %</v>
      </c>
      <c r="J70" s="128" t="str">
        <v>Fulfillment Status</v>
      </c>
      <c r="K70" s="128" t="str">
        <v>Attention Required</v>
      </c>
      <c r="L70" s="128" t="str">
        <v>24-Aug</v>
      </c>
      <c r="M70" s="128" t="str">
        <v>25-Aug</v>
      </c>
      <c r="N70" s="128" t="str">
        <v>26-Aug</v>
      </c>
      <c r="O70" s="128" t="str">
        <v>27-Aug</v>
      </c>
      <c r="P70" s="128" t="str">
        <v>28-Aug</v>
      </c>
      <c r="Q70" s="128" t="str">
        <v>29-Aug</v>
      </c>
      <c r="R70" s="128" t="str">
        <v>30-Aug</v>
      </c>
      <c r="S70" s="128" t="str">
        <v>31-Aug</v>
      </c>
      <c r="T70" s="128" t="str">
        <v>1-Sep</v>
      </c>
      <c r="U70" s="128" t="str">
        <v>2-Sep</v>
      </c>
      <c r="V70" s="128" t="str">
        <v>3-Sep</v>
      </c>
      <c r="W70" s="128" t="str">
        <v>4-Sep</v>
      </c>
      <c r="X70" s="128" t="str">
        <v>5-Sep</v>
      </c>
      <c r="Y70" s="128" t="str">
        <v>6-Sep</v>
      </c>
      <c r="Z70" s="128" t="str">
        <v>7-Sep</v>
      </c>
      <c r="AA70" s="128" t="str">
        <v>8-Sep</v>
      </c>
      <c r="AB70" s="128" t="str">
        <v>9-Sep</v>
      </c>
      <c r="AC70" s="128" t="str">
        <v>10-Sep</v>
      </c>
      <c r="AD70" s="128" t="str">
        <v>11-Sep</v>
      </c>
      <c r="AE70" s="128" t="str">
        <v>12-Sep</v>
      </c>
      <c r="AF70" s="128" t="str">
        <v>13-Sep</v>
      </c>
      <c r="AG70" s="128" t="str">
        <v>14-Sep</v>
      </c>
      <c r="AH70" s="128" t="str">
        <v>15-Sep</v>
      </c>
      <c r="AI70" s="128" t="str">
        <v>16-Sep</v>
      </c>
      <c r="AJ70" s="128" t="str">
        <v>17-Sep</v>
      </c>
      <c r="AK70" s="128" t="str">
        <v>18-Sep</v>
      </c>
      <c r="AL70" s="128" t="str">
        <v>19-Sep</v>
      </c>
      <c r="AM70" s="128" t="str">
        <v>20-Sep</v>
      </c>
      <c r="AN70" s="128" t="str">
        <v>21-Sep</v>
      </c>
      <c r="AO70" s="128" t="str">
        <v>22-Sep</v>
      </c>
      <c r="AP70" s="128" t="str">
        <v>23-Sep</v>
      </c>
      <c r="AQ70" s="128" t="str">
        <v>24-Sep</v>
      </c>
      <c r="AR70" s="128" t="str">
        <v>25-Sep</v>
      </c>
      <c r="AS70" s="128" t="str">
        <v>26-Sep</v>
      </c>
      <c r="AT70" s="128" t="str">
        <v>27-Sep</v>
      </c>
      <c r="AU70" s="128" t="str">
        <v>28-Sep</v>
      </c>
      <c r="AV70" s="128" t="str">
        <v>29-Sep</v>
      </c>
      <c r="AW70" s="128" t="str">
        <v>30-Sep</v>
      </c>
      <c r="AX70" s="128" t="str">
        <v>1-Oct</v>
      </c>
      <c r="AY70" s="128" t="str">
        <v>2-Oct</v>
      </c>
      <c r="AZ70" s="128" t="str">
        <v>3-Oct</v>
      </c>
      <c r="BA70" s="128" t="str">
        <v>4-Oct</v>
      </c>
      <c r="BB70" s="128" t="str">
        <v>5-Oct</v>
      </c>
      <c r="BC70" s="128" t="str">
        <v>6-Oct</v>
      </c>
      <c r="BD70" s="128" t="str">
        <v>7-Oct</v>
      </c>
      <c r="BE70" s="128" t="str">
        <v>8-Oct</v>
      </c>
      <c r="BF70" s="128" t="str">
        <v>9-Oct</v>
      </c>
      <c r="BG70" s="128" t="str">
        <v>10-Oct</v>
      </c>
      <c r="BH70" s="128" t="str">
        <v>11-Oct</v>
      </c>
      <c r="BI70" s="128" t="str">
        <v>12-Oct</v>
      </c>
      <c r="BJ70" s="128" t="str">
        <v>13-Oct</v>
      </c>
      <c r="BK70" s="128" t="str">
        <v>14-Oct</v>
      </c>
      <c r="BL70" s="128" t="str">
        <v>15-Oct</v>
      </c>
      <c r="BM70" s="128" t="str">
        <v>16-Oct</v>
      </c>
      <c r="BN70" s="128" t="str">
        <v>17-Oct</v>
      </c>
      <c r="BO70" s="128" t="str">
        <v>18-Oct</v>
      </c>
      <c r="BP70" s="128" t="str">
        <v>19-Oct</v>
      </c>
      <c r="BQ70" s="128" t="str">
        <v>20-Oct</v>
      </c>
      <c r="BR70" s="128" t="str">
        <v>21-Oct</v>
      </c>
      <c r="BS70" s="128" t="str">
        <v>22-Oct</v>
      </c>
      <c r="BT70" s="128" t="str">
        <v>23-Oct</v>
      </c>
      <c r="BU70" s="128" t="str">
        <v>24-Oct</v>
      </c>
      <c r="BV70" s="128" t="str">
        <v>25-Oct</v>
      </c>
      <c r="BW70" s="128" t="str">
        <v>26-Oct</v>
      </c>
      <c r="BX70" s="128" t="str">
        <v>27-Oct</v>
      </c>
      <c r="BY70" s="128" t="str">
        <v>28-Oct</v>
      </c>
      <c r="BZ70" s="128" t="str">
        <v>29-Oct</v>
      </c>
      <c r="CA70" s="128" t="str">
        <v>30-Oct</v>
      </c>
      <c r="CM70">
        <v>51</v>
      </c>
      <c r="CN70" t="str">
        <v>RM000149</v>
      </c>
      <c r="CO70" t="str">
        <v>GMP</v>
      </c>
      <c r="CP70" t="str">
        <v>C39/Pre-Production</v>
      </c>
      <c r="CQ70" t="str">
        <v>Raw lakadong turmeric</v>
      </c>
      <c r="CR70">
        <v>2215.2446</v>
      </c>
      <c r="CS70">
        <v>0</v>
      </c>
      <c r="CT70">
        <v>-2215.2446</v>
      </c>
      <c r="CU70">
        <v>0</v>
      </c>
      <c r="CV70" t="str">
        <v>Not Received</v>
      </c>
      <c r="CW70" t="str">
        <v>No receipt</v>
      </c>
      <c r="CX70" t="str">
        <v>Not Received</v>
      </c>
      <c r="DL70" t="str">
        <v>30-Oct</v>
      </c>
      <c r="DM70">
        <v>0</v>
      </c>
    </row>
    <row r="71" spans="1:117" ht="18" customHeight="1">
      <c r="A71" s="123" cm="1">
        <f t="array" ref="A71:CA129">_xlfn.LET(_xlpm.d,RM_PM_Final[#Data],_xlpm.dh,_xlfn.DROP(RM_PM_Final[#Headers],,9),_xlpm.c,_xlfn.CHOOSECOLS(_xlpm.d,2),_xlpm.s,_xlfn.CHOOSECOLS(_xlpm.d,3),_xlpm.l,_xlfn.CHOOSECOLS(_xlpm.d,4),_xlpm.n,_xlfn.CHOOSECOLS(_xlpm.d,5),_xlpm.q,_xlfn.CHOOSECOLS(_xlpm.d,6),_xlpm.r,_xlfn.CHOOSECOLS(_xlpm.d,7),_xlpm.p,_xlfn.CHOOSECOLS(_xlpm.d,8),_xlpm.x,_xlfn.CHOOSECOLS(_xlpm.d,9),_xlpm.st,IF((_xlpm.c="")+(NOT(ISNUMBER(_xlpm.q)))+(_xlpm.q&lt;=0),"Data Review",IF(_xlpm.r=0,"Not Received",IF(_xlpm.x&lt;0.5,"Low Fulfillment",IF(_xlpm.x&lt;1,"Partial Fulfillment",IF(ABS(_xlpm.x-1)&lt;0.000001,"Fulfilled","Over-Fulfilled"))))),_xlpm.at,IF(ABS(_xlpm.p-(_xlpm.r-_xlpm.q))&gt;0.1,"Reconciliation mismatch",IF((_xlpm.q&gt;0)*(_xlpm.r=0),"No receipt",IF((_xlpm.x&lt;0.5)*(-_xlpm.p&gt;=1000),"Critical shortfall &gt;=1,000 KG",IF(_xlpm.p&lt;0,"Negative pending (shortfall)",IF(_xlpm.p&gt;0,"Positive pending / over-receipt",""))))),_xlpm.k,(LEFT(_xlpm.c,2)="RM")*IF($G$5="All",1,_xlpm.s=$G$5)*IF($J$5="All",1,_xlpm.l=$J$5)*IF($M$5="All",1,_xlpm.c=$M$5)*IF($P$5="All",1,_xlpm.n=$P$5)*IF($S$5="All",1,_xlpm.st=$S$5),_xlpm.m,IF($A$5="All",_xlfn.SEQUENCE(,COLUMNS(_xlpm.dh)),_xlfn._xlws.FILTER(_xlfn.SEQUENCE(,COLUMNS(_xlpm.dh)),ISNUMBER(SEARCH("-"&amp;$A$5,_xlpm.dh)))),_xlpm.z,_xlfn._xlws.FILTER(_xlfn.HSTACK(_xlfn.CHOOSECOLS(_xlpm.d,1,2,3,4,5,6,7,8,9),_xlpm.st,_xlpm.at,_xlfn.CHOOSECOLS(_xlfn.DROP(_xlpm.d,,9),_xlpm.m)),_xlpm.k,""),IF($V$5="Fulfillment ↑",_xlfn.SORTBY(_xlpm.z,_xlfn.CHOOSECOLS(_xlpm.z,9),1),_xlfn.SORTBY(_xlpm.z,_xlfn.CHOOSECOLS(_xlpm.z,8),1)))</f>
        <v>47</v>
      </c>
      <c r="B71" s="123" t="str">
        <v>RM000078</v>
      </c>
      <c r="C71" s="123" t="str">
        <v>Jaggery</v>
      </c>
      <c r="D71" s="123" t="str">
        <v>C39/Pre-Production</v>
      </c>
      <c r="E71" s="123" t="str">
        <v>Jaggery Powder gms</v>
      </c>
      <c r="F71" s="124">
        <v>117200.82</v>
      </c>
      <c r="G71" s="124">
        <v>53078</v>
      </c>
      <c r="H71" s="124">
        <v>-64122.820000000007</v>
      </c>
      <c r="I71" s="125">
        <v>0.45288079042450385</v>
      </c>
      <c r="J71" s="123" t="str">
        <v>Low Fulfillment</v>
      </c>
      <c r="K71" s="123" t="str">
        <v>Critical shortfall &gt;=1,000 KG</v>
      </c>
      <c r="L71" s="126">
        <v>0</v>
      </c>
      <c r="M71" s="126">
        <v>0</v>
      </c>
      <c r="N71" s="126">
        <v>0</v>
      </c>
      <c r="O71" s="126">
        <v>0</v>
      </c>
      <c r="P71" s="126">
        <v>0</v>
      </c>
      <c r="Q71" s="126">
        <v>0</v>
      </c>
      <c r="R71" s="126">
        <v>0</v>
      </c>
      <c r="S71" s="126">
        <v>0</v>
      </c>
      <c r="T71" s="126">
        <v>0</v>
      </c>
      <c r="U71" s="126">
        <v>0</v>
      </c>
      <c r="V71" s="126">
        <v>0</v>
      </c>
      <c r="W71" s="126">
        <v>5100</v>
      </c>
      <c r="X71" s="126">
        <v>1975</v>
      </c>
      <c r="Y71" s="127">
        <v>0</v>
      </c>
      <c r="Z71" s="127">
        <v>3400</v>
      </c>
      <c r="AA71" s="127">
        <v>5700</v>
      </c>
      <c r="AB71" s="127">
        <v>0</v>
      </c>
      <c r="AC71" s="127">
        <v>14631</v>
      </c>
      <c r="AD71" s="127">
        <v>9810</v>
      </c>
      <c r="AE71" s="127">
        <v>2214</v>
      </c>
      <c r="AF71" s="127">
        <v>0</v>
      </c>
      <c r="AG71" s="127">
        <v>0</v>
      </c>
      <c r="AH71" s="127">
        <v>19666</v>
      </c>
      <c r="AI71" s="127">
        <v>5101</v>
      </c>
      <c r="AJ71" s="127">
        <v>6300</v>
      </c>
      <c r="AK71" s="127">
        <v>15731</v>
      </c>
      <c r="AL71" s="127">
        <v>0</v>
      </c>
      <c r="AM71" s="127">
        <v>0</v>
      </c>
      <c r="AN71" s="127">
        <v>20222</v>
      </c>
      <c r="AO71" s="127">
        <v>0</v>
      </c>
      <c r="AP71" s="127">
        <v>0</v>
      </c>
      <c r="AQ71" s="127">
        <v>7440</v>
      </c>
      <c r="AR71" s="127">
        <v>9170</v>
      </c>
      <c r="AS71" s="127">
        <v>8701</v>
      </c>
      <c r="AT71" s="127">
        <v>0</v>
      </c>
      <c r="AU71" s="127">
        <v>17982</v>
      </c>
      <c r="AV71" s="127">
        <v>14611</v>
      </c>
      <c r="AW71" s="127">
        <v>8701</v>
      </c>
      <c r="AX71" s="127">
        <v>7980</v>
      </c>
      <c r="AY71" s="127">
        <v>0</v>
      </c>
      <c r="AZ71" s="127">
        <v>11312</v>
      </c>
      <c r="BA71" s="127">
        <v>0</v>
      </c>
      <c r="BB71" s="127">
        <v>14372</v>
      </c>
      <c r="BC71" s="127">
        <v>2970</v>
      </c>
      <c r="BD71" s="127">
        <v>5910</v>
      </c>
      <c r="BE71" s="127">
        <v>5252</v>
      </c>
      <c r="BF71" s="127">
        <v>5282</v>
      </c>
      <c r="BG71" s="127">
        <v>0</v>
      </c>
      <c r="BH71" s="127">
        <v>0</v>
      </c>
      <c r="BI71" s="127">
        <v>0</v>
      </c>
      <c r="BJ71" s="127">
        <v>0</v>
      </c>
      <c r="BK71" s="127">
        <v>0</v>
      </c>
      <c r="BL71" s="127">
        <v>0</v>
      </c>
      <c r="BM71" s="127">
        <v>0</v>
      </c>
      <c r="BN71" s="127">
        <v>0</v>
      </c>
      <c r="BO71" s="127">
        <v>0</v>
      </c>
      <c r="BP71" s="127">
        <v>0</v>
      </c>
      <c r="BQ71" s="127">
        <v>0</v>
      </c>
      <c r="BR71" s="127">
        <v>0</v>
      </c>
      <c r="BS71" s="127">
        <v>0</v>
      </c>
      <c r="BT71" s="127">
        <v>0</v>
      </c>
      <c r="BU71" s="127">
        <v>0</v>
      </c>
      <c r="BV71" s="127">
        <v>0</v>
      </c>
      <c r="BW71" s="127">
        <v>0</v>
      </c>
      <c r="BX71" s="127">
        <v>0</v>
      </c>
      <c r="BY71" s="127">
        <v>0</v>
      </c>
      <c r="BZ71" s="127">
        <v>0</v>
      </c>
      <c r="CA71" s="127">
        <v>0</v>
      </c>
      <c r="CM71">
        <v>52</v>
      </c>
      <c r="CN71" t="str">
        <v>RM000122</v>
      </c>
      <c r="CO71" t="str">
        <v>GMP</v>
      </c>
      <c r="CP71" t="str">
        <v>C39/Pre-Production</v>
      </c>
      <c r="CQ71" t="str">
        <v>Nutmeg( jayfal)</v>
      </c>
      <c r="CR71">
        <v>7.1767192118226566</v>
      </c>
      <c r="CS71">
        <v>0</v>
      </c>
      <c r="CT71">
        <v>-7.1767192118226566</v>
      </c>
      <c r="CU71">
        <v>0</v>
      </c>
      <c r="CV71" t="str">
        <v>Not Received</v>
      </c>
      <c r="CW71" t="str">
        <v>No receipt</v>
      </c>
      <c r="CX71" t="str">
        <v>Not Received</v>
      </c>
    </row>
    <row r="72" spans="1:117" ht="18" customHeight="1">
      <c r="A72" s="123">
        <v>25</v>
      </c>
      <c r="B72" s="123" t="str">
        <v>RM000080</v>
      </c>
      <c r="C72" s="123" t="str">
        <v>Other Atta</v>
      </c>
      <c r="D72" s="123" t="str">
        <v>MIND/Pre-Production</v>
      </c>
      <c r="E72" s="123" t="str">
        <v>Bajara</v>
      </c>
      <c r="F72" s="124">
        <v>47199.96</v>
      </c>
      <c r="G72" s="124">
        <v>0</v>
      </c>
      <c r="H72" s="124">
        <v>-47199.96</v>
      </c>
      <c r="I72" s="125">
        <v>0</v>
      </c>
      <c r="J72" s="123" t="str">
        <v>Not Received</v>
      </c>
      <c r="K72" s="123" t="str">
        <v>No receipt</v>
      </c>
      <c r="L72" s="126">
        <v>0</v>
      </c>
      <c r="M72" s="126">
        <v>0</v>
      </c>
      <c r="N72" s="126">
        <v>0</v>
      </c>
      <c r="O72" s="126">
        <v>0</v>
      </c>
      <c r="P72" s="126">
        <v>0</v>
      </c>
      <c r="Q72" s="126">
        <v>0</v>
      </c>
      <c r="R72" s="126">
        <v>0</v>
      </c>
      <c r="S72" s="126">
        <v>0</v>
      </c>
      <c r="T72" s="126">
        <v>0</v>
      </c>
      <c r="U72" s="126">
        <v>0</v>
      </c>
      <c r="V72" s="126">
        <v>0</v>
      </c>
      <c r="W72" s="126">
        <v>0</v>
      </c>
      <c r="X72" s="126">
        <v>0</v>
      </c>
      <c r="Y72" s="127">
        <v>0</v>
      </c>
      <c r="Z72" s="127">
        <v>0</v>
      </c>
      <c r="AA72" s="127">
        <v>0</v>
      </c>
      <c r="AB72" s="127">
        <v>0</v>
      </c>
      <c r="AC72" s="127">
        <v>0</v>
      </c>
      <c r="AD72" s="127">
        <v>0</v>
      </c>
      <c r="AE72" s="127">
        <v>0</v>
      </c>
      <c r="AF72" s="127">
        <v>0</v>
      </c>
      <c r="AG72" s="127">
        <v>0</v>
      </c>
      <c r="AH72" s="127">
        <v>0</v>
      </c>
      <c r="AI72" s="127">
        <v>0</v>
      </c>
      <c r="AJ72" s="127">
        <v>0</v>
      </c>
      <c r="AK72" s="127">
        <v>0</v>
      </c>
      <c r="AL72" s="127">
        <v>0</v>
      </c>
      <c r="AM72" s="127">
        <v>0</v>
      </c>
      <c r="AN72" s="127">
        <v>0</v>
      </c>
      <c r="AO72" s="127">
        <v>0</v>
      </c>
      <c r="AP72" s="127">
        <v>0</v>
      </c>
      <c r="AQ72" s="127">
        <v>0</v>
      </c>
      <c r="AR72" s="127">
        <v>0</v>
      </c>
      <c r="AS72" s="127">
        <v>0</v>
      </c>
      <c r="AT72" s="127">
        <v>0</v>
      </c>
      <c r="AU72" s="127">
        <v>0</v>
      </c>
      <c r="AV72" s="127">
        <v>0</v>
      </c>
      <c r="AW72" s="127">
        <v>0</v>
      </c>
      <c r="AX72" s="127">
        <v>0</v>
      </c>
      <c r="AY72" s="127">
        <v>0</v>
      </c>
      <c r="AZ72" s="127">
        <v>0</v>
      </c>
      <c r="BA72" s="127">
        <v>0</v>
      </c>
      <c r="BB72" s="127">
        <v>0</v>
      </c>
      <c r="BC72" s="127">
        <v>0</v>
      </c>
      <c r="BD72" s="127">
        <v>0</v>
      </c>
      <c r="BE72" s="127">
        <v>0</v>
      </c>
      <c r="BF72" s="127">
        <v>0</v>
      </c>
      <c r="BG72" s="127">
        <v>0</v>
      </c>
      <c r="BH72" s="127">
        <v>0</v>
      </c>
      <c r="BI72" s="127">
        <v>0</v>
      </c>
      <c r="BJ72" s="127">
        <v>0</v>
      </c>
      <c r="BK72" s="127">
        <v>0</v>
      </c>
      <c r="BL72" s="127">
        <v>0</v>
      </c>
      <c r="BM72" s="127">
        <v>0</v>
      </c>
      <c r="BN72" s="127">
        <v>0</v>
      </c>
      <c r="BO72" s="127">
        <v>0</v>
      </c>
      <c r="BP72" s="127">
        <v>0</v>
      </c>
      <c r="BQ72" s="127">
        <v>0</v>
      </c>
      <c r="BR72" s="127">
        <v>0</v>
      </c>
      <c r="BS72" s="127">
        <v>0</v>
      </c>
      <c r="BT72" s="127">
        <v>0</v>
      </c>
      <c r="BU72" s="127">
        <v>0</v>
      </c>
      <c r="BV72" s="127">
        <v>0</v>
      </c>
      <c r="BW72" s="127">
        <v>0</v>
      </c>
      <c r="BX72" s="127">
        <v>0</v>
      </c>
      <c r="BY72" s="127">
        <v>0</v>
      </c>
      <c r="BZ72" s="127">
        <v>0</v>
      </c>
      <c r="CA72" s="127">
        <v>0</v>
      </c>
      <c r="CM72">
        <v>53</v>
      </c>
      <c r="CN72" t="str">
        <v>RM000071</v>
      </c>
      <c r="CO72" t="str">
        <v>GMP</v>
      </c>
      <c r="CP72" t="str">
        <v>C39/Pre-Production</v>
      </c>
      <c r="CQ72" t="str">
        <v>Haldi-Turmeric Powder</v>
      </c>
      <c r="CR72">
        <v>0</v>
      </c>
      <c r="CS72">
        <v>0</v>
      </c>
      <c r="CT72">
        <v>0</v>
      </c>
      <c r="CU72">
        <v>0</v>
      </c>
      <c r="CV72" t="str">
        <v>Data Review</v>
      </c>
      <c r="CW72" t="str">
        <v/>
      </c>
      <c r="CX72" t="str">
        <v>Data Review</v>
      </c>
    </row>
    <row r="73" spans="1:117" ht="18" customHeight="1">
      <c r="A73" s="123">
        <v>45</v>
      </c>
      <c r="B73" s="123" t="str">
        <v>RM000186</v>
      </c>
      <c r="C73" s="123" t="str">
        <v>Jaggery</v>
      </c>
      <c r="D73" s="123" t="str">
        <v>C39/Pre-Production</v>
      </c>
      <c r="E73" s="123" t="str">
        <v>Sugarcane Jaggery Block - 900gm</v>
      </c>
      <c r="F73" s="124">
        <v>84810.12</v>
      </c>
      <c r="G73" s="124">
        <v>43715</v>
      </c>
      <c r="H73" s="124">
        <v>-41095.119999999995</v>
      </c>
      <c r="I73" s="125">
        <v>0.51544556239278994</v>
      </c>
      <c r="J73" s="123" t="str">
        <v>Partial Fulfillment</v>
      </c>
      <c r="K73" s="123" t="str">
        <v>Negative pending (shortfall)</v>
      </c>
      <c r="L73" s="126">
        <v>0</v>
      </c>
      <c r="M73" s="126">
        <v>0</v>
      </c>
      <c r="N73" s="126">
        <v>0</v>
      </c>
      <c r="O73" s="126">
        <v>0</v>
      </c>
      <c r="P73" s="126">
        <v>0</v>
      </c>
      <c r="Q73" s="126">
        <v>0</v>
      </c>
      <c r="R73" s="126">
        <v>0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  <c r="X73" s="126">
        <v>0</v>
      </c>
      <c r="Y73" s="127">
        <v>0</v>
      </c>
      <c r="Z73" s="127">
        <v>2400</v>
      </c>
      <c r="AA73" s="127">
        <v>2240</v>
      </c>
      <c r="AB73" s="127">
        <v>2400</v>
      </c>
      <c r="AC73" s="127">
        <v>4375</v>
      </c>
      <c r="AD73" s="127">
        <v>2300</v>
      </c>
      <c r="AE73" s="127">
        <v>3150</v>
      </c>
      <c r="AF73" s="127">
        <v>0</v>
      </c>
      <c r="AG73" s="127">
        <v>0</v>
      </c>
      <c r="AH73" s="127">
        <v>2375</v>
      </c>
      <c r="AI73" s="127">
        <v>2560</v>
      </c>
      <c r="AJ73" s="127">
        <v>0</v>
      </c>
      <c r="AK73" s="127">
        <v>6005</v>
      </c>
      <c r="AL73" s="127">
        <v>0</v>
      </c>
      <c r="AM73" s="127">
        <v>0</v>
      </c>
      <c r="AN73" s="127">
        <v>5400</v>
      </c>
      <c r="AO73" s="127">
        <v>0</v>
      </c>
      <c r="AP73" s="127">
        <v>0</v>
      </c>
      <c r="AQ73" s="127">
        <v>2800</v>
      </c>
      <c r="AR73" s="127">
        <v>2800</v>
      </c>
      <c r="AS73" s="127">
        <v>0</v>
      </c>
      <c r="AT73" s="127">
        <v>0</v>
      </c>
      <c r="AU73" s="127">
        <v>6325</v>
      </c>
      <c r="AV73" s="127">
        <v>2800</v>
      </c>
      <c r="AW73" s="127">
        <v>4320</v>
      </c>
      <c r="AX73" s="127">
        <v>0</v>
      </c>
      <c r="AY73" s="127">
        <v>0</v>
      </c>
      <c r="AZ73" s="127">
        <v>12025</v>
      </c>
      <c r="BA73" s="127">
        <v>0</v>
      </c>
      <c r="BB73" s="127">
        <v>4700</v>
      </c>
      <c r="BC73" s="127">
        <v>4700</v>
      </c>
      <c r="BD73" s="127">
        <v>5600</v>
      </c>
      <c r="BE73" s="127">
        <v>9945</v>
      </c>
      <c r="BF73" s="127">
        <v>6745</v>
      </c>
      <c r="BG73" s="127">
        <v>0</v>
      </c>
      <c r="BH73" s="127">
        <v>0</v>
      </c>
      <c r="BI73" s="127">
        <v>0</v>
      </c>
      <c r="BJ73" s="127">
        <v>0</v>
      </c>
      <c r="BK73" s="127">
        <v>0</v>
      </c>
      <c r="BL73" s="127">
        <v>0</v>
      </c>
      <c r="BM73" s="127">
        <v>0</v>
      </c>
      <c r="BN73" s="127">
        <v>0</v>
      </c>
      <c r="BO73" s="127">
        <v>0</v>
      </c>
      <c r="BP73" s="127">
        <v>0</v>
      </c>
      <c r="BQ73" s="127">
        <v>0</v>
      </c>
      <c r="BR73" s="127">
        <v>0</v>
      </c>
      <c r="BS73" s="127">
        <v>0</v>
      </c>
      <c r="BT73" s="127">
        <v>0</v>
      </c>
      <c r="BU73" s="127">
        <v>0</v>
      </c>
      <c r="BV73" s="127">
        <v>0</v>
      </c>
      <c r="BW73" s="127">
        <v>0</v>
      </c>
      <c r="BX73" s="127">
        <v>0</v>
      </c>
      <c r="BY73" s="127">
        <v>0</v>
      </c>
      <c r="BZ73" s="127">
        <v>0</v>
      </c>
      <c r="CA73" s="127">
        <v>0</v>
      </c>
      <c r="CM73">
        <v>54</v>
      </c>
      <c r="CN73" t="str">
        <v>RM000062</v>
      </c>
      <c r="CO73" t="str">
        <v>GMP</v>
      </c>
      <c r="CP73" t="str">
        <v>C39/Pre-Production</v>
      </c>
      <c r="CQ73" t="str">
        <v>Ginger Powder</v>
      </c>
      <c r="CR73">
        <v>0</v>
      </c>
      <c r="CS73">
        <v>0</v>
      </c>
      <c r="CT73">
        <v>0</v>
      </c>
      <c r="CU73">
        <v>0</v>
      </c>
      <c r="CV73" t="str">
        <v>Data Review</v>
      </c>
      <c r="CW73" t="str">
        <v/>
      </c>
      <c r="CX73" t="str">
        <v>Data Review</v>
      </c>
    </row>
    <row r="74" spans="1:117" ht="18" customHeight="1">
      <c r="A74" s="123">
        <v>40</v>
      </c>
      <c r="B74" s="123" t="str">
        <v>RM000080</v>
      </c>
      <c r="C74" s="123" t="str">
        <v>MG</v>
      </c>
      <c r="D74" s="123" t="str">
        <v>C39/Pre-Production</v>
      </c>
      <c r="E74" s="123" t="str">
        <v>Jowar Grains</v>
      </c>
      <c r="F74" s="124">
        <v>47199.96</v>
      </c>
      <c r="G74" s="124">
        <v>7750</v>
      </c>
      <c r="H74" s="124">
        <v>-39449.96</v>
      </c>
      <c r="I74" s="125">
        <v>0.16419505440258847</v>
      </c>
      <c r="J74" s="123" t="str">
        <v>Low Fulfillment</v>
      </c>
      <c r="K74" s="123" t="str">
        <v>Critical shortfall &gt;=1,000 KG</v>
      </c>
      <c r="L74" s="126">
        <v>3000</v>
      </c>
      <c r="M74" s="126">
        <v>0</v>
      </c>
      <c r="N74" s="126">
        <v>0</v>
      </c>
      <c r="O74" s="126">
        <v>0</v>
      </c>
      <c r="P74" s="126">
        <v>0</v>
      </c>
      <c r="Q74" s="126">
        <v>0</v>
      </c>
      <c r="R74" s="126">
        <v>0</v>
      </c>
      <c r="S74" s="126">
        <v>0</v>
      </c>
      <c r="T74" s="126">
        <v>0</v>
      </c>
      <c r="U74" s="126">
        <v>0</v>
      </c>
      <c r="V74" s="126">
        <v>0</v>
      </c>
      <c r="W74" s="126">
        <v>2000</v>
      </c>
      <c r="X74" s="126">
        <v>0</v>
      </c>
      <c r="Y74" s="127">
        <v>0</v>
      </c>
      <c r="Z74" s="127">
        <v>0</v>
      </c>
      <c r="AA74" s="127">
        <v>5000</v>
      </c>
      <c r="AB74" s="127">
        <v>0</v>
      </c>
      <c r="AC74" s="127">
        <v>2750</v>
      </c>
      <c r="AD74" s="127">
        <v>0</v>
      </c>
      <c r="AE74" s="127">
        <v>0</v>
      </c>
      <c r="AF74" s="127">
        <v>4300</v>
      </c>
      <c r="AG74" s="127">
        <v>0</v>
      </c>
      <c r="AH74" s="127">
        <v>0</v>
      </c>
      <c r="AI74" s="127">
        <v>0</v>
      </c>
      <c r="AJ74" s="127">
        <v>0</v>
      </c>
      <c r="AK74" s="127">
        <v>0</v>
      </c>
      <c r="AL74" s="127">
        <v>5000</v>
      </c>
      <c r="AM74" s="127">
        <v>0</v>
      </c>
      <c r="AN74" s="127">
        <v>2000</v>
      </c>
      <c r="AO74" s="127">
        <v>4150</v>
      </c>
      <c r="AP74" s="127">
        <v>0</v>
      </c>
      <c r="AQ74" s="127">
        <v>0</v>
      </c>
      <c r="AR74" s="127">
        <v>0</v>
      </c>
      <c r="AS74" s="127">
        <v>0</v>
      </c>
      <c r="AT74" s="127">
        <v>0</v>
      </c>
      <c r="AU74" s="127">
        <v>5000</v>
      </c>
      <c r="AV74" s="127">
        <v>0</v>
      </c>
      <c r="AW74" s="127">
        <v>0</v>
      </c>
      <c r="AX74" s="127">
        <v>0</v>
      </c>
      <c r="AY74" s="127">
        <v>0</v>
      </c>
      <c r="AZ74" s="127">
        <v>2750</v>
      </c>
      <c r="BA74" s="127">
        <v>0</v>
      </c>
      <c r="BB74" s="127">
        <v>5000</v>
      </c>
      <c r="BC74" s="127">
        <v>0</v>
      </c>
      <c r="BD74" s="127">
        <v>0</v>
      </c>
      <c r="BE74" s="127">
        <v>0</v>
      </c>
      <c r="BF74" s="127">
        <v>0</v>
      </c>
      <c r="BG74" s="127">
        <v>0</v>
      </c>
      <c r="BH74" s="127">
        <v>0</v>
      </c>
      <c r="BI74" s="127">
        <v>0</v>
      </c>
      <c r="BJ74" s="127">
        <v>0</v>
      </c>
      <c r="BK74" s="127">
        <v>0</v>
      </c>
      <c r="BL74" s="127">
        <v>0</v>
      </c>
      <c r="BM74" s="127">
        <v>0</v>
      </c>
      <c r="BN74" s="127">
        <v>0</v>
      </c>
      <c r="BO74" s="127">
        <v>0</v>
      </c>
      <c r="BP74" s="127">
        <v>0</v>
      </c>
      <c r="BQ74" s="127">
        <v>0</v>
      </c>
      <c r="BR74" s="127">
        <v>0</v>
      </c>
      <c r="BS74" s="127">
        <v>0</v>
      </c>
      <c r="BT74" s="127">
        <v>0</v>
      </c>
      <c r="BU74" s="127">
        <v>0</v>
      </c>
      <c r="BV74" s="127">
        <v>0</v>
      </c>
      <c r="BW74" s="127">
        <v>0</v>
      </c>
      <c r="BX74" s="127">
        <v>0</v>
      </c>
      <c r="BY74" s="127">
        <v>0</v>
      </c>
      <c r="BZ74" s="127">
        <v>0</v>
      </c>
      <c r="CA74" s="127">
        <v>0</v>
      </c>
      <c r="CM74">
        <v>55</v>
      </c>
      <c r="CN74" t="str">
        <v>RM000056</v>
      </c>
      <c r="CO74" t="str">
        <v>GMP</v>
      </c>
      <c r="CP74" t="str">
        <v>C39/Pre-Production</v>
      </c>
      <c r="CQ74" t="str">
        <v>Fennel Seeds</v>
      </c>
      <c r="CR74">
        <v>45.699757635467968</v>
      </c>
      <c r="CS74">
        <v>0</v>
      </c>
      <c r="CT74">
        <v>-45.699757635467968</v>
      </c>
      <c r="CU74">
        <v>0</v>
      </c>
      <c r="CV74" t="str">
        <v>Not Received</v>
      </c>
      <c r="CW74" t="str">
        <v>No receipt</v>
      </c>
      <c r="CX74" t="str">
        <v>Not Received</v>
      </c>
    </row>
    <row r="75" spans="1:117" ht="18" customHeight="1">
      <c r="A75" s="123">
        <v>17</v>
      </c>
      <c r="B75" s="123" t="str">
        <v>RM000227</v>
      </c>
      <c r="C75" s="123" t="str">
        <v>Raw Agri</v>
      </c>
      <c r="D75" s="123" t="str">
        <v>MIND/Pre-Production</v>
      </c>
      <c r="E75" s="123" t="str">
        <v>Moong Dal</v>
      </c>
      <c r="F75" s="124">
        <v>31825.54</v>
      </c>
      <c r="G75" s="124">
        <v>0</v>
      </c>
      <c r="H75" s="124">
        <v>-31825.54</v>
      </c>
      <c r="I75" s="125">
        <v>0</v>
      </c>
      <c r="J75" s="123" t="str">
        <v>Not Received</v>
      </c>
      <c r="K75" s="123" t="str">
        <v>No receipt</v>
      </c>
      <c r="L75" s="126">
        <v>0</v>
      </c>
      <c r="M75" s="126">
        <v>0</v>
      </c>
      <c r="N75" s="126">
        <v>0</v>
      </c>
      <c r="O75" s="126">
        <v>0</v>
      </c>
      <c r="P75" s="126">
        <v>0</v>
      </c>
      <c r="Q75" s="126">
        <v>0</v>
      </c>
      <c r="R75" s="126">
        <v>0</v>
      </c>
      <c r="S75" s="126">
        <v>0</v>
      </c>
      <c r="T75" s="126">
        <v>0</v>
      </c>
      <c r="U75" s="126">
        <v>0</v>
      </c>
      <c r="V75" s="126">
        <v>0</v>
      </c>
      <c r="W75" s="126">
        <v>0</v>
      </c>
      <c r="X75" s="126">
        <v>0</v>
      </c>
      <c r="Y75" s="127">
        <v>0</v>
      </c>
      <c r="Z75" s="127">
        <v>0</v>
      </c>
      <c r="AA75" s="127">
        <v>0</v>
      </c>
      <c r="AB75" s="127">
        <v>0</v>
      </c>
      <c r="AC75" s="127">
        <v>0</v>
      </c>
      <c r="AD75" s="127">
        <v>0</v>
      </c>
      <c r="AE75" s="127">
        <v>0</v>
      </c>
      <c r="AF75" s="127">
        <v>0</v>
      </c>
      <c r="AG75" s="127">
        <v>0</v>
      </c>
      <c r="AH75" s="127">
        <v>0</v>
      </c>
      <c r="AI75" s="127">
        <v>0</v>
      </c>
      <c r="AJ75" s="127">
        <v>0</v>
      </c>
      <c r="AK75" s="127">
        <v>0</v>
      </c>
      <c r="AL75" s="127">
        <v>0</v>
      </c>
      <c r="AM75" s="127">
        <v>0</v>
      </c>
      <c r="AN75" s="127">
        <v>0</v>
      </c>
      <c r="AO75" s="127">
        <v>0</v>
      </c>
      <c r="AP75" s="127">
        <v>0</v>
      </c>
      <c r="AQ75" s="127">
        <v>0</v>
      </c>
      <c r="AR75" s="127">
        <v>0</v>
      </c>
      <c r="AS75" s="127">
        <v>0</v>
      </c>
      <c r="AT75" s="127">
        <v>0</v>
      </c>
      <c r="AU75" s="127">
        <v>0</v>
      </c>
      <c r="AV75" s="127">
        <v>0</v>
      </c>
      <c r="AW75" s="127">
        <v>0</v>
      </c>
      <c r="AX75" s="127">
        <v>0</v>
      </c>
      <c r="AY75" s="127">
        <v>0</v>
      </c>
      <c r="AZ75" s="127">
        <v>0</v>
      </c>
      <c r="BA75" s="127">
        <v>0</v>
      </c>
      <c r="BB75" s="127">
        <v>0</v>
      </c>
      <c r="BC75" s="127">
        <v>0</v>
      </c>
      <c r="BD75" s="127">
        <v>0</v>
      </c>
      <c r="BE75" s="127">
        <v>0</v>
      </c>
      <c r="BF75" s="127">
        <v>0</v>
      </c>
      <c r="BG75" s="127">
        <v>0</v>
      </c>
      <c r="BH75" s="127">
        <v>0</v>
      </c>
      <c r="BI75" s="127">
        <v>0</v>
      </c>
      <c r="BJ75" s="127">
        <v>0</v>
      </c>
      <c r="BK75" s="127">
        <v>0</v>
      </c>
      <c r="BL75" s="127">
        <v>0</v>
      </c>
      <c r="BM75" s="127">
        <v>0</v>
      </c>
      <c r="BN75" s="127">
        <v>0</v>
      </c>
      <c r="BO75" s="127">
        <v>0</v>
      </c>
      <c r="BP75" s="127">
        <v>0</v>
      </c>
      <c r="BQ75" s="127">
        <v>0</v>
      </c>
      <c r="BR75" s="127">
        <v>0</v>
      </c>
      <c r="BS75" s="127">
        <v>0</v>
      </c>
      <c r="BT75" s="127">
        <v>0</v>
      </c>
      <c r="BU75" s="127">
        <v>0</v>
      </c>
      <c r="BV75" s="127">
        <v>0</v>
      </c>
      <c r="BW75" s="127">
        <v>0</v>
      </c>
      <c r="BX75" s="127">
        <v>0</v>
      </c>
      <c r="BY75" s="127">
        <v>0</v>
      </c>
      <c r="BZ75" s="127">
        <v>0</v>
      </c>
      <c r="CA75" s="127">
        <v>0</v>
      </c>
      <c r="CM75">
        <v>56</v>
      </c>
      <c r="CN75" t="str">
        <v>RM000051</v>
      </c>
      <c r="CO75" t="str">
        <v>GMP</v>
      </c>
      <c r="CP75" t="str">
        <v>C39/Pre-Production</v>
      </c>
      <c r="CQ75" t="str">
        <v>Dalchini/cinnamon</v>
      </c>
      <c r="CR75">
        <v>4.9800000000000004</v>
      </c>
      <c r="CS75">
        <v>0</v>
      </c>
      <c r="CT75">
        <v>-4.9800000000000004</v>
      </c>
      <c r="CU75">
        <v>0</v>
      </c>
      <c r="CV75" t="str">
        <v>Not Received</v>
      </c>
      <c r="CW75" t="str">
        <v>No receipt</v>
      </c>
      <c r="CX75" t="str">
        <v>Not Received</v>
      </c>
    </row>
    <row r="76" spans="1:117" ht="18" customHeight="1">
      <c r="A76" s="123">
        <v>21</v>
      </c>
      <c r="B76" s="123" t="str">
        <v>RM000057</v>
      </c>
      <c r="C76" s="123" t="str">
        <v>Protein Atta</v>
      </c>
      <c r="D76" s="123" t="str">
        <v>MIND/Pre-Production</v>
      </c>
      <c r="E76" s="123" t="str">
        <v>Finger Millet</v>
      </c>
      <c r="F76" s="124">
        <v>19836.68</v>
      </c>
      <c r="G76" s="124">
        <v>0</v>
      </c>
      <c r="H76" s="124">
        <v>-19836.68</v>
      </c>
      <c r="I76" s="125">
        <v>0</v>
      </c>
      <c r="J76" s="123" t="str">
        <v>Not Received</v>
      </c>
      <c r="K76" s="123" t="str">
        <v>No receipt</v>
      </c>
      <c r="L76" s="126">
        <v>0</v>
      </c>
      <c r="M76" s="126">
        <v>0</v>
      </c>
      <c r="N76" s="126">
        <v>0</v>
      </c>
      <c r="O76" s="126">
        <v>0</v>
      </c>
      <c r="P76" s="126">
        <v>0</v>
      </c>
      <c r="Q76" s="126">
        <v>0</v>
      </c>
      <c r="R76" s="126">
        <v>0</v>
      </c>
      <c r="S76" s="126">
        <v>0</v>
      </c>
      <c r="T76" s="126">
        <v>0</v>
      </c>
      <c r="U76" s="126">
        <v>0</v>
      </c>
      <c r="V76" s="126">
        <v>0</v>
      </c>
      <c r="W76" s="126">
        <v>0</v>
      </c>
      <c r="X76" s="126">
        <v>0</v>
      </c>
      <c r="Y76" s="127">
        <v>0</v>
      </c>
      <c r="Z76" s="127">
        <v>0</v>
      </c>
      <c r="AA76" s="127">
        <v>0</v>
      </c>
      <c r="AB76" s="127">
        <v>0</v>
      </c>
      <c r="AC76" s="127">
        <v>0</v>
      </c>
      <c r="AD76" s="127">
        <v>0</v>
      </c>
      <c r="AE76" s="127">
        <v>0</v>
      </c>
      <c r="AF76" s="127">
        <v>0</v>
      </c>
      <c r="AG76" s="127">
        <v>0</v>
      </c>
      <c r="AH76" s="127">
        <v>0</v>
      </c>
      <c r="AI76" s="127">
        <v>0</v>
      </c>
      <c r="AJ76" s="127">
        <v>0</v>
      </c>
      <c r="AK76" s="127">
        <v>0</v>
      </c>
      <c r="AL76" s="127">
        <v>0</v>
      </c>
      <c r="AM76" s="127">
        <v>0</v>
      </c>
      <c r="AN76" s="127">
        <v>0</v>
      </c>
      <c r="AO76" s="127">
        <v>0</v>
      </c>
      <c r="AP76" s="127">
        <v>0</v>
      </c>
      <c r="AQ76" s="127">
        <v>0</v>
      </c>
      <c r="AR76" s="127">
        <v>0</v>
      </c>
      <c r="AS76" s="127">
        <v>0</v>
      </c>
      <c r="AT76" s="127">
        <v>0</v>
      </c>
      <c r="AU76" s="127">
        <v>0</v>
      </c>
      <c r="AV76" s="127">
        <v>0</v>
      </c>
      <c r="AW76" s="127">
        <v>0</v>
      </c>
      <c r="AX76" s="127">
        <v>0</v>
      </c>
      <c r="AY76" s="127">
        <v>0</v>
      </c>
      <c r="AZ76" s="127">
        <v>0</v>
      </c>
      <c r="BA76" s="127">
        <v>0</v>
      </c>
      <c r="BB76" s="127">
        <v>0</v>
      </c>
      <c r="BC76" s="127">
        <v>0</v>
      </c>
      <c r="BD76" s="127">
        <v>0</v>
      </c>
      <c r="BE76" s="127">
        <v>0</v>
      </c>
      <c r="BF76" s="127">
        <v>0</v>
      </c>
      <c r="BG76" s="127">
        <v>0</v>
      </c>
      <c r="BH76" s="127">
        <v>0</v>
      </c>
      <c r="BI76" s="127">
        <v>0</v>
      </c>
      <c r="BJ76" s="127">
        <v>0</v>
      </c>
      <c r="BK76" s="127">
        <v>0</v>
      </c>
      <c r="BL76" s="127">
        <v>0</v>
      </c>
      <c r="BM76" s="127">
        <v>0</v>
      </c>
      <c r="BN76" s="127">
        <v>0</v>
      </c>
      <c r="BO76" s="127">
        <v>0</v>
      </c>
      <c r="BP76" s="127">
        <v>0</v>
      </c>
      <c r="BQ76" s="127">
        <v>0</v>
      </c>
      <c r="BR76" s="127">
        <v>0</v>
      </c>
      <c r="BS76" s="127">
        <v>0</v>
      </c>
      <c r="BT76" s="127">
        <v>0</v>
      </c>
      <c r="BU76" s="127">
        <v>0</v>
      </c>
      <c r="BV76" s="127">
        <v>0</v>
      </c>
      <c r="BW76" s="127">
        <v>0</v>
      </c>
      <c r="BX76" s="127">
        <v>0</v>
      </c>
      <c r="BY76" s="127">
        <v>0</v>
      </c>
      <c r="BZ76" s="127">
        <v>0</v>
      </c>
      <c r="CA76" s="127">
        <v>0</v>
      </c>
      <c r="CM76">
        <v>57</v>
      </c>
      <c r="CN76" t="str">
        <v>RM000031</v>
      </c>
      <c r="CO76" t="str">
        <v>GMP</v>
      </c>
      <c r="CP76" t="str">
        <v>C39/Pre-Production</v>
      </c>
      <c r="CQ76" t="str">
        <v>Cardamom</v>
      </c>
      <c r="CR76">
        <v>36.748798029556667</v>
      </c>
      <c r="CS76">
        <v>0</v>
      </c>
      <c r="CT76">
        <v>-36.748798029556667</v>
      </c>
      <c r="CU76">
        <v>0</v>
      </c>
      <c r="CV76" t="str">
        <v>Not Received</v>
      </c>
      <c r="CW76" t="str">
        <v>No receipt</v>
      </c>
      <c r="CX76" t="str">
        <v>Not Received</v>
      </c>
    </row>
    <row r="77" spans="1:117" ht="18" customHeight="1">
      <c r="A77" s="123">
        <v>43</v>
      </c>
      <c r="B77" s="123" t="str">
        <v>RM000057</v>
      </c>
      <c r="C77" s="123" t="str">
        <v>MG</v>
      </c>
      <c r="D77" s="123" t="str">
        <v>C39/Pre-Production</v>
      </c>
      <c r="E77" s="123" t="str">
        <v>Finger Millet</v>
      </c>
      <c r="F77" s="124">
        <v>19836.68</v>
      </c>
      <c r="G77" s="124">
        <v>0</v>
      </c>
      <c r="H77" s="124">
        <v>-19836.68</v>
      </c>
      <c r="I77" s="125">
        <v>0</v>
      </c>
      <c r="J77" s="123" t="str">
        <v>Not Received</v>
      </c>
      <c r="K77" s="123" t="str">
        <v>No receipt</v>
      </c>
      <c r="L77" s="126">
        <v>0</v>
      </c>
      <c r="M77" s="126">
        <v>0</v>
      </c>
      <c r="N77" s="126">
        <v>0</v>
      </c>
      <c r="O77" s="126">
        <v>0</v>
      </c>
      <c r="P77" s="126">
        <v>0</v>
      </c>
      <c r="Q77" s="126">
        <v>0</v>
      </c>
      <c r="R77" s="126">
        <v>0</v>
      </c>
      <c r="S77" s="126">
        <v>0</v>
      </c>
      <c r="T77" s="126">
        <v>0</v>
      </c>
      <c r="U77" s="126">
        <v>0</v>
      </c>
      <c r="V77" s="126">
        <v>0</v>
      </c>
      <c r="W77" s="126">
        <v>0</v>
      </c>
      <c r="X77" s="126">
        <v>0</v>
      </c>
      <c r="Y77" s="127">
        <v>0</v>
      </c>
      <c r="Z77" s="127">
        <v>0</v>
      </c>
      <c r="AA77" s="127">
        <v>0</v>
      </c>
      <c r="AB77" s="127">
        <v>0</v>
      </c>
      <c r="AC77" s="127">
        <v>0</v>
      </c>
      <c r="AD77" s="127">
        <v>0</v>
      </c>
      <c r="AE77" s="127">
        <v>0</v>
      </c>
      <c r="AF77" s="127">
        <v>0</v>
      </c>
      <c r="AG77" s="127">
        <v>0</v>
      </c>
      <c r="AH77" s="127">
        <v>3000</v>
      </c>
      <c r="AI77" s="127">
        <v>0</v>
      </c>
      <c r="AJ77" s="127">
        <v>0</v>
      </c>
      <c r="AK77" s="127">
        <v>0</v>
      </c>
      <c r="AL77" s="127">
        <v>3000</v>
      </c>
      <c r="AM77" s="127">
        <v>0</v>
      </c>
      <c r="AN77" s="127">
        <v>2010</v>
      </c>
      <c r="AO77" s="127">
        <v>3000</v>
      </c>
      <c r="AP77" s="127">
        <v>3000</v>
      </c>
      <c r="AQ77" s="127">
        <v>0</v>
      </c>
      <c r="AR77" s="127">
        <v>0</v>
      </c>
      <c r="AS77" s="127">
        <v>0</v>
      </c>
      <c r="AT77" s="127">
        <v>0</v>
      </c>
      <c r="AU77" s="127">
        <v>5010</v>
      </c>
      <c r="AV77" s="127">
        <v>0</v>
      </c>
      <c r="AW77" s="127">
        <v>0</v>
      </c>
      <c r="AX77" s="127">
        <v>0</v>
      </c>
      <c r="AY77" s="127">
        <v>0</v>
      </c>
      <c r="AZ77" s="127">
        <v>0</v>
      </c>
      <c r="BA77" s="127">
        <v>0</v>
      </c>
      <c r="BB77" s="127">
        <v>0</v>
      </c>
      <c r="BC77" s="127">
        <v>0</v>
      </c>
      <c r="BD77" s="127">
        <v>0</v>
      </c>
      <c r="BE77" s="127">
        <v>0</v>
      </c>
      <c r="BF77" s="127">
        <v>0</v>
      </c>
      <c r="BG77" s="127">
        <v>0</v>
      </c>
      <c r="BH77" s="127">
        <v>0</v>
      </c>
      <c r="BI77" s="127">
        <v>0</v>
      </c>
      <c r="BJ77" s="127">
        <v>0</v>
      </c>
      <c r="BK77" s="127">
        <v>0</v>
      </c>
      <c r="BL77" s="127">
        <v>0</v>
      </c>
      <c r="BM77" s="127">
        <v>0</v>
      </c>
      <c r="BN77" s="127">
        <v>0</v>
      </c>
      <c r="BO77" s="127">
        <v>0</v>
      </c>
      <c r="BP77" s="127">
        <v>0</v>
      </c>
      <c r="BQ77" s="127">
        <v>0</v>
      </c>
      <c r="BR77" s="127">
        <v>0</v>
      </c>
      <c r="BS77" s="127">
        <v>0</v>
      </c>
      <c r="BT77" s="127">
        <v>0</v>
      </c>
      <c r="BU77" s="127">
        <v>0</v>
      </c>
      <c r="BV77" s="127">
        <v>0</v>
      </c>
      <c r="BW77" s="127">
        <v>0</v>
      </c>
      <c r="BX77" s="127">
        <v>0</v>
      </c>
      <c r="BY77" s="127">
        <v>0</v>
      </c>
      <c r="BZ77" s="127">
        <v>0</v>
      </c>
      <c r="CA77" s="127">
        <v>0</v>
      </c>
      <c r="CM77">
        <v>58</v>
      </c>
      <c r="CN77" t="str">
        <v>RM000018</v>
      </c>
      <c r="CO77" t="str">
        <v>GMP</v>
      </c>
      <c r="CP77" t="str">
        <v>C39/Pre-Production</v>
      </c>
      <c r="CQ77" t="str">
        <v>Black Pepper (Kali Miri)</v>
      </c>
      <c r="CR77">
        <v>0</v>
      </c>
      <c r="CS77">
        <v>0</v>
      </c>
      <c r="CT77">
        <v>0</v>
      </c>
      <c r="CU77">
        <v>0</v>
      </c>
      <c r="CV77" t="str">
        <v>Data Review</v>
      </c>
      <c r="CW77" t="str">
        <v/>
      </c>
      <c r="CX77" t="str">
        <v>Data Review</v>
      </c>
    </row>
    <row r="78" spans="1:117" ht="18" customHeight="1">
      <c r="A78" s="123">
        <v>33</v>
      </c>
      <c r="B78" s="123" t="str">
        <v>RM000153</v>
      </c>
      <c r="C78" s="123" t="str">
        <v>Oil</v>
      </c>
      <c r="D78" s="123" t="str">
        <v>MIND/Pre-Production</v>
      </c>
      <c r="E78" s="123" t="str">
        <v>Raw mustard oil</v>
      </c>
      <c r="F78" s="124">
        <v>18952.48</v>
      </c>
      <c r="G78" s="124">
        <v>0</v>
      </c>
      <c r="H78" s="124">
        <v>-18952.48</v>
      </c>
      <c r="I78" s="125">
        <v>0</v>
      </c>
      <c r="J78" s="123" t="str">
        <v>Not Received</v>
      </c>
      <c r="K78" s="123" t="str">
        <v>No receipt</v>
      </c>
      <c r="L78" s="126">
        <v>0</v>
      </c>
      <c r="M78" s="126">
        <v>0</v>
      </c>
      <c r="N78" s="126">
        <v>10010</v>
      </c>
      <c r="O78" s="126">
        <v>0</v>
      </c>
      <c r="P78" s="126">
        <v>0</v>
      </c>
      <c r="Q78" s="126">
        <v>0</v>
      </c>
      <c r="R78" s="126">
        <v>0</v>
      </c>
      <c r="S78" s="126">
        <v>0</v>
      </c>
      <c r="T78" s="126">
        <v>0</v>
      </c>
      <c r="U78" s="126">
        <v>0</v>
      </c>
      <c r="V78" s="126">
        <v>0</v>
      </c>
      <c r="W78" s="126">
        <v>0</v>
      </c>
      <c r="X78" s="126">
        <v>0</v>
      </c>
      <c r="Y78" s="127">
        <v>0</v>
      </c>
      <c r="Z78" s="127">
        <v>0</v>
      </c>
      <c r="AA78" s="127">
        <v>0</v>
      </c>
      <c r="AB78" s="127">
        <v>0</v>
      </c>
      <c r="AC78" s="127">
        <v>0</v>
      </c>
      <c r="AD78" s="127">
        <v>0</v>
      </c>
      <c r="AE78" s="127">
        <v>0</v>
      </c>
      <c r="AF78" s="127">
        <v>0</v>
      </c>
      <c r="AG78" s="127">
        <v>0</v>
      </c>
      <c r="AH78" s="127">
        <v>0</v>
      </c>
      <c r="AI78" s="127">
        <v>0</v>
      </c>
      <c r="AJ78" s="127">
        <v>0</v>
      </c>
      <c r="AK78" s="127">
        <v>0</v>
      </c>
      <c r="AL78" s="127">
        <v>0</v>
      </c>
      <c r="AM78" s="127">
        <v>0</v>
      </c>
      <c r="AN78" s="127">
        <v>0</v>
      </c>
      <c r="AO78" s="127">
        <v>0</v>
      </c>
      <c r="AP78" s="127">
        <v>0</v>
      </c>
      <c r="AQ78" s="127">
        <v>0</v>
      </c>
      <c r="AR78" s="127">
        <v>0</v>
      </c>
      <c r="AS78" s="127">
        <v>0</v>
      </c>
      <c r="AT78" s="127">
        <v>0</v>
      </c>
      <c r="AU78" s="127">
        <v>0</v>
      </c>
      <c r="AV78" s="127">
        <v>0</v>
      </c>
      <c r="AW78" s="127">
        <v>16500</v>
      </c>
      <c r="AX78" s="127">
        <v>0</v>
      </c>
      <c r="AY78" s="127">
        <v>0</v>
      </c>
      <c r="AZ78" s="127">
        <v>0</v>
      </c>
      <c r="BA78" s="127">
        <v>0</v>
      </c>
      <c r="BB78" s="127">
        <v>0</v>
      </c>
      <c r="BC78" s="127">
        <v>0</v>
      </c>
      <c r="BD78" s="127">
        <v>0</v>
      </c>
      <c r="BE78" s="127">
        <v>0</v>
      </c>
      <c r="BF78" s="127">
        <v>0</v>
      </c>
      <c r="BG78" s="127">
        <v>0</v>
      </c>
      <c r="BH78" s="127">
        <v>0</v>
      </c>
      <c r="BI78" s="127">
        <v>0</v>
      </c>
      <c r="BJ78" s="127">
        <v>0</v>
      </c>
      <c r="BK78" s="127">
        <v>0</v>
      </c>
      <c r="BL78" s="127">
        <v>0</v>
      </c>
      <c r="BM78" s="127">
        <v>0</v>
      </c>
      <c r="BN78" s="127">
        <v>0</v>
      </c>
      <c r="BO78" s="127">
        <v>0</v>
      </c>
      <c r="BP78" s="127">
        <v>0</v>
      </c>
      <c r="BQ78" s="127">
        <v>0</v>
      </c>
      <c r="BR78" s="127">
        <v>0</v>
      </c>
      <c r="BS78" s="127">
        <v>0</v>
      </c>
      <c r="BT78" s="127">
        <v>0</v>
      </c>
      <c r="BU78" s="127">
        <v>0</v>
      </c>
      <c r="BV78" s="127">
        <v>0</v>
      </c>
      <c r="BW78" s="127">
        <v>0</v>
      </c>
      <c r="BX78" s="127">
        <v>0</v>
      </c>
      <c r="BY78" s="127">
        <v>0</v>
      </c>
      <c r="BZ78" s="127">
        <v>0</v>
      </c>
      <c r="CA78" s="127">
        <v>0</v>
      </c>
      <c r="CM78">
        <v>59</v>
      </c>
      <c r="CN78" t="str">
        <v>RM000015</v>
      </c>
      <c r="CO78" t="str">
        <v>GMP</v>
      </c>
      <c r="CP78" t="str">
        <v>C39/Pre-Production</v>
      </c>
      <c r="CQ78" t="str">
        <v>Black cardamom</v>
      </c>
      <c r="CR78">
        <v>16.838000000000001</v>
      </c>
      <c r="CS78">
        <v>0</v>
      </c>
      <c r="CT78">
        <v>-16.838000000000001</v>
      </c>
      <c r="CU78">
        <v>0</v>
      </c>
      <c r="CV78" t="str">
        <v>Not Received</v>
      </c>
      <c r="CW78" t="str">
        <v>No receipt</v>
      </c>
      <c r="CX78" t="str">
        <v>Not Received</v>
      </c>
    </row>
    <row r="79" spans="1:117" ht="18" customHeight="1">
      <c r="A79" s="123">
        <v>22</v>
      </c>
      <c r="B79" s="123" t="str">
        <v>RM000162</v>
      </c>
      <c r="C79" s="123" t="str">
        <v>Protein Atta</v>
      </c>
      <c r="D79" s="123" t="str">
        <v>MIND/Pre-Production</v>
      </c>
      <c r="E79" s="123" t="str">
        <v>Raw Soyabean</v>
      </c>
      <c r="F79" s="124">
        <v>16433</v>
      </c>
      <c r="G79" s="124">
        <v>0</v>
      </c>
      <c r="H79" s="124">
        <v>-16433</v>
      </c>
      <c r="I79" s="125">
        <v>0</v>
      </c>
      <c r="J79" s="123" t="str">
        <v>Not Received</v>
      </c>
      <c r="K79" s="123" t="str">
        <v>No receipt</v>
      </c>
      <c r="L79" s="126">
        <v>0</v>
      </c>
      <c r="M79" s="126">
        <v>0</v>
      </c>
      <c r="N79" s="126">
        <v>0</v>
      </c>
      <c r="O79" s="126">
        <v>5000</v>
      </c>
      <c r="P79" s="126">
        <v>0</v>
      </c>
      <c r="Q79" s="126">
        <v>0</v>
      </c>
      <c r="R79" s="126">
        <v>0</v>
      </c>
      <c r="S79" s="126">
        <v>0</v>
      </c>
      <c r="T79" s="126">
        <v>0</v>
      </c>
      <c r="U79" s="126">
        <v>0</v>
      </c>
      <c r="V79" s="126">
        <v>0</v>
      </c>
      <c r="W79" s="126">
        <v>0</v>
      </c>
      <c r="X79" s="126">
        <v>0</v>
      </c>
      <c r="Y79" s="127">
        <v>0</v>
      </c>
      <c r="Z79" s="127">
        <v>0</v>
      </c>
      <c r="AA79" s="127">
        <v>0</v>
      </c>
      <c r="AB79" s="127">
        <v>0</v>
      </c>
      <c r="AC79" s="127">
        <v>0</v>
      </c>
      <c r="AD79" s="127">
        <v>0</v>
      </c>
      <c r="AE79" s="127">
        <v>0</v>
      </c>
      <c r="AF79" s="127">
        <v>0</v>
      </c>
      <c r="AG79" s="127">
        <v>0</v>
      </c>
      <c r="AH79" s="127">
        <v>0</v>
      </c>
      <c r="AI79" s="127">
        <v>0</v>
      </c>
      <c r="AJ79" s="127">
        <v>0</v>
      </c>
      <c r="AK79" s="127">
        <v>0</v>
      </c>
      <c r="AL79" s="127">
        <v>0</v>
      </c>
      <c r="AM79" s="127">
        <v>0</v>
      </c>
      <c r="AN79" s="127">
        <v>0</v>
      </c>
      <c r="AO79" s="127">
        <v>0</v>
      </c>
      <c r="AP79" s="127">
        <v>0</v>
      </c>
      <c r="AQ79" s="127">
        <v>0</v>
      </c>
      <c r="AR79" s="127">
        <v>0</v>
      </c>
      <c r="AS79" s="127">
        <v>0</v>
      </c>
      <c r="AT79" s="127">
        <v>0</v>
      </c>
      <c r="AU79" s="127">
        <v>0</v>
      </c>
      <c r="AV79" s="127">
        <v>0</v>
      </c>
      <c r="AW79" s="127">
        <v>0</v>
      </c>
      <c r="AX79" s="127">
        <v>0</v>
      </c>
      <c r="AY79" s="127">
        <v>0</v>
      </c>
      <c r="AZ79" s="127">
        <v>0</v>
      </c>
      <c r="BA79" s="127">
        <v>0</v>
      </c>
      <c r="BB79" s="127">
        <v>0</v>
      </c>
      <c r="BC79" s="127">
        <v>0</v>
      </c>
      <c r="BD79" s="127">
        <v>0</v>
      </c>
      <c r="BE79" s="127">
        <v>0</v>
      </c>
      <c r="BF79" s="127">
        <v>0</v>
      </c>
      <c r="BG79" s="127">
        <v>0</v>
      </c>
      <c r="BH79" s="127">
        <v>0</v>
      </c>
      <c r="BI79" s="127">
        <v>0</v>
      </c>
      <c r="BJ79" s="127">
        <v>0</v>
      </c>
      <c r="BK79" s="127">
        <v>0</v>
      </c>
      <c r="BL79" s="127">
        <v>0</v>
      </c>
      <c r="BM79" s="127">
        <v>0</v>
      </c>
      <c r="BN79" s="127">
        <v>0</v>
      </c>
      <c r="BO79" s="127">
        <v>0</v>
      </c>
      <c r="BP79" s="127">
        <v>0</v>
      </c>
      <c r="BQ79" s="127">
        <v>0</v>
      </c>
      <c r="BR79" s="127">
        <v>0</v>
      </c>
      <c r="BS79" s="127">
        <v>0</v>
      </c>
      <c r="BT79" s="127">
        <v>0</v>
      </c>
      <c r="BU79" s="127">
        <v>0</v>
      </c>
      <c r="BV79" s="127">
        <v>0</v>
      </c>
      <c r="BW79" s="127">
        <v>0</v>
      </c>
      <c r="BX79" s="127">
        <v>0</v>
      </c>
      <c r="BY79" s="127">
        <v>0</v>
      </c>
      <c r="BZ79" s="127">
        <v>0</v>
      </c>
      <c r="CA79" s="127">
        <v>0</v>
      </c>
    </row>
    <row r="80" spans="1:117" ht="18" customHeight="1">
      <c r="A80" s="123">
        <v>38</v>
      </c>
      <c r="B80" s="123" t="str">
        <v>RM000162</v>
      </c>
      <c r="C80" s="123" t="str">
        <v>MG</v>
      </c>
      <c r="D80" s="123" t="str">
        <v>C39/Pre-Production</v>
      </c>
      <c r="E80" s="123" t="str">
        <v>Raw Soyabean</v>
      </c>
      <c r="F80" s="124">
        <v>16433</v>
      </c>
      <c r="G80" s="124">
        <v>0</v>
      </c>
      <c r="H80" s="124">
        <v>-16433</v>
      </c>
      <c r="I80" s="125">
        <v>0</v>
      </c>
      <c r="J80" s="123" t="str">
        <v>Not Received</v>
      </c>
      <c r="K80" s="123" t="str">
        <v>No receipt</v>
      </c>
      <c r="L80" s="126">
        <v>2500</v>
      </c>
      <c r="M80" s="126">
        <v>0</v>
      </c>
      <c r="N80" s="126">
        <v>0</v>
      </c>
      <c r="O80" s="126">
        <v>0</v>
      </c>
      <c r="P80" s="126">
        <v>0</v>
      </c>
      <c r="Q80" s="126">
        <v>0</v>
      </c>
      <c r="R80" s="126">
        <v>0</v>
      </c>
      <c r="S80" s="126">
        <v>0</v>
      </c>
      <c r="T80" s="126">
        <v>0</v>
      </c>
      <c r="U80" s="126">
        <v>0</v>
      </c>
      <c r="V80" s="126">
        <v>2000</v>
      </c>
      <c r="W80" s="126">
        <v>0</v>
      </c>
      <c r="X80" s="126">
        <v>0</v>
      </c>
      <c r="Y80" s="127">
        <v>0</v>
      </c>
      <c r="Z80" s="127">
        <v>0</v>
      </c>
      <c r="AA80" s="127">
        <v>5000</v>
      </c>
      <c r="AB80" s="127">
        <v>0</v>
      </c>
      <c r="AC80" s="127">
        <v>0</v>
      </c>
      <c r="AD80" s="127">
        <v>0</v>
      </c>
      <c r="AE80" s="127">
        <v>0</v>
      </c>
      <c r="AF80" s="127">
        <v>0</v>
      </c>
      <c r="AG80" s="127">
        <v>0</v>
      </c>
      <c r="AH80" s="127">
        <v>5000</v>
      </c>
      <c r="AI80" s="127">
        <v>0</v>
      </c>
      <c r="AJ80" s="127">
        <v>3400</v>
      </c>
      <c r="AK80" s="127">
        <v>0</v>
      </c>
      <c r="AL80" s="127">
        <v>5000</v>
      </c>
      <c r="AM80" s="127">
        <v>0</v>
      </c>
      <c r="AN80" s="127">
        <v>2000</v>
      </c>
      <c r="AO80" s="127">
        <v>3100</v>
      </c>
      <c r="AP80" s="127">
        <v>0</v>
      </c>
      <c r="AQ80" s="127">
        <v>0</v>
      </c>
      <c r="AR80" s="127">
        <v>0</v>
      </c>
      <c r="AS80" s="127">
        <v>0</v>
      </c>
      <c r="AT80" s="127">
        <v>0</v>
      </c>
      <c r="AU80" s="127">
        <v>6600</v>
      </c>
      <c r="AV80" s="127">
        <v>0</v>
      </c>
      <c r="AW80" s="127">
        <v>0</v>
      </c>
      <c r="AX80" s="127">
        <v>0</v>
      </c>
      <c r="AY80" s="127">
        <v>0</v>
      </c>
      <c r="AZ80" s="127">
        <v>0</v>
      </c>
      <c r="BA80" s="127">
        <v>0</v>
      </c>
      <c r="BB80" s="127">
        <v>0</v>
      </c>
      <c r="BC80" s="127">
        <v>0</v>
      </c>
      <c r="BD80" s="127">
        <v>0</v>
      </c>
      <c r="BE80" s="127">
        <v>0</v>
      </c>
      <c r="BF80" s="127">
        <v>0</v>
      </c>
      <c r="BG80" s="127">
        <v>0</v>
      </c>
      <c r="BH80" s="127">
        <v>0</v>
      </c>
      <c r="BI80" s="127">
        <v>0</v>
      </c>
      <c r="BJ80" s="127">
        <v>0</v>
      </c>
      <c r="BK80" s="127">
        <v>0</v>
      </c>
      <c r="BL80" s="127">
        <v>0</v>
      </c>
      <c r="BM80" s="127">
        <v>0</v>
      </c>
      <c r="BN80" s="127">
        <v>0</v>
      </c>
      <c r="BO80" s="127">
        <v>0</v>
      </c>
      <c r="BP80" s="127">
        <v>0</v>
      </c>
      <c r="BQ80" s="127">
        <v>0</v>
      </c>
      <c r="BR80" s="127">
        <v>0</v>
      </c>
      <c r="BS80" s="127">
        <v>0</v>
      </c>
      <c r="BT80" s="127">
        <v>0</v>
      </c>
      <c r="BU80" s="127">
        <v>0</v>
      </c>
      <c r="BV80" s="127">
        <v>0</v>
      </c>
      <c r="BW80" s="127">
        <v>0</v>
      </c>
      <c r="BX80" s="127">
        <v>0</v>
      </c>
      <c r="BY80" s="127">
        <v>0</v>
      </c>
      <c r="BZ80" s="127">
        <v>0</v>
      </c>
      <c r="CA80" s="127">
        <v>0</v>
      </c>
    </row>
    <row r="81" spans="1:79" ht="18" customHeight="1">
      <c r="A81" s="123">
        <v>36</v>
      </c>
      <c r="B81" s="123" t="str">
        <v>RM000221</v>
      </c>
      <c r="C81" s="123" t="str">
        <v>MG</v>
      </c>
      <c r="D81" s="123" t="str">
        <v>C39/Pre-Production</v>
      </c>
      <c r="E81" s="123" t="str">
        <v>RM- Barley</v>
      </c>
      <c r="F81" s="124">
        <v>24362.490000000009</v>
      </c>
      <c r="G81" s="124">
        <v>9900</v>
      </c>
      <c r="H81" s="124">
        <v>-14462.490000000009</v>
      </c>
      <c r="I81" s="125">
        <v>0.4063624038429568</v>
      </c>
      <c r="J81" s="123" t="str">
        <v>Low Fulfillment</v>
      </c>
      <c r="K81" s="123" t="str">
        <v>Critical shortfall &gt;=1,000 KG</v>
      </c>
      <c r="L81" s="126">
        <v>3150</v>
      </c>
      <c r="M81" s="126">
        <v>0</v>
      </c>
      <c r="N81" s="126">
        <v>0</v>
      </c>
      <c r="O81" s="126">
        <v>0</v>
      </c>
      <c r="P81" s="126">
        <v>0</v>
      </c>
      <c r="Q81" s="126">
        <v>0</v>
      </c>
      <c r="R81" s="126">
        <v>0</v>
      </c>
      <c r="S81" s="126">
        <v>0</v>
      </c>
      <c r="T81" s="126">
        <v>0</v>
      </c>
      <c r="U81" s="126">
        <v>0</v>
      </c>
      <c r="V81" s="126">
        <v>0</v>
      </c>
      <c r="W81" s="126">
        <v>0</v>
      </c>
      <c r="X81" s="126">
        <v>0</v>
      </c>
      <c r="Y81" s="127">
        <v>0</v>
      </c>
      <c r="Z81" s="127">
        <v>0</v>
      </c>
      <c r="AA81" s="127">
        <v>4380</v>
      </c>
      <c r="AB81" s="127">
        <v>0</v>
      </c>
      <c r="AC81" s="127">
        <v>0</v>
      </c>
      <c r="AD81" s="127">
        <v>0</v>
      </c>
      <c r="AE81" s="127">
        <v>0</v>
      </c>
      <c r="AF81" s="127">
        <v>0</v>
      </c>
      <c r="AG81" s="127">
        <v>0</v>
      </c>
      <c r="AH81" s="127">
        <v>3000</v>
      </c>
      <c r="AI81" s="127">
        <v>0</v>
      </c>
      <c r="AJ81" s="127">
        <v>0</v>
      </c>
      <c r="AK81" s="127">
        <v>0</v>
      </c>
      <c r="AL81" s="127">
        <v>5000</v>
      </c>
      <c r="AM81" s="127">
        <v>0</v>
      </c>
      <c r="AN81" s="127">
        <v>2000</v>
      </c>
      <c r="AO81" s="127">
        <v>5000</v>
      </c>
      <c r="AP81" s="127">
        <v>3000</v>
      </c>
      <c r="AQ81" s="127">
        <v>0</v>
      </c>
      <c r="AR81" s="127">
        <v>0</v>
      </c>
      <c r="AS81" s="127">
        <v>0</v>
      </c>
      <c r="AT81" s="127">
        <v>0</v>
      </c>
      <c r="AU81" s="127">
        <v>5850</v>
      </c>
      <c r="AV81" s="127">
        <v>0</v>
      </c>
      <c r="AW81" s="127">
        <v>0</v>
      </c>
      <c r="AX81" s="127">
        <v>0</v>
      </c>
      <c r="AY81" s="127">
        <v>0</v>
      </c>
      <c r="AZ81" s="127">
        <v>9900</v>
      </c>
      <c r="BA81" s="127">
        <v>0</v>
      </c>
      <c r="BB81" s="127">
        <v>0</v>
      </c>
      <c r="BC81" s="127">
        <v>0</v>
      </c>
      <c r="BD81" s="127">
        <v>0</v>
      </c>
      <c r="BE81" s="127">
        <v>0</v>
      </c>
      <c r="BF81" s="127">
        <v>0</v>
      </c>
      <c r="BG81" s="127">
        <v>0</v>
      </c>
      <c r="BH81" s="127">
        <v>0</v>
      </c>
      <c r="BI81" s="127">
        <v>0</v>
      </c>
      <c r="BJ81" s="127">
        <v>0</v>
      </c>
      <c r="BK81" s="127">
        <v>0</v>
      </c>
      <c r="BL81" s="127">
        <v>0</v>
      </c>
      <c r="BM81" s="127">
        <v>0</v>
      </c>
      <c r="BN81" s="127">
        <v>0</v>
      </c>
      <c r="BO81" s="127">
        <v>0</v>
      </c>
      <c r="BP81" s="127">
        <v>0</v>
      </c>
      <c r="BQ81" s="127">
        <v>0</v>
      </c>
      <c r="BR81" s="127">
        <v>0</v>
      </c>
      <c r="BS81" s="127">
        <v>0</v>
      </c>
      <c r="BT81" s="127">
        <v>0</v>
      </c>
      <c r="BU81" s="127">
        <v>0</v>
      </c>
      <c r="BV81" s="127">
        <v>0</v>
      </c>
      <c r="BW81" s="127">
        <v>0</v>
      </c>
      <c r="BX81" s="127">
        <v>0</v>
      </c>
      <c r="BY81" s="127">
        <v>0</v>
      </c>
      <c r="BZ81" s="127">
        <v>0</v>
      </c>
      <c r="CA81" s="127">
        <v>0</v>
      </c>
    </row>
    <row r="82" spans="1:79" ht="18" customHeight="1">
      <c r="A82" s="123">
        <v>7</v>
      </c>
      <c r="B82" s="123" t="str">
        <v>RM000177</v>
      </c>
      <c r="C82" s="123" t="str">
        <v>Raw Agri</v>
      </c>
      <c r="D82" s="123" t="str">
        <v>MIND/Pre-Production</v>
      </c>
      <c r="E82" s="123" t="str">
        <v>Rock Salt Powder</v>
      </c>
      <c r="F82" s="124">
        <v>12332.28</v>
      </c>
      <c r="G82" s="124">
        <v>0</v>
      </c>
      <c r="H82" s="124">
        <v>-12332.28</v>
      </c>
      <c r="I82" s="125">
        <v>0</v>
      </c>
      <c r="J82" s="123" t="str">
        <v>Not Received</v>
      </c>
      <c r="K82" s="123" t="str">
        <v>No receipt</v>
      </c>
      <c r="L82" s="126">
        <v>0</v>
      </c>
      <c r="M82" s="126">
        <v>0</v>
      </c>
      <c r="N82" s="126">
        <v>0</v>
      </c>
      <c r="O82" s="126">
        <v>0</v>
      </c>
      <c r="P82" s="126">
        <v>6000</v>
      </c>
      <c r="Q82" s="126">
        <v>0</v>
      </c>
      <c r="R82" s="126">
        <v>0</v>
      </c>
      <c r="S82" s="126">
        <v>0</v>
      </c>
      <c r="T82" s="126">
        <v>0</v>
      </c>
      <c r="U82" s="126">
        <v>0</v>
      </c>
      <c r="V82" s="126">
        <v>0</v>
      </c>
      <c r="W82" s="126">
        <v>0</v>
      </c>
      <c r="X82" s="126">
        <v>1120</v>
      </c>
      <c r="Y82" s="127">
        <v>0</v>
      </c>
      <c r="Z82" s="127">
        <v>0</v>
      </c>
      <c r="AA82" s="127">
        <v>0</v>
      </c>
      <c r="AB82" s="127">
        <v>0</v>
      </c>
      <c r="AC82" s="127">
        <v>0</v>
      </c>
      <c r="AD82" s="127">
        <v>0</v>
      </c>
      <c r="AE82" s="127">
        <v>2010</v>
      </c>
      <c r="AF82" s="127">
        <v>0</v>
      </c>
      <c r="AG82" s="127">
        <v>0</v>
      </c>
      <c r="AH82" s="127">
        <v>0</v>
      </c>
      <c r="AI82" s="127">
        <v>0</v>
      </c>
      <c r="AJ82" s="127">
        <v>0</v>
      </c>
      <c r="AK82" s="127">
        <v>0</v>
      </c>
      <c r="AL82" s="127">
        <v>6000</v>
      </c>
      <c r="AM82" s="127">
        <v>0</v>
      </c>
      <c r="AN82" s="127">
        <v>0</v>
      </c>
      <c r="AO82" s="127">
        <v>0</v>
      </c>
      <c r="AP82" s="127">
        <v>4200</v>
      </c>
      <c r="AQ82" s="127">
        <v>0</v>
      </c>
      <c r="AR82" s="127">
        <v>0</v>
      </c>
      <c r="AS82" s="127">
        <v>0</v>
      </c>
      <c r="AT82" s="127">
        <v>0</v>
      </c>
      <c r="AU82" s="127">
        <v>0</v>
      </c>
      <c r="AV82" s="127">
        <v>0</v>
      </c>
      <c r="AW82" s="127">
        <v>0</v>
      </c>
      <c r="AX82" s="127">
        <v>0</v>
      </c>
      <c r="AY82" s="127">
        <v>0</v>
      </c>
      <c r="AZ82" s="127">
        <v>0</v>
      </c>
      <c r="BA82" s="127">
        <v>0</v>
      </c>
      <c r="BB82" s="127">
        <v>0</v>
      </c>
      <c r="BC82" s="127">
        <v>0</v>
      </c>
      <c r="BD82" s="127">
        <v>0</v>
      </c>
      <c r="BE82" s="127">
        <v>0</v>
      </c>
      <c r="BF82" s="127">
        <v>0</v>
      </c>
      <c r="BG82" s="127">
        <v>0</v>
      </c>
      <c r="BH82" s="127">
        <v>0</v>
      </c>
      <c r="BI82" s="127">
        <v>0</v>
      </c>
      <c r="BJ82" s="127">
        <v>0</v>
      </c>
      <c r="BK82" s="127">
        <v>0</v>
      </c>
      <c r="BL82" s="127">
        <v>0</v>
      </c>
      <c r="BM82" s="127">
        <v>0</v>
      </c>
      <c r="BN82" s="127">
        <v>0</v>
      </c>
      <c r="BO82" s="127">
        <v>0</v>
      </c>
      <c r="BP82" s="127">
        <v>0</v>
      </c>
      <c r="BQ82" s="127">
        <v>0</v>
      </c>
      <c r="BR82" s="127">
        <v>0</v>
      </c>
      <c r="BS82" s="127">
        <v>0</v>
      </c>
      <c r="BT82" s="127">
        <v>0</v>
      </c>
      <c r="BU82" s="127">
        <v>0</v>
      </c>
      <c r="BV82" s="127">
        <v>0</v>
      </c>
      <c r="BW82" s="127">
        <v>0</v>
      </c>
      <c r="BX82" s="127">
        <v>0</v>
      </c>
      <c r="BY82" s="127">
        <v>0</v>
      </c>
      <c r="BZ82" s="127">
        <v>0</v>
      </c>
      <c r="CA82" s="127">
        <v>0</v>
      </c>
    </row>
    <row r="83" spans="1:79" ht="18" customHeight="1">
      <c r="A83" s="123">
        <v>29</v>
      </c>
      <c r="B83" s="123" t="str">
        <v>RM000155</v>
      </c>
      <c r="C83" s="123" t="str">
        <v>Oil</v>
      </c>
      <c r="D83" s="123" t="str">
        <v>MIND/Pre-Production</v>
      </c>
      <c r="E83" s="123" t="str">
        <v>Raw peanut oil</v>
      </c>
      <c r="F83" s="124">
        <v>12099.829841999999</v>
      </c>
      <c r="G83" s="124">
        <v>0</v>
      </c>
      <c r="H83" s="124">
        <v>-12099.829841999999</v>
      </c>
      <c r="I83" s="125">
        <v>0</v>
      </c>
      <c r="J83" s="123" t="str">
        <v>Not Received</v>
      </c>
      <c r="K83" s="123" t="str">
        <v>No receipt</v>
      </c>
      <c r="L83" s="126">
        <v>0</v>
      </c>
      <c r="M83" s="126">
        <v>0</v>
      </c>
      <c r="N83" s="126">
        <v>0</v>
      </c>
      <c r="O83" s="126">
        <v>0</v>
      </c>
      <c r="P83" s="126">
        <v>0</v>
      </c>
      <c r="Q83" s="126">
        <v>0</v>
      </c>
      <c r="R83" s="126">
        <v>0</v>
      </c>
      <c r="S83" s="126">
        <v>0</v>
      </c>
      <c r="T83" s="126">
        <v>0</v>
      </c>
      <c r="U83" s="126">
        <v>0</v>
      </c>
      <c r="V83" s="126">
        <v>6820</v>
      </c>
      <c r="W83" s="126">
        <v>0</v>
      </c>
      <c r="X83" s="126">
        <v>0</v>
      </c>
      <c r="Y83" s="127">
        <v>0</v>
      </c>
      <c r="Z83" s="127">
        <v>0</v>
      </c>
      <c r="AA83" s="127">
        <v>7970</v>
      </c>
      <c r="AB83" s="127">
        <v>0</v>
      </c>
      <c r="AC83" s="127">
        <v>0</v>
      </c>
      <c r="AD83" s="127">
        <v>0</v>
      </c>
      <c r="AE83" s="127">
        <v>0</v>
      </c>
      <c r="AF83" s="127">
        <v>0</v>
      </c>
      <c r="AG83" s="127">
        <v>0</v>
      </c>
      <c r="AH83" s="127">
        <v>6940</v>
      </c>
      <c r="AI83" s="127">
        <v>0</v>
      </c>
      <c r="AJ83" s="127">
        <v>0</v>
      </c>
      <c r="AK83" s="127">
        <v>0</v>
      </c>
      <c r="AL83" s="127">
        <v>0</v>
      </c>
      <c r="AM83" s="127">
        <v>0</v>
      </c>
      <c r="AN83" s="127">
        <v>1000</v>
      </c>
      <c r="AO83" s="127">
        <v>0</v>
      </c>
      <c r="AP83" s="127">
        <v>0</v>
      </c>
      <c r="AQ83" s="127">
        <v>0</v>
      </c>
      <c r="AR83" s="127">
        <v>0</v>
      </c>
      <c r="AS83" s="127">
        <v>0</v>
      </c>
      <c r="AT83" s="127">
        <v>0</v>
      </c>
      <c r="AU83" s="127">
        <v>0</v>
      </c>
      <c r="AV83" s="127">
        <v>0</v>
      </c>
      <c r="AW83" s="127">
        <v>0</v>
      </c>
      <c r="AX83" s="127">
        <v>0</v>
      </c>
      <c r="AY83" s="127">
        <v>0</v>
      </c>
      <c r="AZ83" s="127">
        <v>0</v>
      </c>
      <c r="BA83" s="127">
        <v>0</v>
      </c>
      <c r="BB83" s="127">
        <v>0</v>
      </c>
      <c r="BC83" s="127">
        <v>0</v>
      </c>
      <c r="BD83" s="127">
        <v>0</v>
      </c>
      <c r="BE83" s="127">
        <v>0</v>
      </c>
      <c r="BF83" s="127">
        <v>0</v>
      </c>
      <c r="BG83" s="127">
        <v>0</v>
      </c>
      <c r="BH83" s="127">
        <v>0</v>
      </c>
      <c r="BI83" s="127">
        <v>0</v>
      </c>
      <c r="BJ83" s="127">
        <v>0</v>
      </c>
      <c r="BK83" s="127">
        <v>0</v>
      </c>
      <c r="BL83" s="127">
        <v>0</v>
      </c>
      <c r="BM83" s="127">
        <v>0</v>
      </c>
      <c r="BN83" s="127">
        <v>0</v>
      </c>
      <c r="BO83" s="127">
        <v>0</v>
      </c>
      <c r="BP83" s="127">
        <v>0</v>
      </c>
      <c r="BQ83" s="127">
        <v>0</v>
      </c>
      <c r="BR83" s="127">
        <v>0</v>
      </c>
      <c r="BS83" s="127">
        <v>0</v>
      </c>
      <c r="BT83" s="127">
        <v>0</v>
      </c>
      <c r="BU83" s="127">
        <v>0</v>
      </c>
      <c r="BV83" s="127">
        <v>0</v>
      </c>
      <c r="BW83" s="127">
        <v>0</v>
      </c>
      <c r="BX83" s="127">
        <v>0</v>
      </c>
      <c r="BY83" s="127">
        <v>0</v>
      </c>
      <c r="BZ83" s="127">
        <v>0</v>
      </c>
      <c r="CA83" s="127">
        <v>0</v>
      </c>
    </row>
    <row r="84" spans="1:79" ht="18" customHeight="1">
      <c r="A84" s="123">
        <v>41</v>
      </c>
      <c r="B84" s="123" t="str">
        <v>RM000074</v>
      </c>
      <c r="C84" s="123" t="str">
        <v>MG</v>
      </c>
      <c r="D84" s="123" t="str">
        <v>C39/Pre-Production</v>
      </c>
      <c r="E84" s="123" t="str">
        <v>Horsegram</v>
      </c>
      <c r="F84" s="124">
        <v>2952.65</v>
      </c>
      <c r="G84" s="124">
        <v>510</v>
      </c>
      <c r="H84" s="124">
        <v>-2442.65</v>
      </c>
      <c r="I84" s="125">
        <v>0.17272619511286472</v>
      </c>
      <c r="J84" s="123" t="str">
        <v>Low Fulfillment</v>
      </c>
      <c r="K84" s="123" t="str">
        <v>Critical shortfall &gt;=1,000 KG</v>
      </c>
      <c r="L84" s="126">
        <v>0</v>
      </c>
      <c r="M84" s="126">
        <v>0</v>
      </c>
      <c r="N84" s="126">
        <v>0</v>
      </c>
      <c r="O84" s="126">
        <v>0</v>
      </c>
      <c r="P84" s="126">
        <v>0</v>
      </c>
      <c r="Q84" s="126">
        <v>0</v>
      </c>
      <c r="R84" s="126">
        <v>0</v>
      </c>
      <c r="S84" s="126">
        <v>0</v>
      </c>
      <c r="T84" s="126">
        <v>0</v>
      </c>
      <c r="U84" s="126">
        <v>0</v>
      </c>
      <c r="V84" s="126">
        <v>0</v>
      </c>
      <c r="W84" s="126">
        <v>0</v>
      </c>
      <c r="X84" s="126">
        <v>0</v>
      </c>
      <c r="Y84" s="127">
        <v>0</v>
      </c>
      <c r="Z84" s="127">
        <v>0</v>
      </c>
      <c r="AA84" s="127">
        <v>0</v>
      </c>
      <c r="AB84" s="127">
        <v>0</v>
      </c>
      <c r="AC84" s="127">
        <v>0</v>
      </c>
      <c r="AD84" s="127">
        <v>0</v>
      </c>
      <c r="AE84" s="127">
        <v>0</v>
      </c>
      <c r="AF84" s="127">
        <v>0</v>
      </c>
      <c r="AG84" s="127">
        <v>0</v>
      </c>
      <c r="AH84" s="127">
        <v>0</v>
      </c>
      <c r="AI84" s="127">
        <v>0</v>
      </c>
      <c r="AJ84" s="127">
        <v>0</v>
      </c>
      <c r="AK84" s="127">
        <v>0</v>
      </c>
      <c r="AL84" s="127">
        <v>0</v>
      </c>
      <c r="AM84" s="127">
        <v>0</v>
      </c>
      <c r="AN84" s="127">
        <v>200</v>
      </c>
      <c r="AO84" s="127">
        <v>300</v>
      </c>
      <c r="AP84" s="127">
        <v>0</v>
      </c>
      <c r="AQ84" s="127">
        <v>0</v>
      </c>
      <c r="AR84" s="127">
        <v>0</v>
      </c>
      <c r="AS84" s="127">
        <v>0</v>
      </c>
      <c r="AT84" s="127">
        <v>0</v>
      </c>
      <c r="AU84" s="127">
        <v>0</v>
      </c>
      <c r="AV84" s="127">
        <v>0</v>
      </c>
      <c r="AW84" s="127">
        <v>0</v>
      </c>
      <c r="AX84" s="127">
        <v>0</v>
      </c>
      <c r="AY84" s="127">
        <v>0</v>
      </c>
      <c r="AZ84" s="127">
        <v>0</v>
      </c>
      <c r="BA84" s="127">
        <v>0</v>
      </c>
      <c r="BB84" s="127">
        <v>510</v>
      </c>
      <c r="BC84" s="127">
        <v>0</v>
      </c>
      <c r="BD84" s="127">
        <v>0</v>
      </c>
      <c r="BE84" s="127">
        <v>0</v>
      </c>
      <c r="BF84" s="127">
        <v>0</v>
      </c>
      <c r="BG84" s="127">
        <v>0</v>
      </c>
      <c r="BH84" s="127">
        <v>0</v>
      </c>
      <c r="BI84" s="127">
        <v>0</v>
      </c>
      <c r="BJ84" s="127">
        <v>0</v>
      </c>
      <c r="BK84" s="127">
        <v>0</v>
      </c>
      <c r="BL84" s="127">
        <v>0</v>
      </c>
      <c r="BM84" s="127">
        <v>0</v>
      </c>
      <c r="BN84" s="127">
        <v>0</v>
      </c>
      <c r="BO84" s="127">
        <v>0</v>
      </c>
      <c r="BP84" s="127">
        <v>0</v>
      </c>
      <c r="BQ84" s="127">
        <v>0</v>
      </c>
      <c r="BR84" s="127">
        <v>0</v>
      </c>
      <c r="BS84" s="127">
        <v>0</v>
      </c>
      <c r="BT84" s="127">
        <v>0</v>
      </c>
      <c r="BU84" s="127">
        <v>0</v>
      </c>
      <c r="BV84" s="127">
        <v>0</v>
      </c>
      <c r="BW84" s="127">
        <v>0</v>
      </c>
      <c r="BX84" s="127">
        <v>0</v>
      </c>
      <c r="BY84" s="127">
        <v>0</v>
      </c>
      <c r="BZ84" s="127">
        <v>0</v>
      </c>
      <c r="CA84" s="127">
        <v>0</v>
      </c>
    </row>
    <row r="85" spans="1:79" ht="18" customHeight="1">
      <c r="A85" s="123">
        <v>37</v>
      </c>
      <c r="B85" s="123" t="str">
        <v>RM000213</v>
      </c>
      <c r="C85" s="123" t="str">
        <v>MG</v>
      </c>
      <c r="D85" s="123" t="str">
        <v>C39/Pre-Production</v>
      </c>
      <c r="E85" s="123" t="str">
        <v>Flaxseed</v>
      </c>
      <c r="F85" s="124">
        <v>2938.28</v>
      </c>
      <c r="G85" s="124">
        <v>510</v>
      </c>
      <c r="H85" s="124">
        <v>-2428.2800000000002</v>
      </c>
      <c r="I85" s="125">
        <v>0.17357093265447812</v>
      </c>
      <c r="J85" s="123" t="str">
        <v>Low Fulfillment</v>
      </c>
      <c r="K85" s="123" t="str">
        <v>Critical shortfall &gt;=1,000 KG</v>
      </c>
      <c r="L85" s="126">
        <v>0</v>
      </c>
      <c r="M85" s="126">
        <v>0</v>
      </c>
      <c r="N85" s="126">
        <v>0</v>
      </c>
      <c r="O85" s="126">
        <v>0</v>
      </c>
      <c r="P85" s="126">
        <v>0</v>
      </c>
      <c r="Q85" s="126">
        <v>0</v>
      </c>
      <c r="R85" s="126">
        <v>0</v>
      </c>
      <c r="S85" s="126">
        <v>0</v>
      </c>
      <c r="T85" s="126">
        <v>0</v>
      </c>
      <c r="U85" s="126">
        <v>0</v>
      </c>
      <c r="V85" s="126">
        <v>0</v>
      </c>
      <c r="W85" s="126">
        <v>0</v>
      </c>
      <c r="X85" s="126">
        <v>0</v>
      </c>
      <c r="Y85" s="127">
        <v>0</v>
      </c>
      <c r="Z85" s="127">
        <v>0</v>
      </c>
      <c r="AA85" s="127">
        <v>0</v>
      </c>
      <c r="AB85" s="127">
        <v>0</v>
      </c>
      <c r="AC85" s="127">
        <v>0</v>
      </c>
      <c r="AD85" s="127">
        <v>0</v>
      </c>
      <c r="AE85" s="127">
        <v>0</v>
      </c>
      <c r="AF85" s="127">
        <v>0</v>
      </c>
      <c r="AG85" s="127">
        <v>0</v>
      </c>
      <c r="AH85" s="127">
        <v>0</v>
      </c>
      <c r="AI85" s="127">
        <v>0</v>
      </c>
      <c r="AJ85" s="127">
        <v>0</v>
      </c>
      <c r="AK85" s="127">
        <v>0</v>
      </c>
      <c r="AL85" s="127">
        <v>0</v>
      </c>
      <c r="AM85" s="127">
        <v>0</v>
      </c>
      <c r="AN85" s="127">
        <v>200</v>
      </c>
      <c r="AO85" s="127">
        <v>300</v>
      </c>
      <c r="AP85" s="127">
        <v>0</v>
      </c>
      <c r="AQ85" s="127">
        <v>0</v>
      </c>
      <c r="AR85" s="127">
        <v>0</v>
      </c>
      <c r="AS85" s="127">
        <v>0</v>
      </c>
      <c r="AT85" s="127">
        <v>0</v>
      </c>
      <c r="AU85" s="127">
        <v>0</v>
      </c>
      <c r="AV85" s="127">
        <v>0</v>
      </c>
      <c r="AW85" s="127">
        <v>0</v>
      </c>
      <c r="AX85" s="127">
        <v>0</v>
      </c>
      <c r="AY85" s="127">
        <v>0</v>
      </c>
      <c r="AZ85" s="127">
        <v>0</v>
      </c>
      <c r="BA85" s="127">
        <v>0</v>
      </c>
      <c r="BB85" s="127">
        <v>510</v>
      </c>
      <c r="BC85" s="127">
        <v>0</v>
      </c>
      <c r="BD85" s="127">
        <v>0</v>
      </c>
      <c r="BE85" s="127">
        <v>0</v>
      </c>
      <c r="BF85" s="127">
        <v>0</v>
      </c>
      <c r="BG85" s="127">
        <v>0</v>
      </c>
      <c r="BH85" s="127">
        <v>0</v>
      </c>
      <c r="BI85" s="127">
        <v>0</v>
      </c>
      <c r="BJ85" s="127">
        <v>0</v>
      </c>
      <c r="BK85" s="127">
        <v>0</v>
      </c>
      <c r="BL85" s="127">
        <v>0</v>
      </c>
      <c r="BM85" s="127">
        <v>0</v>
      </c>
      <c r="BN85" s="127">
        <v>0</v>
      </c>
      <c r="BO85" s="127">
        <v>0</v>
      </c>
      <c r="BP85" s="127">
        <v>0</v>
      </c>
      <c r="BQ85" s="127">
        <v>0</v>
      </c>
      <c r="BR85" s="127">
        <v>0</v>
      </c>
      <c r="BS85" s="127">
        <v>0</v>
      </c>
      <c r="BT85" s="127">
        <v>0</v>
      </c>
      <c r="BU85" s="127">
        <v>0</v>
      </c>
      <c r="BV85" s="127">
        <v>0</v>
      </c>
      <c r="BW85" s="127">
        <v>0</v>
      </c>
      <c r="BX85" s="127">
        <v>0</v>
      </c>
      <c r="BY85" s="127">
        <v>0</v>
      </c>
      <c r="BZ85" s="127">
        <v>0</v>
      </c>
      <c r="CA85" s="127">
        <v>0</v>
      </c>
    </row>
    <row r="86" spans="1:79" ht="18" customHeight="1">
      <c r="A86" s="123">
        <v>1</v>
      </c>
      <c r="B86" s="123" t="str">
        <v>RM000149</v>
      </c>
      <c r="C86" s="123" t="str">
        <v>Spices</v>
      </c>
      <c r="D86" s="123" t="str">
        <v>C39/Pre-Production</v>
      </c>
      <c r="E86" s="123" t="str">
        <v>Raw lakadong turmeric</v>
      </c>
      <c r="F86" s="124">
        <v>2215.2446</v>
      </c>
      <c r="G86" s="124">
        <v>0</v>
      </c>
      <c r="H86" s="124">
        <v>-2215.2446</v>
      </c>
      <c r="I86" s="125">
        <v>0</v>
      </c>
      <c r="J86" s="123" t="str">
        <v>Not Received</v>
      </c>
      <c r="K86" s="123" t="str">
        <v>No receipt</v>
      </c>
      <c r="L86" s="126">
        <v>0</v>
      </c>
      <c r="M86" s="126">
        <v>0</v>
      </c>
      <c r="N86" s="126">
        <v>0</v>
      </c>
      <c r="O86" s="126">
        <v>0</v>
      </c>
      <c r="P86" s="126">
        <v>0</v>
      </c>
      <c r="Q86" s="126">
        <v>0</v>
      </c>
      <c r="R86" s="126">
        <v>0</v>
      </c>
      <c r="S86" s="126">
        <v>0</v>
      </c>
      <c r="T86" s="126">
        <v>0</v>
      </c>
      <c r="U86" s="126">
        <v>0</v>
      </c>
      <c r="V86" s="126">
        <v>0</v>
      </c>
      <c r="W86" s="126">
        <v>0</v>
      </c>
      <c r="X86" s="126">
        <v>0</v>
      </c>
      <c r="Y86" s="127">
        <v>0</v>
      </c>
      <c r="Z86" s="127">
        <v>0</v>
      </c>
      <c r="AA86" s="127">
        <v>0</v>
      </c>
      <c r="AB86" s="127">
        <v>0</v>
      </c>
      <c r="AC86" s="127">
        <v>0</v>
      </c>
      <c r="AD86" s="127">
        <v>0</v>
      </c>
      <c r="AE86" s="127">
        <v>0</v>
      </c>
      <c r="AF86" s="127">
        <v>0</v>
      </c>
      <c r="AG86" s="127">
        <v>0</v>
      </c>
      <c r="AH86" s="127">
        <v>0</v>
      </c>
      <c r="AI86" s="127">
        <v>0</v>
      </c>
      <c r="AJ86" s="127">
        <v>0</v>
      </c>
      <c r="AK86" s="127">
        <v>0</v>
      </c>
      <c r="AL86" s="127">
        <v>50</v>
      </c>
      <c r="AM86" s="127">
        <v>0</v>
      </c>
      <c r="AN86" s="127">
        <v>0</v>
      </c>
      <c r="AO86" s="127">
        <v>0</v>
      </c>
      <c r="AP86" s="127">
        <v>0</v>
      </c>
      <c r="AQ86" s="127">
        <v>0</v>
      </c>
      <c r="AR86" s="127">
        <v>0</v>
      </c>
      <c r="AS86" s="127">
        <v>0</v>
      </c>
      <c r="AT86" s="127">
        <v>0</v>
      </c>
      <c r="AU86" s="127">
        <v>0</v>
      </c>
      <c r="AV86" s="127">
        <v>500</v>
      </c>
      <c r="AW86" s="127">
        <v>0</v>
      </c>
      <c r="AX86" s="127">
        <v>0</v>
      </c>
      <c r="AY86" s="127">
        <v>0</v>
      </c>
      <c r="AZ86" s="127">
        <v>0</v>
      </c>
      <c r="BA86" s="127">
        <v>0</v>
      </c>
      <c r="BB86" s="127">
        <v>0</v>
      </c>
      <c r="BC86" s="127">
        <v>0</v>
      </c>
      <c r="BD86" s="127">
        <v>0</v>
      </c>
      <c r="BE86" s="127">
        <v>0</v>
      </c>
      <c r="BF86" s="127">
        <v>0</v>
      </c>
      <c r="BG86" s="127">
        <v>0</v>
      </c>
      <c r="BH86" s="127">
        <v>0</v>
      </c>
      <c r="BI86" s="127">
        <v>0</v>
      </c>
      <c r="BJ86" s="127">
        <v>0</v>
      </c>
      <c r="BK86" s="127">
        <v>0</v>
      </c>
      <c r="BL86" s="127">
        <v>0</v>
      </c>
      <c r="BM86" s="127">
        <v>0</v>
      </c>
      <c r="BN86" s="127">
        <v>0</v>
      </c>
      <c r="BO86" s="127">
        <v>0</v>
      </c>
      <c r="BP86" s="127">
        <v>0</v>
      </c>
      <c r="BQ86" s="127">
        <v>0</v>
      </c>
      <c r="BR86" s="127">
        <v>0</v>
      </c>
      <c r="BS86" s="127">
        <v>0</v>
      </c>
      <c r="BT86" s="127">
        <v>0</v>
      </c>
      <c r="BU86" s="127">
        <v>0</v>
      </c>
      <c r="BV86" s="127">
        <v>0</v>
      </c>
      <c r="BW86" s="127">
        <v>0</v>
      </c>
      <c r="BX86" s="127">
        <v>0</v>
      </c>
      <c r="BY86" s="127">
        <v>0</v>
      </c>
      <c r="BZ86" s="127">
        <v>0</v>
      </c>
      <c r="CA86" s="127">
        <v>0</v>
      </c>
    </row>
    <row r="87" spans="1:79" ht="18" customHeight="1">
      <c r="A87" s="123">
        <v>51</v>
      </c>
      <c r="B87" s="123" t="str">
        <v>RM000149</v>
      </c>
      <c r="C87" s="123" t="str">
        <v>GMP</v>
      </c>
      <c r="D87" s="123" t="str">
        <v>C39/Pre-Production</v>
      </c>
      <c r="E87" s="123" t="str">
        <v>Raw lakadong turmeric</v>
      </c>
      <c r="F87" s="124">
        <v>2215.2446</v>
      </c>
      <c r="G87" s="124">
        <v>0</v>
      </c>
      <c r="H87" s="124">
        <v>-2215.2446</v>
      </c>
      <c r="I87" s="125">
        <v>0</v>
      </c>
      <c r="J87" s="123" t="str">
        <v>Not Received</v>
      </c>
      <c r="K87" s="123" t="str">
        <v>No receipt</v>
      </c>
      <c r="L87" s="126">
        <v>0</v>
      </c>
      <c r="M87" s="126">
        <v>0</v>
      </c>
      <c r="N87" s="126">
        <v>0</v>
      </c>
      <c r="O87" s="126">
        <v>0</v>
      </c>
      <c r="P87" s="126">
        <v>0</v>
      </c>
      <c r="Q87" s="126">
        <v>0</v>
      </c>
      <c r="R87" s="126">
        <v>0</v>
      </c>
      <c r="S87" s="126">
        <v>0</v>
      </c>
      <c r="T87" s="126">
        <v>0</v>
      </c>
      <c r="U87" s="126">
        <v>0</v>
      </c>
      <c r="V87" s="126">
        <v>0</v>
      </c>
      <c r="W87" s="126">
        <v>0</v>
      </c>
      <c r="X87" s="126">
        <v>0</v>
      </c>
      <c r="Y87" s="127">
        <v>0</v>
      </c>
      <c r="Z87" s="127">
        <v>0</v>
      </c>
      <c r="AA87" s="127">
        <v>0</v>
      </c>
      <c r="AB87" s="127">
        <v>0</v>
      </c>
      <c r="AC87" s="127">
        <v>0</v>
      </c>
      <c r="AD87" s="127">
        <v>0</v>
      </c>
      <c r="AE87" s="127">
        <v>0</v>
      </c>
      <c r="AF87" s="127">
        <v>0</v>
      </c>
      <c r="AG87" s="127">
        <v>0</v>
      </c>
      <c r="AH87" s="127">
        <v>0</v>
      </c>
      <c r="AI87" s="127">
        <v>0</v>
      </c>
      <c r="AJ87" s="127">
        <v>0</v>
      </c>
      <c r="AK87" s="127">
        <v>0</v>
      </c>
      <c r="AL87" s="127">
        <v>0</v>
      </c>
      <c r="AM87" s="127">
        <v>0</v>
      </c>
      <c r="AN87" s="127">
        <v>0</v>
      </c>
      <c r="AO87" s="127">
        <v>0</v>
      </c>
      <c r="AP87" s="127">
        <v>0</v>
      </c>
      <c r="AQ87" s="127">
        <v>0</v>
      </c>
      <c r="AR87" s="127">
        <v>0</v>
      </c>
      <c r="AS87" s="127">
        <v>0</v>
      </c>
      <c r="AT87" s="127">
        <v>0</v>
      </c>
      <c r="AU87" s="127">
        <v>0</v>
      </c>
      <c r="AV87" s="127">
        <v>0</v>
      </c>
      <c r="AW87" s="127">
        <v>0</v>
      </c>
      <c r="AX87" s="127">
        <v>0</v>
      </c>
      <c r="AY87" s="127">
        <v>0</v>
      </c>
      <c r="AZ87" s="127">
        <v>0</v>
      </c>
      <c r="BA87" s="127">
        <v>0</v>
      </c>
      <c r="BB87" s="127">
        <v>0</v>
      </c>
      <c r="BC87" s="127">
        <v>0</v>
      </c>
      <c r="BD87" s="127">
        <v>0</v>
      </c>
      <c r="BE87" s="127">
        <v>0</v>
      </c>
      <c r="BF87" s="127">
        <v>0</v>
      </c>
      <c r="BG87" s="127">
        <v>0</v>
      </c>
      <c r="BH87" s="127">
        <v>0</v>
      </c>
      <c r="BI87" s="127">
        <v>0</v>
      </c>
      <c r="BJ87" s="127">
        <v>0</v>
      </c>
      <c r="BK87" s="127">
        <v>0</v>
      </c>
      <c r="BL87" s="127">
        <v>0</v>
      </c>
      <c r="BM87" s="127">
        <v>0</v>
      </c>
      <c r="BN87" s="127">
        <v>0</v>
      </c>
      <c r="BO87" s="127">
        <v>0</v>
      </c>
      <c r="BP87" s="127">
        <v>0</v>
      </c>
      <c r="BQ87" s="127">
        <v>0</v>
      </c>
      <c r="BR87" s="127">
        <v>0</v>
      </c>
      <c r="BS87" s="127">
        <v>0</v>
      </c>
      <c r="BT87" s="127">
        <v>0</v>
      </c>
      <c r="BU87" s="127">
        <v>0</v>
      </c>
      <c r="BV87" s="127">
        <v>0</v>
      </c>
      <c r="BW87" s="127">
        <v>0</v>
      </c>
      <c r="BX87" s="127">
        <v>0</v>
      </c>
      <c r="BY87" s="127">
        <v>0</v>
      </c>
      <c r="BZ87" s="127">
        <v>0</v>
      </c>
      <c r="CA87" s="127">
        <v>0</v>
      </c>
    </row>
    <row r="88" spans="1:79" ht="18" customHeight="1">
      <c r="A88" s="123">
        <v>32</v>
      </c>
      <c r="B88" s="123" t="str">
        <v>RM000167</v>
      </c>
      <c r="C88" s="123" t="str">
        <v>Oil</v>
      </c>
      <c r="D88" s="123" t="str">
        <v>MIND/Pre-Production</v>
      </c>
      <c r="E88" s="123" t="str">
        <v>Raw Sunflower Oil</v>
      </c>
      <c r="F88" s="124">
        <v>1471.6320000000001</v>
      </c>
      <c r="G88" s="124">
        <v>0</v>
      </c>
      <c r="H88" s="124">
        <v>-1471.6320000000001</v>
      </c>
      <c r="I88" s="125">
        <v>0</v>
      </c>
      <c r="J88" s="123" t="str">
        <v>Not Received</v>
      </c>
      <c r="K88" s="123" t="str">
        <v>No receipt</v>
      </c>
      <c r="L88" s="126">
        <v>0</v>
      </c>
      <c r="M88" s="126">
        <v>0</v>
      </c>
      <c r="N88" s="126">
        <v>0</v>
      </c>
      <c r="O88" s="126">
        <v>0</v>
      </c>
      <c r="P88" s="126">
        <v>0</v>
      </c>
      <c r="Q88" s="126">
        <v>0</v>
      </c>
      <c r="R88" s="126">
        <v>0</v>
      </c>
      <c r="S88" s="126">
        <v>0</v>
      </c>
      <c r="T88" s="126">
        <v>0</v>
      </c>
      <c r="U88" s="126">
        <v>0</v>
      </c>
      <c r="V88" s="126">
        <v>3000</v>
      </c>
      <c r="W88" s="126">
        <v>0</v>
      </c>
      <c r="X88" s="126">
        <v>0</v>
      </c>
      <c r="Y88" s="127">
        <v>0</v>
      </c>
      <c r="Z88" s="127">
        <v>0</v>
      </c>
      <c r="AA88" s="127">
        <v>1920</v>
      </c>
      <c r="AB88" s="127">
        <v>0</v>
      </c>
      <c r="AC88" s="127">
        <v>0</v>
      </c>
      <c r="AD88" s="127">
        <v>0</v>
      </c>
      <c r="AE88" s="127">
        <v>0</v>
      </c>
      <c r="AF88" s="127">
        <v>0</v>
      </c>
      <c r="AG88" s="127">
        <v>0</v>
      </c>
      <c r="AH88" s="127">
        <v>2020</v>
      </c>
      <c r="AI88" s="127">
        <v>0</v>
      </c>
      <c r="AJ88" s="127">
        <v>0</v>
      </c>
      <c r="AK88" s="127">
        <v>0</v>
      </c>
      <c r="AL88" s="127">
        <v>0</v>
      </c>
      <c r="AM88" s="127">
        <v>0</v>
      </c>
      <c r="AN88" s="127">
        <v>3000</v>
      </c>
      <c r="AO88" s="127">
        <v>0</v>
      </c>
      <c r="AP88" s="127">
        <v>0</v>
      </c>
      <c r="AQ88" s="127">
        <v>0</v>
      </c>
      <c r="AR88" s="127">
        <v>0</v>
      </c>
      <c r="AS88" s="127">
        <v>0</v>
      </c>
      <c r="AT88" s="127">
        <v>0</v>
      </c>
      <c r="AU88" s="127">
        <v>0</v>
      </c>
      <c r="AV88" s="127">
        <v>0</v>
      </c>
      <c r="AW88" s="127">
        <v>0</v>
      </c>
      <c r="AX88" s="127">
        <v>0</v>
      </c>
      <c r="AY88" s="127">
        <v>0</v>
      </c>
      <c r="AZ88" s="127">
        <v>0</v>
      </c>
      <c r="BA88" s="127">
        <v>0</v>
      </c>
      <c r="BB88" s="127">
        <v>0</v>
      </c>
      <c r="BC88" s="127">
        <v>0</v>
      </c>
      <c r="BD88" s="127">
        <v>0</v>
      </c>
      <c r="BE88" s="127">
        <v>0</v>
      </c>
      <c r="BF88" s="127">
        <v>0</v>
      </c>
      <c r="BG88" s="127">
        <v>0</v>
      </c>
      <c r="BH88" s="127">
        <v>0</v>
      </c>
      <c r="BI88" s="127">
        <v>0</v>
      </c>
      <c r="BJ88" s="127">
        <v>0</v>
      </c>
      <c r="BK88" s="127">
        <v>0</v>
      </c>
      <c r="BL88" s="127">
        <v>0</v>
      </c>
      <c r="BM88" s="127">
        <v>0</v>
      </c>
      <c r="BN88" s="127">
        <v>0</v>
      </c>
      <c r="BO88" s="127">
        <v>0</v>
      </c>
      <c r="BP88" s="127">
        <v>0</v>
      </c>
      <c r="BQ88" s="127">
        <v>0</v>
      </c>
      <c r="BR88" s="127">
        <v>0</v>
      </c>
      <c r="BS88" s="127">
        <v>0</v>
      </c>
      <c r="BT88" s="127">
        <v>0</v>
      </c>
      <c r="BU88" s="127">
        <v>0</v>
      </c>
      <c r="BV88" s="127">
        <v>0</v>
      </c>
      <c r="BW88" s="127">
        <v>0</v>
      </c>
      <c r="BX88" s="127">
        <v>0</v>
      </c>
      <c r="BY88" s="127">
        <v>0</v>
      </c>
      <c r="BZ88" s="127">
        <v>0</v>
      </c>
      <c r="CA88" s="127">
        <v>0</v>
      </c>
    </row>
    <row r="89" spans="1:79" ht="18" customHeight="1">
      <c r="A89" s="123">
        <v>35</v>
      </c>
      <c r="B89" s="123" t="str">
        <v>RM000197</v>
      </c>
      <c r="C89" s="123" t="str">
        <v>Oil</v>
      </c>
      <c r="D89" s="123" t="str">
        <v>MIND/Pre-Production</v>
      </c>
      <c r="E89" s="123" t="str">
        <v>VCO</v>
      </c>
      <c r="F89" s="124">
        <v>1000</v>
      </c>
      <c r="G89" s="124">
        <v>0</v>
      </c>
      <c r="H89" s="124">
        <v>-1000</v>
      </c>
      <c r="I89" s="125">
        <v>0</v>
      </c>
      <c r="J89" s="123" t="str">
        <v>Not Received</v>
      </c>
      <c r="K89" s="123" t="str">
        <v>No receipt</v>
      </c>
      <c r="L89" s="126">
        <v>0</v>
      </c>
      <c r="M89" s="126">
        <v>0</v>
      </c>
      <c r="N89" s="126">
        <v>0</v>
      </c>
      <c r="O89" s="126">
        <v>0</v>
      </c>
      <c r="P89" s="126">
        <v>0</v>
      </c>
      <c r="Q89" s="126">
        <v>0</v>
      </c>
      <c r="R89" s="126">
        <v>0</v>
      </c>
      <c r="S89" s="126">
        <v>0</v>
      </c>
      <c r="T89" s="126">
        <v>0</v>
      </c>
      <c r="U89" s="126">
        <v>0</v>
      </c>
      <c r="V89" s="126">
        <v>0</v>
      </c>
      <c r="W89" s="126">
        <v>0</v>
      </c>
      <c r="X89" s="126">
        <v>0</v>
      </c>
      <c r="Y89" s="127">
        <v>0</v>
      </c>
      <c r="Z89" s="127">
        <v>0</v>
      </c>
      <c r="AA89" s="127">
        <v>0</v>
      </c>
      <c r="AB89" s="127">
        <v>0</v>
      </c>
      <c r="AC89" s="127">
        <v>0</v>
      </c>
      <c r="AD89" s="127">
        <v>0</v>
      </c>
      <c r="AE89" s="127">
        <v>0</v>
      </c>
      <c r="AF89" s="127">
        <v>0</v>
      </c>
      <c r="AG89" s="127">
        <v>0</v>
      </c>
      <c r="AH89" s="127">
        <v>0</v>
      </c>
      <c r="AI89" s="127">
        <v>0</v>
      </c>
      <c r="AJ89" s="127">
        <v>0</v>
      </c>
      <c r="AK89" s="127">
        <v>0</v>
      </c>
      <c r="AL89" s="127">
        <v>0</v>
      </c>
      <c r="AM89" s="127">
        <v>0</v>
      </c>
      <c r="AN89" s="127">
        <v>0</v>
      </c>
      <c r="AO89" s="127">
        <v>0</v>
      </c>
      <c r="AP89" s="127">
        <v>0</v>
      </c>
      <c r="AQ89" s="127">
        <v>0</v>
      </c>
      <c r="AR89" s="127">
        <v>0</v>
      </c>
      <c r="AS89" s="127">
        <v>0</v>
      </c>
      <c r="AT89" s="127">
        <v>0</v>
      </c>
      <c r="AU89" s="127">
        <v>0</v>
      </c>
      <c r="AV89" s="127">
        <v>0</v>
      </c>
      <c r="AW89" s="127">
        <v>0</v>
      </c>
      <c r="AX89" s="127">
        <v>0</v>
      </c>
      <c r="AY89" s="127">
        <v>0</v>
      </c>
      <c r="AZ89" s="127">
        <v>0</v>
      </c>
      <c r="BA89" s="127">
        <v>0</v>
      </c>
      <c r="BB89" s="127">
        <v>0</v>
      </c>
      <c r="BC89" s="127">
        <v>0</v>
      </c>
      <c r="BD89" s="127">
        <v>0</v>
      </c>
      <c r="BE89" s="127">
        <v>0</v>
      </c>
      <c r="BF89" s="127">
        <v>0</v>
      </c>
      <c r="BG89" s="127">
        <v>0</v>
      </c>
      <c r="BH89" s="127">
        <v>0</v>
      </c>
      <c r="BI89" s="127">
        <v>0</v>
      </c>
      <c r="BJ89" s="127">
        <v>0</v>
      </c>
      <c r="BK89" s="127">
        <v>0</v>
      </c>
      <c r="BL89" s="127">
        <v>0</v>
      </c>
      <c r="BM89" s="127">
        <v>0</v>
      </c>
      <c r="BN89" s="127">
        <v>0</v>
      </c>
      <c r="BO89" s="127">
        <v>0</v>
      </c>
      <c r="BP89" s="127">
        <v>0</v>
      </c>
      <c r="BQ89" s="127">
        <v>0</v>
      </c>
      <c r="BR89" s="127">
        <v>0</v>
      </c>
      <c r="BS89" s="127">
        <v>0</v>
      </c>
      <c r="BT89" s="127">
        <v>0</v>
      </c>
      <c r="BU89" s="127">
        <v>0</v>
      </c>
      <c r="BV89" s="127">
        <v>0</v>
      </c>
      <c r="BW89" s="127">
        <v>0</v>
      </c>
      <c r="BX89" s="127">
        <v>0</v>
      </c>
      <c r="BY89" s="127">
        <v>0</v>
      </c>
      <c r="BZ89" s="127">
        <v>0</v>
      </c>
      <c r="CA89" s="127">
        <v>0</v>
      </c>
    </row>
    <row r="90" spans="1:79" ht="18" customHeight="1">
      <c r="A90" s="123">
        <v>9</v>
      </c>
      <c r="B90" s="123" t="str">
        <v>RM000076</v>
      </c>
      <c r="C90" s="123" t="str">
        <v>Raw Agri</v>
      </c>
      <c r="D90" s="123" t="str">
        <v>MIND/Pre-Production</v>
      </c>
      <c r="E90" s="123" t="str">
        <v>Indrayani rice</v>
      </c>
      <c r="F90" s="124">
        <v>860.65</v>
      </c>
      <c r="G90" s="124">
        <v>0</v>
      </c>
      <c r="H90" s="124">
        <v>-860.65</v>
      </c>
      <c r="I90" s="125">
        <v>0</v>
      </c>
      <c r="J90" s="123" t="str">
        <v>Not Received</v>
      </c>
      <c r="K90" s="123" t="str">
        <v>No receipt</v>
      </c>
      <c r="L90" s="126">
        <v>0</v>
      </c>
      <c r="M90" s="126">
        <v>0</v>
      </c>
      <c r="N90" s="126">
        <v>0</v>
      </c>
      <c r="O90" s="126">
        <v>0</v>
      </c>
      <c r="P90" s="126">
        <v>0</v>
      </c>
      <c r="Q90" s="126">
        <v>0</v>
      </c>
      <c r="R90" s="126">
        <v>0</v>
      </c>
      <c r="S90" s="126">
        <v>0</v>
      </c>
      <c r="T90" s="126">
        <v>0</v>
      </c>
      <c r="U90" s="126">
        <v>0</v>
      </c>
      <c r="V90" s="126">
        <v>0</v>
      </c>
      <c r="W90" s="126">
        <v>0</v>
      </c>
      <c r="X90" s="126">
        <v>0</v>
      </c>
      <c r="Y90" s="127">
        <v>0</v>
      </c>
      <c r="Z90" s="127">
        <v>0</v>
      </c>
      <c r="AA90" s="127">
        <v>0</v>
      </c>
      <c r="AB90" s="127">
        <v>0</v>
      </c>
      <c r="AC90" s="127">
        <v>0</v>
      </c>
      <c r="AD90" s="127">
        <v>0</v>
      </c>
      <c r="AE90" s="127">
        <v>0</v>
      </c>
      <c r="AF90" s="127">
        <v>0</v>
      </c>
      <c r="AG90" s="127">
        <v>0</v>
      </c>
      <c r="AH90" s="127">
        <v>0</v>
      </c>
      <c r="AI90" s="127">
        <v>0</v>
      </c>
      <c r="AJ90" s="127">
        <v>0</v>
      </c>
      <c r="AK90" s="127">
        <v>0</v>
      </c>
      <c r="AL90" s="127">
        <v>0</v>
      </c>
      <c r="AM90" s="127">
        <v>0</v>
      </c>
      <c r="AN90" s="127">
        <v>0</v>
      </c>
      <c r="AO90" s="127">
        <v>0</v>
      </c>
      <c r="AP90" s="127">
        <v>0</v>
      </c>
      <c r="AQ90" s="127">
        <v>0</v>
      </c>
      <c r="AR90" s="127">
        <v>0</v>
      </c>
      <c r="AS90" s="127">
        <v>0</v>
      </c>
      <c r="AT90" s="127">
        <v>0</v>
      </c>
      <c r="AU90" s="127">
        <v>0</v>
      </c>
      <c r="AV90" s="127">
        <v>0</v>
      </c>
      <c r="AW90" s="127">
        <v>0</v>
      </c>
      <c r="AX90" s="127">
        <v>0</v>
      </c>
      <c r="AY90" s="127">
        <v>0</v>
      </c>
      <c r="AZ90" s="127">
        <v>0</v>
      </c>
      <c r="BA90" s="127">
        <v>0</v>
      </c>
      <c r="BB90" s="127">
        <v>0</v>
      </c>
      <c r="BC90" s="127">
        <v>0</v>
      </c>
      <c r="BD90" s="127">
        <v>0</v>
      </c>
      <c r="BE90" s="127">
        <v>0</v>
      </c>
      <c r="BF90" s="127">
        <v>0</v>
      </c>
      <c r="BG90" s="127">
        <v>0</v>
      </c>
      <c r="BH90" s="127">
        <v>0</v>
      </c>
      <c r="BI90" s="127">
        <v>0</v>
      </c>
      <c r="BJ90" s="127">
        <v>0</v>
      </c>
      <c r="BK90" s="127">
        <v>0</v>
      </c>
      <c r="BL90" s="127">
        <v>0</v>
      </c>
      <c r="BM90" s="127">
        <v>0</v>
      </c>
      <c r="BN90" s="127">
        <v>0</v>
      </c>
      <c r="BO90" s="127">
        <v>0</v>
      </c>
      <c r="BP90" s="127">
        <v>0</v>
      </c>
      <c r="BQ90" s="127">
        <v>0</v>
      </c>
      <c r="BR90" s="127">
        <v>0</v>
      </c>
      <c r="BS90" s="127">
        <v>0</v>
      </c>
      <c r="BT90" s="127">
        <v>0</v>
      </c>
      <c r="BU90" s="127">
        <v>0</v>
      </c>
      <c r="BV90" s="127">
        <v>0</v>
      </c>
      <c r="BW90" s="127">
        <v>0</v>
      </c>
      <c r="BX90" s="127">
        <v>0</v>
      </c>
      <c r="BY90" s="127">
        <v>0</v>
      </c>
      <c r="BZ90" s="127">
        <v>0</v>
      </c>
      <c r="CA90" s="127">
        <v>0</v>
      </c>
    </row>
    <row r="91" spans="1:79" ht="18" customHeight="1">
      <c r="A91" s="123">
        <v>8</v>
      </c>
      <c r="B91" s="123" t="str">
        <v>RM000172</v>
      </c>
      <c r="C91" s="123" t="str">
        <v>Raw Agri</v>
      </c>
      <c r="D91" s="123" t="str">
        <v>MIND/Pre-Production</v>
      </c>
      <c r="E91" s="123" t="str">
        <v>Raw waghaya peanut</v>
      </c>
      <c r="F91" s="124">
        <v>800.63</v>
      </c>
      <c r="G91" s="124">
        <v>0</v>
      </c>
      <c r="H91" s="124">
        <v>-800.63</v>
      </c>
      <c r="I91" s="125">
        <v>0</v>
      </c>
      <c r="J91" s="123" t="str">
        <v>Not Received</v>
      </c>
      <c r="K91" s="123" t="str">
        <v>No receipt</v>
      </c>
      <c r="L91" s="126">
        <v>0</v>
      </c>
      <c r="M91" s="126">
        <v>0</v>
      </c>
      <c r="N91" s="126">
        <v>0</v>
      </c>
      <c r="O91" s="126">
        <v>0</v>
      </c>
      <c r="P91" s="126">
        <v>0</v>
      </c>
      <c r="Q91" s="126">
        <v>0</v>
      </c>
      <c r="R91" s="126">
        <v>0</v>
      </c>
      <c r="S91" s="126">
        <v>0</v>
      </c>
      <c r="T91" s="126">
        <v>0</v>
      </c>
      <c r="U91" s="126">
        <v>0</v>
      </c>
      <c r="V91" s="126">
        <v>0</v>
      </c>
      <c r="W91" s="126">
        <v>0</v>
      </c>
      <c r="X91" s="126">
        <v>0</v>
      </c>
      <c r="Y91" s="127">
        <v>0</v>
      </c>
      <c r="Z91" s="127">
        <v>0</v>
      </c>
      <c r="AA91" s="127">
        <v>0</v>
      </c>
      <c r="AB91" s="127">
        <v>0</v>
      </c>
      <c r="AC91" s="127">
        <v>0</v>
      </c>
      <c r="AD91" s="127">
        <v>0</v>
      </c>
      <c r="AE91" s="127">
        <v>0</v>
      </c>
      <c r="AF91" s="127">
        <v>0</v>
      </c>
      <c r="AG91" s="127">
        <v>0</v>
      </c>
      <c r="AH91" s="127">
        <v>0</v>
      </c>
      <c r="AI91" s="127">
        <v>0</v>
      </c>
      <c r="AJ91" s="127">
        <v>0</v>
      </c>
      <c r="AK91" s="127">
        <v>0</v>
      </c>
      <c r="AL91" s="127">
        <v>0</v>
      </c>
      <c r="AM91" s="127">
        <v>0</v>
      </c>
      <c r="AN91" s="127">
        <v>0</v>
      </c>
      <c r="AO91" s="127">
        <v>0</v>
      </c>
      <c r="AP91" s="127">
        <v>0</v>
      </c>
      <c r="AQ91" s="127">
        <v>0</v>
      </c>
      <c r="AR91" s="127">
        <v>0</v>
      </c>
      <c r="AS91" s="127">
        <v>0</v>
      </c>
      <c r="AT91" s="127">
        <v>0</v>
      </c>
      <c r="AU91" s="127">
        <v>0</v>
      </c>
      <c r="AV91" s="127">
        <v>0</v>
      </c>
      <c r="AW91" s="127">
        <v>0</v>
      </c>
      <c r="AX91" s="127">
        <v>0</v>
      </c>
      <c r="AY91" s="127">
        <v>0</v>
      </c>
      <c r="AZ91" s="127">
        <v>0</v>
      </c>
      <c r="BA91" s="127">
        <v>0</v>
      </c>
      <c r="BB91" s="127">
        <v>0</v>
      </c>
      <c r="BC91" s="127">
        <v>0</v>
      </c>
      <c r="BD91" s="127">
        <v>0</v>
      </c>
      <c r="BE91" s="127">
        <v>0</v>
      </c>
      <c r="BF91" s="127">
        <v>0</v>
      </c>
      <c r="BG91" s="127">
        <v>0</v>
      </c>
      <c r="BH91" s="127">
        <v>0</v>
      </c>
      <c r="BI91" s="127">
        <v>0</v>
      </c>
      <c r="BJ91" s="127">
        <v>0</v>
      </c>
      <c r="BK91" s="127">
        <v>0</v>
      </c>
      <c r="BL91" s="127">
        <v>0</v>
      </c>
      <c r="BM91" s="127">
        <v>0</v>
      </c>
      <c r="BN91" s="127">
        <v>0</v>
      </c>
      <c r="BO91" s="127">
        <v>0</v>
      </c>
      <c r="BP91" s="127">
        <v>0</v>
      </c>
      <c r="BQ91" s="127">
        <v>0</v>
      </c>
      <c r="BR91" s="127">
        <v>0</v>
      </c>
      <c r="BS91" s="127">
        <v>0</v>
      </c>
      <c r="BT91" s="127">
        <v>0</v>
      </c>
      <c r="BU91" s="127">
        <v>0</v>
      </c>
      <c r="BV91" s="127">
        <v>0</v>
      </c>
      <c r="BW91" s="127">
        <v>0</v>
      </c>
      <c r="BX91" s="127">
        <v>0</v>
      </c>
      <c r="BY91" s="127">
        <v>0</v>
      </c>
      <c r="BZ91" s="127">
        <v>0</v>
      </c>
      <c r="CA91" s="127">
        <v>0</v>
      </c>
    </row>
    <row r="92" spans="1:79" ht="18" customHeight="1">
      <c r="A92" s="123">
        <v>48</v>
      </c>
      <c r="B92" s="123" t="str">
        <v>RM000151</v>
      </c>
      <c r="C92" s="123" t="str">
        <v>Honey</v>
      </c>
      <c r="D92" s="123" t="str">
        <v>C39/Pre-Production</v>
      </c>
      <c r="E92" s="123" t="str">
        <v>Raw multiflora forest honey</v>
      </c>
      <c r="F92" s="124">
        <v>2786.48</v>
      </c>
      <c r="G92" s="124">
        <v>2000</v>
      </c>
      <c r="H92" s="124">
        <v>-786.48</v>
      </c>
      <c r="I92" s="125">
        <v>0.71775142832534233</v>
      </c>
      <c r="J92" s="123" t="str">
        <v>Partial Fulfillment</v>
      </c>
      <c r="K92" s="123" t="str">
        <v>Negative pending (shortfall)</v>
      </c>
      <c r="L92" s="126">
        <v>0</v>
      </c>
      <c r="M92" s="126">
        <v>0</v>
      </c>
      <c r="N92" s="126">
        <v>0</v>
      </c>
      <c r="O92" s="126">
        <v>600</v>
      </c>
      <c r="P92" s="126">
        <v>0</v>
      </c>
      <c r="Q92" s="126">
        <v>0</v>
      </c>
      <c r="R92" s="126">
        <v>0</v>
      </c>
      <c r="S92" s="126">
        <v>0</v>
      </c>
      <c r="T92" s="126">
        <v>0</v>
      </c>
      <c r="U92" s="126">
        <v>0</v>
      </c>
      <c r="V92" s="126">
        <v>1000</v>
      </c>
      <c r="W92" s="126">
        <v>0</v>
      </c>
      <c r="X92" s="126">
        <v>0</v>
      </c>
      <c r="Y92" s="127">
        <v>0</v>
      </c>
      <c r="Z92" s="127">
        <v>0</v>
      </c>
      <c r="AA92" s="127">
        <v>0</v>
      </c>
      <c r="AB92" s="127">
        <v>0</v>
      </c>
      <c r="AC92" s="127">
        <v>0</v>
      </c>
      <c r="AD92" s="127">
        <v>0</v>
      </c>
      <c r="AE92" s="127">
        <v>0</v>
      </c>
      <c r="AF92" s="127">
        <v>0</v>
      </c>
      <c r="AG92" s="127">
        <v>0</v>
      </c>
      <c r="AH92" s="127">
        <v>0</v>
      </c>
      <c r="AI92" s="127">
        <v>0</v>
      </c>
      <c r="AJ92" s="127">
        <v>0</v>
      </c>
      <c r="AK92" s="127">
        <v>0</v>
      </c>
      <c r="AL92" s="127">
        <v>0</v>
      </c>
      <c r="AM92" s="127">
        <v>0</v>
      </c>
      <c r="AN92" s="127">
        <v>0</v>
      </c>
      <c r="AO92" s="127">
        <v>0</v>
      </c>
      <c r="AP92" s="127">
        <v>0</v>
      </c>
      <c r="AQ92" s="127">
        <v>0</v>
      </c>
      <c r="AR92" s="127">
        <v>0</v>
      </c>
      <c r="AS92" s="127">
        <v>0</v>
      </c>
      <c r="AT92" s="127">
        <v>0</v>
      </c>
      <c r="AU92" s="127">
        <v>1560</v>
      </c>
      <c r="AV92" s="127">
        <v>0</v>
      </c>
      <c r="AW92" s="127">
        <v>0</v>
      </c>
      <c r="AX92" s="127">
        <v>0</v>
      </c>
      <c r="AY92" s="127">
        <v>0</v>
      </c>
      <c r="AZ92" s="127">
        <v>0</v>
      </c>
      <c r="BA92" s="127">
        <v>0</v>
      </c>
      <c r="BB92" s="127">
        <v>2000</v>
      </c>
      <c r="BC92" s="127">
        <v>0</v>
      </c>
      <c r="BD92" s="127">
        <v>0</v>
      </c>
      <c r="BE92" s="127">
        <v>0</v>
      </c>
      <c r="BF92" s="127">
        <v>0</v>
      </c>
      <c r="BG92" s="127">
        <v>0</v>
      </c>
      <c r="BH92" s="127">
        <v>0</v>
      </c>
      <c r="BI92" s="127">
        <v>0</v>
      </c>
      <c r="BJ92" s="127">
        <v>0</v>
      </c>
      <c r="BK92" s="127">
        <v>0</v>
      </c>
      <c r="BL92" s="127">
        <v>0</v>
      </c>
      <c r="BM92" s="127">
        <v>0</v>
      </c>
      <c r="BN92" s="127">
        <v>0</v>
      </c>
      <c r="BO92" s="127">
        <v>0</v>
      </c>
      <c r="BP92" s="127">
        <v>0</v>
      </c>
      <c r="BQ92" s="127">
        <v>0</v>
      </c>
      <c r="BR92" s="127">
        <v>0</v>
      </c>
      <c r="BS92" s="127">
        <v>0</v>
      </c>
      <c r="BT92" s="127">
        <v>0</v>
      </c>
      <c r="BU92" s="127">
        <v>0</v>
      </c>
      <c r="BV92" s="127">
        <v>0</v>
      </c>
      <c r="BW92" s="127">
        <v>0</v>
      </c>
      <c r="BX92" s="127">
        <v>0</v>
      </c>
      <c r="BY92" s="127">
        <v>0</v>
      </c>
      <c r="BZ92" s="127">
        <v>0</v>
      </c>
      <c r="CA92" s="127">
        <v>0</v>
      </c>
    </row>
    <row r="93" spans="1:79" ht="18" customHeight="1">
      <c r="A93" s="123">
        <v>2</v>
      </c>
      <c r="B93" s="123" t="str">
        <v>RM000113</v>
      </c>
      <c r="C93" s="123" t="str">
        <v>Spices</v>
      </c>
      <c r="D93" s="123" t="str">
        <v>C39/Pre-Production</v>
      </c>
      <c r="E93" s="123" t="str">
        <v>Moringa Leaf</v>
      </c>
      <c r="F93" s="124">
        <v>420.48599999999988</v>
      </c>
      <c r="G93" s="124">
        <v>0</v>
      </c>
      <c r="H93" s="124">
        <v>-420.48599999999988</v>
      </c>
      <c r="I93" s="125">
        <v>0</v>
      </c>
      <c r="J93" s="123" t="str">
        <v>Not Received</v>
      </c>
      <c r="K93" s="123" t="str">
        <v>No receipt</v>
      </c>
      <c r="L93" s="126">
        <v>0</v>
      </c>
      <c r="M93" s="126">
        <v>0</v>
      </c>
      <c r="N93" s="126">
        <v>0</v>
      </c>
      <c r="O93" s="126">
        <v>0</v>
      </c>
      <c r="P93" s="126">
        <v>0</v>
      </c>
      <c r="Q93" s="126">
        <v>0</v>
      </c>
      <c r="R93" s="126">
        <v>0</v>
      </c>
      <c r="S93" s="126">
        <v>0</v>
      </c>
      <c r="T93" s="126">
        <v>0</v>
      </c>
      <c r="U93" s="126">
        <v>0</v>
      </c>
      <c r="V93" s="126">
        <v>0</v>
      </c>
      <c r="W93" s="126">
        <v>0</v>
      </c>
      <c r="X93" s="126">
        <v>0</v>
      </c>
      <c r="Y93" s="127">
        <v>0</v>
      </c>
      <c r="Z93" s="127">
        <v>0</v>
      </c>
      <c r="AA93" s="127">
        <v>0</v>
      </c>
      <c r="AB93" s="127">
        <v>0</v>
      </c>
      <c r="AC93" s="127">
        <v>0</v>
      </c>
      <c r="AD93" s="127">
        <v>0</v>
      </c>
      <c r="AE93" s="127">
        <v>0</v>
      </c>
      <c r="AF93" s="127">
        <v>0</v>
      </c>
      <c r="AG93" s="127">
        <v>0</v>
      </c>
      <c r="AH93" s="127">
        <v>0</v>
      </c>
      <c r="AI93" s="127">
        <v>0</v>
      </c>
      <c r="AJ93" s="127">
        <v>0</v>
      </c>
      <c r="AK93" s="127">
        <v>0</v>
      </c>
      <c r="AL93" s="127">
        <v>0</v>
      </c>
      <c r="AM93" s="127">
        <v>0</v>
      </c>
      <c r="AN93" s="127">
        <v>0</v>
      </c>
      <c r="AO93" s="127">
        <v>0</v>
      </c>
      <c r="AP93" s="127">
        <v>0</v>
      </c>
      <c r="AQ93" s="127">
        <v>0</v>
      </c>
      <c r="AR93" s="127">
        <v>0</v>
      </c>
      <c r="AS93" s="127">
        <v>0</v>
      </c>
      <c r="AT93" s="127">
        <v>0</v>
      </c>
      <c r="AU93" s="127">
        <v>0</v>
      </c>
      <c r="AV93" s="127">
        <v>0</v>
      </c>
      <c r="AW93" s="127">
        <v>0</v>
      </c>
      <c r="AX93" s="127">
        <v>0</v>
      </c>
      <c r="AY93" s="127">
        <v>0</v>
      </c>
      <c r="AZ93" s="127">
        <v>0</v>
      </c>
      <c r="BA93" s="127">
        <v>0</v>
      </c>
      <c r="BB93" s="127">
        <v>0</v>
      </c>
      <c r="BC93" s="127">
        <v>0</v>
      </c>
      <c r="BD93" s="127">
        <v>0</v>
      </c>
      <c r="BE93" s="127">
        <v>0</v>
      </c>
      <c r="BF93" s="127">
        <v>0</v>
      </c>
      <c r="BG93" s="127">
        <v>0</v>
      </c>
      <c r="BH93" s="127">
        <v>0</v>
      </c>
      <c r="BI93" s="127">
        <v>0</v>
      </c>
      <c r="BJ93" s="127">
        <v>0</v>
      </c>
      <c r="BK93" s="127">
        <v>0</v>
      </c>
      <c r="BL93" s="127">
        <v>0</v>
      </c>
      <c r="BM93" s="127">
        <v>0</v>
      </c>
      <c r="BN93" s="127">
        <v>0</v>
      </c>
      <c r="BO93" s="127">
        <v>0</v>
      </c>
      <c r="BP93" s="127">
        <v>0</v>
      </c>
      <c r="BQ93" s="127">
        <v>0</v>
      </c>
      <c r="BR93" s="127">
        <v>0</v>
      </c>
      <c r="BS93" s="127">
        <v>0</v>
      </c>
      <c r="BT93" s="127">
        <v>0</v>
      </c>
      <c r="BU93" s="127">
        <v>0</v>
      </c>
      <c r="BV93" s="127">
        <v>0</v>
      </c>
      <c r="BW93" s="127">
        <v>0</v>
      </c>
      <c r="BX93" s="127">
        <v>0</v>
      </c>
      <c r="BY93" s="127">
        <v>0</v>
      </c>
      <c r="BZ93" s="127">
        <v>0</v>
      </c>
      <c r="CA93" s="127">
        <v>0</v>
      </c>
    </row>
    <row r="94" spans="1:79" ht="18" customHeight="1">
      <c r="A94" s="123">
        <v>14</v>
      </c>
      <c r="B94" s="123" t="str">
        <v>RM000200</v>
      </c>
      <c r="C94" s="123" t="str">
        <v>Raw Agri</v>
      </c>
      <c r="D94" s="123" t="str">
        <v>MIND/Pre-Production</v>
      </c>
      <c r="E94" s="123" t="str">
        <v>Whole Organic Cashew</v>
      </c>
      <c r="F94" s="124">
        <v>336.11</v>
      </c>
      <c r="G94" s="124">
        <v>0</v>
      </c>
      <c r="H94" s="124">
        <v>-336.11</v>
      </c>
      <c r="I94" s="125">
        <v>0</v>
      </c>
      <c r="J94" s="123" t="str">
        <v>Not Received</v>
      </c>
      <c r="K94" s="123" t="str">
        <v>No receipt</v>
      </c>
      <c r="L94" s="126">
        <v>0</v>
      </c>
      <c r="M94" s="126">
        <v>0</v>
      </c>
      <c r="N94" s="126">
        <v>0</v>
      </c>
      <c r="O94" s="126">
        <v>0</v>
      </c>
      <c r="P94" s="126">
        <v>0</v>
      </c>
      <c r="Q94" s="126">
        <v>0</v>
      </c>
      <c r="R94" s="126">
        <v>0</v>
      </c>
      <c r="S94" s="126">
        <v>0</v>
      </c>
      <c r="T94" s="126">
        <v>0</v>
      </c>
      <c r="U94" s="126">
        <v>0</v>
      </c>
      <c r="V94" s="126">
        <v>0</v>
      </c>
      <c r="W94" s="126">
        <v>0</v>
      </c>
      <c r="X94" s="126">
        <v>0</v>
      </c>
      <c r="Y94" s="127">
        <v>0</v>
      </c>
      <c r="Z94" s="127">
        <v>0</v>
      </c>
      <c r="AA94" s="127">
        <v>0</v>
      </c>
      <c r="AB94" s="127">
        <v>0</v>
      </c>
      <c r="AC94" s="127">
        <v>0</v>
      </c>
      <c r="AD94" s="127">
        <v>0</v>
      </c>
      <c r="AE94" s="127">
        <v>0</v>
      </c>
      <c r="AF94" s="127">
        <v>0</v>
      </c>
      <c r="AG94" s="127">
        <v>0</v>
      </c>
      <c r="AH94" s="127">
        <v>0</v>
      </c>
      <c r="AI94" s="127">
        <v>0</v>
      </c>
      <c r="AJ94" s="127">
        <v>0</v>
      </c>
      <c r="AK94" s="127">
        <v>0</v>
      </c>
      <c r="AL94" s="127">
        <v>0</v>
      </c>
      <c r="AM94" s="127">
        <v>0</v>
      </c>
      <c r="AN94" s="127">
        <v>0</v>
      </c>
      <c r="AO94" s="127">
        <v>0</v>
      </c>
      <c r="AP94" s="127">
        <v>0</v>
      </c>
      <c r="AQ94" s="127">
        <v>0</v>
      </c>
      <c r="AR94" s="127">
        <v>0</v>
      </c>
      <c r="AS94" s="127">
        <v>0</v>
      </c>
      <c r="AT94" s="127">
        <v>0</v>
      </c>
      <c r="AU94" s="127">
        <v>0</v>
      </c>
      <c r="AV94" s="127">
        <v>0</v>
      </c>
      <c r="AW94" s="127">
        <v>0</v>
      </c>
      <c r="AX94" s="127">
        <v>0</v>
      </c>
      <c r="AY94" s="127">
        <v>0</v>
      </c>
      <c r="AZ94" s="127">
        <v>0</v>
      </c>
      <c r="BA94" s="127">
        <v>0</v>
      </c>
      <c r="BB94" s="127">
        <v>0</v>
      </c>
      <c r="BC94" s="127">
        <v>0</v>
      </c>
      <c r="BD94" s="127">
        <v>0</v>
      </c>
      <c r="BE94" s="127">
        <v>0</v>
      </c>
      <c r="BF94" s="127">
        <v>0</v>
      </c>
      <c r="BG94" s="127">
        <v>0</v>
      </c>
      <c r="BH94" s="127">
        <v>0</v>
      </c>
      <c r="BI94" s="127">
        <v>0</v>
      </c>
      <c r="BJ94" s="127">
        <v>0</v>
      </c>
      <c r="BK94" s="127">
        <v>0</v>
      </c>
      <c r="BL94" s="127">
        <v>0</v>
      </c>
      <c r="BM94" s="127">
        <v>0</v>
      </c>
      <c r="BN94" s="127">
        <v>0</v>
      </c>
      <c r="BO94" s="127">
        <v>0</v>
      </c>
      <c r="BP94" s="127">
        <v>0</v>
      </c>
      <c r="BQ94" s="127">
        <v>0</v>
      </c>
      <c r="BR94" s="127">
        <v>0</v>
      </c>
      <c r="BS94" s="127">
        <v>0</v>
      </c>
      <c r="BT94" s="127">
        <v>0</v>
      </c>
      <c r="BU94" s="127">
        <v>0</v>
      </c>
      <c r="BV94" s="127">
        <v>0</v>
      </c>
      <c r="BW94" s="127">
        <v>0</v>
      </c>
      <c r="BX94" s="127">
        <v>0</v>
      </c>
      <c r="BY94" s="127">
        <v>0</v>
      </c>
      <c r="BZ94" s="127">
        <v>0</v>
      </c>
      <c r="CA94" s="127">
        <v>0</v>
      </c>
    </row>
    <row r="95" spans="1:79" ht="18" customHeight="1">
      <c r="A95" s="123">
        <v>10</v>
      </c>
      <c r="B95" s="123" t="str">
        <v>RM000139</v>
      </c>
      <c r="C95" s="123" t="str">
        <v>Raw Agri</v>
      </c>
      <c r="D95" s="123" t="str">
        <v>MIND/Pre-Production</v>
      </c>
      <c r="E95" s="123" t="str">
        <v>Raw Ajara Ghansal Rice</v>
      </c>
      <c r="F95" s="124">
        <v>324.65000000000009</v>
      </c>
      <c r="G95" s="124">
        <v>0</v>
      </c>
      <c r="H95" s="124">
        <v>-324.65000000000009</v>
      </c>
      <c r="I95" s="125">
        <v>0</v>
      </c>
      <c r="J95" s="123" t="str">
        <v>Not Received</v>
      </c>
      <c r="K95" s="123" t="str">
        <v>No receipt</v>
      </c>
      <c r="L95" s="126">
        <v>0</v>
      </c>
      <c r="M95" s="126">
        <v>0</v>
      </c>
      <c r="N95" s="126">
        <v>0</v>
      </c>
      <c r="O95" s="126">
        <v>0</v>
      </c>
      <c r="P95" s="126">
        <v>0</v>
      </c>
      <c r="Q95" s="126">
        <v>0</v>
      </c>
      <c r="R95" s="126">
        <v>0</v>
      </c>
      <c r="S95" s="126">
        <v>0</v>
      </c>
      <c r="T95" s="126">
        <v>0</v>
      </c>
      <c r="U95" s="126">
        <v>0</v>
      </c>
      <c r="V95" s="126">
        <v>0</v>
      </c>
      <c r="W95" s="126">
        <v>0</v>
      </c>
      <c r="X95" s="126">
        <v>0</v>
      </c>
      <c r="Y95" s="127">
        <v>0</v>
      </c>
      <c r="Z95" s="127">
        <v>0</v>
      </c>
      <c r="AA95" s="127">
        <v>0</v>
      </c>
      <c r="AB95" s="127">
        <v>0</v>
      </c>
      <c r="AC95" s="127">
        <v>2010</v>
      </c>
      <c r="AD95" s="127">
        <v>0</v>
      </c>
      <c r="AE95" s="127">
        <v>0</v>
      </c>
      <c r="AF95" s="127">
        <v>0</v>
      </c>
      <c r="AG95" s="127">
        <v>0</v>
      </c>
      <c r="AH95" s="127">
        <v>0</v>
      </c>
      <c r="AI95" s="127">
        <v>0</v>
      </c>
      <c r="AJ95" s="127">
        <v>0</v>
      </c>
      <c r="AK95" s="127">
        <v>0</v>
      </c>
      <c r="AL95" s="127">
        <v>0</v>
      </c>
      <c r="AM95" s="127">
        <v>0</v>
      </c>
      <c r="AN95" s="127">
        <v>0</v>
      </c>
      <c r="AO95" s="127">
        <v>0</v>
      </c>
      <c r="AP95" s="127">
        <v>0</v>
      </c>
      <c r="AQ95" s="127">
        <v>0</v>
      </c>
      <c r="AR95" s="127">
        <v>0</v>
      </c>
      <c r="AS95" s="127">
        <v>0</v>
      </c>
      <c r="AT95" s="127">
        <v>0</v>
      </c>
      <c r="AU95" s="127">
        <v>0</v>
      </c>
      <c r="AV95" s="127">
        <v>0</v>
      </c>
      <c r="AW95" s="127">
        <v>0</v>
      </c>
      <c r="AX95" s="127">
        <v>0</v>
      </c>
      <c r="AY95" s="127">
        <v>0</v>
      </c>
      <c r="AZ95" s="127">
        <v>0</v>
      </c>
      <c r="BA95" s="127">
        <v>0</v>
      </c>
      <c r="BB95" s="127">
        <v>0</v>
      </c>
      <c r="BC95" s="127">
        <v>0</v>
      </c>
      <c r="BD95" s="127">
        <v>0</v>
      </c>
      <c r="BE95" s="127">
        <v>0</v>
      </c>
      <c r="BF95" s="127">
        <v>0</v>
      </c>
      <c r="BG95" s="127">
        <v>0</v>
      </c>
      <c r="BH95" s="127">
        <v>0</v>
      </c>
      <c r="BI95" s="127">
        <v>0</v>
      </c>
      <c r="BJ95" s="127">
        <v>0</v>
      </c>
      <c r="BK95" s="127">
        <v>0</v>
      </c>
      <c r="BL95" s="127">
        <v>0</v>
      </c>
      <c r="BM95" s="127">
        <v>0</v>
      </c>
      <c r="BN95" s="127">
        <v>0</v>
      </c>
      <c r="BO95" s="127">
        <v>0</v>
      </c>
      <c r="BP95" s="127">
        <v>0</v>
      </c>
      <c r="BQ95" s="127">
        <v>0</v>
      </c>
      <c r="BR95" s="127">
        <v>0</v>
      </c>
      <c r="BS95" s="127">
        <v>0</v>
      </c>
      <c r="BT95" s="127">
        <v>0</v>
      </c>
      <c r="BU95" s="127">
        <v>0</v>
      </c>
      <c r="BV95" s="127">
        <v>0</v>
      </c>
      <c r="BW95" s="127">
        <v>0</v>
      </c>
      <c r="BX95" s="127">
        <v>0</v>
      </c>
      <c r="BY95" s="127">
        <v>0</v>
      </c>
      <c r="BZ95" s="127">
        <v>0</v>
      </c>
      <c r="CA95" s="127">
        <v>0</v>
      </c>
    </row>
    <row r="96" spans="1:79" ht="18" customHeight="1">
      <c r="A96" s="123">
        <v>4</v>
      </c>
      <c r="B96" s="123" t="str">
        <v>RM000044</v>
      </c>
      <c r="C96" s="123" t="str">
        <v>Spices</v>
      </c>
      <c r="D96" s="123" t="str">
        <v>C39/Pre-Production</v>
      </c>
      <c r="E96" s="123" t="str">
        <v>Coconut Sap Sugar</v>
      </c>
      <c r="F96" s="124">
        <v>249.33</v>
      </c>
      <c r="G96" s="124">
        <v>0</v>
      </c>
      <c r="H96" s="124">
        <v>-249.33</v>
      </c>
      <c r="I96" s="125">
        <v>0</v>
      </c>
      <c r="J96" s="123" t="str">
        <v>Not Received</v>
      </c>
      <c r="K96" s="123" t="str">
        <v>No receipt</v>
      </c>
      <c r="L96" s="126">
        <v>0</v>
      </c>
      <c r="M96" s="126">
        <v>0</v>
      </c>
      <c r="N96" s="126">
        <v>0</v>
      </c>
      <c r="O96" s="126">
        <v>0</v>
      </c>
      <c r="P96" s="126">
        <v>0</v>
      </c>
      <c r="Q96" s="126">
        <v>0</v>
      </c>
      <c r="R96" s="126">
        <v>0</v>
      </c>
      <c r="S96" s="126">
        <v>0</v>
      </c>
      <c r="T96" s="126">
        <v>0</v>
      </c>
      <c r="U96" s="126">
        <v>0</v>
      </c>
      <c r="V96" s="126">
        <v>0</v>
      </c>
      <c r="W96" s="126">
        <v>0</v>
      </c>
      <c r="X96" s="126">
        <v>0</v>
      </c>
      <c r="Y96" s="127">
        <v>0</v>
      </c>
      <c r="Z96" s="127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0</v>
      </c>
      <c r="AF96" s="127">
        <v>0</v>
      </c>
      <c r="AG96" s="127">
        <v>0</v>
      </c>
      <c r="AH96" s="127">
        <v>0</v>
      </c>
      <c r="AI96" s="127">
        <v>0</v>
      </c>
      <c r="AJ96" s="127">
        <v>0</v>
      </c>
      <c r="AK96" s="127">
        <v>0</v>
      </c>
      <c r="AL96" s="127">
        <v>0</v>
      </c>
      <c r="AM96" s="127">
        <v>0</v>
      </c>
      <c r="AN96" s="127">
        <v>0</v>
      </c>
      <c r="AO96" s="127">
        <v>0</v>
      </c>
      <c r="AP96" s="127">
        <v>0</v>
      </c>
      <c r="AQ96" s="127">
        <v>0</v>
      </c>
      <c r="AR96" s="127">
        <v>0</v>
      </c>
      <c r="AS96" s="127">
        <v>0</v>
      </c>
      <c r="AT96" s="127">
        <v>0</v>
      </c>
      <c r="AU96" s="127">
        <v>0</v>
      </c>
      <c r="AV96" s="127">
        <v>0</v>
      </c>
      <c r="AW96" s="127">
        <v>0</v>
      </c>
      <c r="AX96" s="127">
        <v>0</v>
      </c>
      <c r="AY96" s="127">
        <v>0</v>
      </c>
      <c r="AZ96" s="127">
        <v>0</v>
      </c>
      <c r="BA96" s="127">
        <v>0</v>
      </c>
      <c r="BB96" s="127">
        <v>0</v>
      </c>
      <c r="BC96" s="127">
        <v>0</v>
      </c>
      <c r="BD96" s="127">
        <v>0</v>
      </c>
      <c r="BE96" s="127">
        <v>0</v>
      </c>
      <c r="BF96" s="127">
        <v>0</v>
      </c>
      <c r="BG96" s="127">
        <v>0</v>
      </c>
      <c r="BH96" s="127">
        <v>0</v>
      </c>
      <c r="BI96" s="127">
        <v>0</v>
      </c>
      <c r="BJ96" s="127">
        <v>0</v>
      </c>
      <c r="BK96" s="127">
        <v>0</v>
      </c>
      <c r="BL96" s="127">
        <v>0</v>
      </c>
      <c r="BM96" s="127">
        <v>0</v>
      </c>
      <c r="BN96" s="127">
        <v>0</v>
      </c>
      <c r="BO96" s="127">
        <v>0</v>
      </c>
      <c r="BP96" s="127">
        <v>0</v>
      </c>
      <c r="BQ96" s="127">
        <v>0</v>
      </c>
      <c r="BR96" s="127">
        <v>0</v>
      </c>
      <c r="BS96" s="127">
        <v>0</v>
      </c>
      <c r="BT96" s="127">
        <v>0</v>
      </c>
      <c r="BU96" s="127">
        <v>0</v>
      </c>
      <c r="BV96" s="127">
        <v>0</v>
      </c>
      <c r="BW96" s="127">
        <v>0</v>
      </c>
      <c r="BX96" s="127">
        <v>0</v>
      </c>
      <c r="BY96" s="127">
        <v>0</v>
      </c>
      <c r="BZ96" s="127">
        <v>0</v>
      </c>
      <c r="CA96" s="127">
        <v>0</v>
      </c>
    </row>
    <row r="97" spans="1:79" ht="18" customHeight="1">
      <c r="A97" s="123">
        <v>20</v>
      </c>
      <c r="B97" s="123" t="str">
        <v>RM000072</v>
      </c>
      <c r="C97" s="123" t="str">
        <v>Protein Atta</v>
      </c>
      <c r="D97" s="123" t="str">
        <v>MIND/Pre-Production</v>
      </c>
      <c r="E97" s="123" t="str">
        <v>Harbara Dal</v>
      </c>
      <c r="F97" s="124">
        <v>242.52000000000041</v>
      </c>
      <c r="G97" s="124">
        <v>0</v>
      </c>
      <c r="H97" s="124">
        <v>-242.52000000000041</v>
      </c>
      <c r="I97" s="125">
        <v>0</v>
      </c>
      <c r="J97" s="123" t="str">
        <v>Not Received</v>
      </c>
      <c r="K97" s="123" t="str">
        <v>No receipt</v>
      </c>
      <c r="L97" s="126">
        <v>0</v>
      </c>
      <c r="M97" s="126">
        <v>0</v>
      </c>
      <c r="N97" s="126">
        <v>0</v>
      </c>
      <c r="O97" s="126">
        <v>2000</v>
      </c>
      <c r="P97" s="126">
        <v>0</v>
      </c>
      <c r="Q97" s="126">
        <v>0</v>
      </c>
      <c r="R97" s="126">
        <v>0</v>
      </c>
      <c r="S97" s="126">
        <v>0</v>
      </c>
      <c r="T97" s="126">
        <v>0</v>
      </c>
      <c r="U97" s="126">
        <v>0</v>
      </c>
      <c r="V97" s="126">
        <v>0</v>
      </c>
      <c r="W97" s="126">
        <v>0</v>
      </c>
      <c r="X97" s="126">
        <v>0</v>
      </c>
      <c r="Y97" s="127">
        <v>0</v>
      </c>
      <c r="Z97" s="127">
        <v>0</v>
      </c>
      <c r="AA97" s="127">
        <v>0</v>
      </c>
      <c r="AB97" s="127">
        <v>0</v>
      </c>
      <c r="AC97" s="127">
        <v>0</v>
      </c>
      <c r="AD97" s="127">
        <v>0</v>
      </c>
      <c r="AE97" s="127">
        <v>0</v>
      </c>
      <c r="AF97" s="127">
        <v>0</v>
      </c>
      <c r="AG97" s="127">
        <v>0</v>
      </c>
      <c r="AH97" s="127">
        <v>0</v>
      </c>
      <c r="AI97" s="127">
        <v>0</v>
      </c>
      <c r="AJ97" s="127">
        <v>0</v>
      </c>
      <c r="AK97" s="127">
        <v>0</v>
      </c>
      <c r="AL97" s="127">
        <v>0</v>
      </c>
      <c r="AM97" s="127">
        <v>0</v>
      </c>
      <c r="AN97" s="127">
        <v>0</v>
      </c>
      <c r="AO97" s="127">
        <v>0</v>
      </c>
      <c r="AP97" s="127">
        <v>0</v>
      </c>
      <c r="AQ97" s="127">
        <v>0</v>
      </c>
      <c r="AR97" s="127">
        <v>0</v>
      </c>
      <c r="AS97" s="127">
        <v>0</v>
      </c>
      <c r="AT97" s="127">
        <v>0</v>
      </c>
      <c r="AU97" s="127">
        <v>0</v>
      </c>
      <c r="AV97" s="127">
        <v>0</v>
      </c>
      <c r="AW97" s="127">
        <v>0</v>
      </c>
      <c r="AX97" s="127">
        <v>0</v>
      </c>
      <c r="AY97" s="127">
        <v>0</v>
      </c>
      <c r="AZ97" s="127">
        <v>0</v>
      </c>
      <c r="BA97" s="127">
        <v>0</v>
      </c>
      <c r="BB97" s="127">
        <v>0</v>
      </c>
      <c r="BC97" s="127">
        <v>0</v>
      </c>
      <c r="BD97" s="127">
        <v>0</v>
      </c>
      <c r="BE97" s="127">
        <v>0</v>
      </c>
      <c r="BF97" s="127">
        <v>0</v>
      </c>
      <c r="BG97" s="127">
        <v>0</v>
      </c>
      <c r="BH97" s="127">
        <v>0</v>
      </c>
      <c r="BI97" s="127">
        <v>0</v>
      </c>
      <c r="BJ97" s="127">
        <v>0</v>
      </c>
      <c r="BK97" s="127">
        <v>0</v>
      </c>
      <c r="BL97" s="127">
        <v>0</v>
      </c>
      <c r="BM97" s="127">
        <v>0</v>
      </c>
      <c r="BN97" s="127">
        <v>0</v>
      </c>
      <c r="BO97" s="127">
        <v>0</v>
      </c>
      <c r="BP97" s="127">
        <v>0</v>
      </c>
      <c r="BQ97" s="127">
        <v>0</v>
      </c>
      <c r="BR97" s="127">
        <v>0</v>
      </c>
      <c r="BS97" s="127">
        <v>0</v>
      </c>
      <c r="BT97" s="127">
        <v>0</v>
      </c>
      <c r="BU97" s="127">
        <v>0</v>
      </c>
      <c r="BV97" s="127">
        <v>0</v>
      </c>
      <c r="BW97" s="127">
        <v>0</v>
      </c>
      <c r="BX97" s="127">
        <v>0</v>
      </c>
      <c r="BY97" s="127">
        <v>0</v>
      </c>
      <c r="BZ97" s="127">
        <v>0</v>
      </c>
      <c r="CA97" s="127">
        <v>0</v>
      </c>
    </row>
    <row r="98" spans="1:79" ht="18" customHeight="1">
      <c r="A98" s="123">
        <v>27</v>
      </c>
      <c r="B98" s="123" t="str">
        <v>RM000072</v>
      </c>
      <c r="C98" s="123" t="str">
        <v>Other Atta</v>
      </c>
      <c r="D98" s="123" t="str">
        <v>C39/Pre-Production</v>
      </c>
      <c r="E98" s="123" t="str">
        <v>Harbara Dal</v>
      </c>
      <c r="F98" s="124">
        <v>242.52000000000041</v>
      </c>
      <c r="G98" s="124">
        <v>0</v>
      </c>
      <c r="H98" s="124">
        <v>-242.52000000000041</v>
      </c>
      <c r="I98" s="125">
        <v>0</v>
      </c>
      <c r="J98" s="123" t="str">
        <v>Not Received</v>
      </c>
      <c r="K98" s="123" t="str">
        <v>No receipt</v>
      </c>
      <c r="L98" s="126">
        <v>0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>
        <v>0</v>
      </c>
      <c r="S98" s="126">
        <v>3000</v>
      </c>
      <c r="T98" s="126">
        <v>0</v>
      </c>
      <c r="U98" s="126">
        <v>0</v>
      </c>
      <c r="V98" s="126">
        <v>0</v>
      </c>
      <c r="W98" s="126">
        <v>2500</v>
      </c>
      <c r="X98" s="126">
        <v>0</v>
      </c>
      <c r="Y98" s="127">
        <v>0</v>
      </c>
      <c r="Z98" s="127">
        <v>0</v>
      </c>
      <c r="AA98" s="127">
        <v>0</v>
      </c>
      <c r="AB98" s="127">
        <v>0</v>
      </c>
      <c r="AC98" s="127">
        <v>2250</v>
      </c>
      <c r="AD98" s="127">
        <v>0</v>
      </c>
      <c r="AE98" s="127">
        <v>0</v>
      </c>
      <c r="AF98" s="127">
        <v>0</v>
      </c>
      <c r="AG98" s="127">
        <v>0</v>
      </c>
      <c r="AH98" s="127">
        <v>0</v>
      </c>
      <c r="AI98" s="127">
        <v>0</v>
      </c>
      <c r="AJ98" s="127">
        <v>0</v>
      </c>
      <c r="AK98" s="127">
        <v>0</v>
      </c>
      <c r="AL98" s="127">
        <v>0</v>
      </c>
      <c r="AM98" s="127">
        <v>0</v>
      </c>
      <c r="AN98" s="127">
        <v>0</v>
      </c>
      <c r="AO98" s="127">
        <v>0</v>
      </c>
      <c r="AP98" s="127">
        <v>0</v>
      </c>
      <c r="AQ98" s="127">
        <v>0</v>
      </c>
      <c r="AR98" s="127">
        <v>0</v>
      </c>
      <c r="AS98" s="127">
        <v>0</v>
      </c>
      <c r="AT98" s="127">
        <v>0</v>
      </c>
      <c r="AU98" s="127">
        <v>0</v>
      </c>
      <c r="AV98" s="127">
        <v>0</v>
      </c>
      <c r="AW98" s="127">
        <v>0</v>
      </c>
      <c r="AX98" s="127">
        <v>0</v>
      </c>
      <c r="AY98" s="127">
        <v>0</v>
      </c>
      <c r="AZ98" s="127">
        <v>0</v>
      </c>
      <c r="BA98" s="127">
        <v>0</v>
      </c>
      <c r="BB98" s="127">
        <v>0</v>
      </c>
      <c r="BC98" s="127">
        <v>0</v>
      </c>
      <c r="BD98" s="127">
        <v>0</v>
      </c>
      <c r="BE98" s="127">
        <v>0</v>
      </c>
      <c r="BF98" s="127">
        <v>0</v>
      </c>
      <c r="BG98" s="127">
        <v>0</v>
      </c>
      <c r="BH98" s="127">
        <v>0</v>
      </c>
      <c r="BI98" s="127">
        <v>0</v>
      </c>
      <c r="BJ98" s="127">
        <v>0</v>
      </c>
      <c r="BK98" s="127">
        <v>0</v>
      </c>
      <c r="BL98" s="127">
        <v>0</v>
      </c>
      <c r="BM98" s="127">
        <v>0</v>
      </c>
      <c r="BN98" s="127">
        <v>0</v>
      </c>
      <c r="BO98" s="127">
        <v>0</v>
      </c>
      <c r="BP98" s="127">
        <v>0</v>
      </c>
      <c r="BQ98" s="127">
        <v>0</v>
      </c>
      <c r="BR98" s="127">
        <v>0</v>
      </c>
      <c r="BS98" s="127">
        <v>0</v>
      </c>
      <c r="BT98" s="127">
        <v>0</v>
      </c>
      <c r="BU98" s="127">
        <v>0</v>
      </c>
      <c r="BV98" s="127">
        <v>0</v>
      </c>
      <c r="BW98" s="127">
        <v>0</v>
      </c>
      <c r="BX98" s="127">
        <v>0</v>
      </c>
      <c r="BY98" s="127">
        <v>0</v>
      </c>
      <c r="BZ98" s="127">
        <v>0</v>
      </c>
      <c r="CA98" s="127">
        <v>0</v>
      </c>
    </row>
    <row r="99" spans="1:79" ht="18" customHeight="1">
      <c r="A99" s="123">
        <v>42</v>
      </c>
      <c r="B99" s="123" t="str">
        <v>RM000072</v>
      </c>
      <c r="C99" s="123" t="str">
        <v>MG</v>
      </c>
      <c r="D99" s="123" t="str">
        <v>C39/Pre-Production</v>
      </c>
      <c r="E99" s="123" t="str">
        <v>Harbara Dal</v>
      </c>
      <c r="F99" s="124">
        <v>242.52000000000041</v>
      </c>
      <c r="G99" s="124">
        <v>0</v>
      </c>
      <c r="H99" s="124">
        <v>-242.52000000000041</v>
      </c>
      <c r="I99" s="125">
        <v>0</v>
      </c>
      <c r="J99" s="123" t="str">
        <v>Not Received</v>
      </c>
      <c r="K99" s="123" t="str">
        <v>No receipt</v>
      </c>
      <c r="L99" s="126">
        <v>0</v>
      </c>
      <c r="M99" s="126">
        <v>0</v>
      </c>
      <c r="N99" s="126">
        <v>0</v>
      </c>
      <c r="O99" s="126">
        <v>2000</v>
      </c>
      <c r="P99" s="126">
        <v>0</v>
      </c>
      <c r="Q99" s="126">
        <v>0</v>
      </c>
      <c r="R99" s="126">
        <v>0</v>
      </c>
      <c r="S99" s="126">
        <v>0</v>
      </c>
      <c r="T99" s="126">
        <v>0</v>
      </c>
      <c r="U99" s="126">
        <v>0</v>
      </c>
      <c r="V99" s="126">
        <v>0</v>
      </c>
      <c r="W99" s="126">
        <v>0</v>
      </c>
      <c r="X99" s="126">
        <v>0</v>
      </c>
      <c r="Y99" s="127">
        <v>0</v>
      </c>
      <c r="Z99" s="127">
        <v>0</v>
      </c>
      <c r="AA99" s="127">
        <v>0</v>
      </c>
      <c r="AB99" s="127">
        <v>0</v>
      </c>
      <c r="AC99" s="127">
        <v>0</v>
      </c>
      <c r="AD99" s="127">
        <v>0</v>
      </c>
      <c r="AE99" s="127">
        <v>0</v>
      </c>
      <c r="AF99" s="127">
        <v>0</v>
      </c>
      <c r="AG99" s="127">
        <v>0</v>
      </c>
      <c r="AH99" s="127">
        <v>2000</v>
      </c>
      <c r="AI99" s="127">
        <v>0</v>
      </c>
      <c r="AJ99" s="127">
        <v>0</v>
      </c>
      <c r="AK99" s="127">
        <v>0</v>
      </c>
      <c r="AL99" s="127">
        <v>3000</v>
      </c>
      <c r="AM99" s="127">
        <v>0</v>
      </c>
      <c r="AN99" s="127">
        <v>0</v>
      </c>
      <c r="AO99" s="127">
        <v>500</v>
      </c>
      <c r="AP99" s="127">
        <v>3000</v>
      </c>
      <c r="AQ99" s="127">
        <v>0</v>
      </c>
      <c r="AR99" s="127">
        <v>0</v>
      </c>
      <c r="AS99" s="127">
        <v>0</v>
      </c>
      <c r="AT99" s="127">
        <v>1550</v>
      </c>
      <c r="AU99" s="127">
        <v>0</v>
      </c>
      <c r="AV99" s="127">
        <v>0</v>
      </c>
      <c r="AW99" s="127">
        <v>0</v>
      </c>
      <c r="AX99" s="127">
        <v>0</v>
      </c>
      <c r="AY99" s="127">
        <v>0</v>
      </c>
      <c r="AZ99" s="127">
        <v>0</v>
      </c>
      <c r="BA99" s="127">
        <v>0</v>
      </c>
      <c r="BB99" s="127">
        <v>0</v>
      </c>
      <c r="BC99" s="127">
        <v>0</v>
      </c>
      <c r="BD99" s="127">
        <v>0</v>
      </c>
      <c r="BE99" s="127">
        <v>0</v>
      </c>
      <c r="BF99" s="127">
        <v>0</v>
      </c>
      <c r="BG99" s="127">
        <v>0</v>
      </c>
      <c r="BH99" s="127">
        <v>0</v>
      </c>
      <c r="BI99" s="127">
        <v>0</v>
      </c>
      <c r="BJ99" s="127">
        <v>0</v>
      </c>
      <c r="BK99" s="127">
        <v>0</v>
      </c>
      <c r="BL99" s="127">
        <v>0</v>
      </c>
      <c r="BM99" s="127">
        <v>0</v>
      </c>
      <c r="BN99" s="127">
        <v>0</v>
      </c>
      <c r="BO99" s="127">
        <v>0</v>
      </c>
      <c r="BP99" s="127">
        <v>0</v>
      </c>
      <c r="BQ99" s="127">
        <v>0</v>
      </c>
      <c r="BR99" s="127">
        <v>0</v>
      </c>
      <c r="BS99" s="127">
        <v>0</v>
      </c>
      <c r="BT99" s="127">
        <v>0</v>
      </c>
      <c r="BU99" s="127">
        <v>0</v>
      </c>
      <c r="BV99" s="127">
        <v>0</v>
      </c>
      <c r="BW99" s="127">
        <v>0</v>
      </c>
      <c r="BX99" s="127">
        <v>0</v>
      </c>
      <c r="BY99" s="127">
        <v>0</v>
      </c>
      <c r="BZ99" s="127">
        <v>0</v>
      </c>
      <c r="CA99" s="127">
        <v>0</v>
      </c>
    </row>
    <row r="100" spans="1:79" ht="18" customHeight="1">
      <c r="A100" s="123">
        <v>5</v>
      </c>
      <c r="B100" s="123" t="str">
        <v>RM000030</v>
      </c>
      <c r="C100" s="123" t="str">
        <v>Spices</v>
      </c>
      <c r="D100" s="123" t="str">
        <v>C39/Pre-Production</v>
      </c>
      <c r="E100" s="123" t="str">
        <v>Byadgi chill powder</v>
      </c>
      <c r="F100" s="124">
        <v>236.70999999999989</v>
      </c>
      <c r="G100" s="124">
        <v>0</v>
      </c>
      <c r="H100" s="124">
        <v>-236.70999999999989</v>
      </c>
      <c r="I100" s="125">
        <v>0</v>
      </c>
      <c r="J100" s="123" t="str">
        <v>Not Received</v>
      </c>
      <c r="K100" s="123" t="str">
        <v>No receipt</v>
      </c>
      <c r="L100" s="126">
        <v>0</v>
      </c>
      <c r="M100" s="126">
        <v>0</v>
      </c>
      <c r="N100" s="126">
        <v>0</v>
      </c>
      <c r="O100" s="126">
        <v>0</v>
      </c>
      <c r="P100" s="126">
        <v>0</v>
      </c>
      <c r="Q100" s="126">
        <v>0</v>
      </c>
      <c r="R100" s="126">
        <v>0</v>
      </c>
      <c r="S100" s="126">
        <v>0</v>
      </c>
      <c r="T100" s="126">
        <v>0</v>
      </c>
      <c r="U100" s="126">
        <v>0</v>
      </c>
      <c r="V100" s="126">
        <v>0</v>
      </c>
      <c r="W100" s="126">
        <v>0</v>
      </c>
      <c r="X100" s="126">
        <v>0</v>
      </c>
      <c r="Y100" s="127">
        <v>0</v>
      </c>
      <c r="Z100" s="127">
        <v>0</v>
      </c>
      <c r="AA100" s="127">
        <v>0</v>
      </c>
      <c r="AB100" s="127">
        <v>0</v>
      </c>
      <c r="AC100" s="127">
        <v>200</v>
      </c>
      <c r="AD100" s="127">
        <v>0</v>
      </c>
      <c r="AE100" s="127">
        <v>0</v>
      </c>
      <c r="AF100" s="127">
        <v>0</v>
      </c>
      <c r="AG100" s="127">
        <v>0</v>
      </c>
      <c r="AH100" s="127">
        <v>0</v>
      </c>
      <c r="AI100" s="127">
        <v>0</v>
      </c>
      <c r="AJ100" s="127">
        <v>0</v>
      </c>
      <c r="AK100" s="127">
        <v>0</v>
      </c>
      <c r="AL100" s="127">
        <v>0</v>
      </c>
      <c r="AM100" s="127">
        <v>0</v>
      </c>
      <c r="AN100" s="127">
        <v>0</v>
      </c>
      <c r="AO100" s="127">
        <v>0</v>
      </c>
      <c r="AP100" s="127">
        <v>0</v>
      </c>
      <c r="AQ100" s="127">
        <v>0</v>
      </c>
      <c r="AR100" s="127">
        <v>0</v>
      </c>
      <c r="AS100" s="127">
        <v>0</v>
      </c>
      <c r="AT100" s="127">
        <v>0</v>
      </c>
      <c r="AU100" s="127">
        <v>0</v>
      </c>
      <c r="AV100" s="127">
        <v>200</v>
      </c>
      <c r="AW100" s="127">
        <v>0</v>
      </c>
      <c r="AX100" s="127">
        <v>0</v>
      </c>
      <c r="AY100" s="127">
        <v>0</v>
      </c>
      <c r="AZ100" s="127">
        <v>0</v>
      </c>
      <c r="BA100" s="127">
        <v>0</v>
      </c>
      <c r="BB100" s="127">
        <v>0</v>
      </c>
      <c r="BC100" s="127">
        <v>0</v>
      </c>
      <c r="BD100" s="127">
        <v>0</v>
      </c>
      <c r="BE100" s="127">
        <v>0</v>
      </c>
      <c r="BF100" s="127">
        <v>0</v>
      </c>
      <c r="BG100" s="127">
        <v>0</v>
      </c>
      <c r="BH100" s="127">
        <v>0</v>
      </c>
      <c r="BI100" s="127">
        <v>0</v>
      </c>
      <c r="BJ100" s="127">
        <v>0</v>
      </c>
      <c r="BK100" s="127">
        <v>0</v>
      </c>
      <c r="BL100" s="127">
        <v>0</v>
      </c>
      <c r="BM100" s="127">
        <v>0</v>
      </c>
      <c r="BN100" s="127">
        <v>0</v>
      </c>
      <c r="BO100" s="127">
        <v>0</v>
      </c>
      <c r="BP100" s="127">
        <v>0</v>
      </c>
      <c r="BQ100" s="127">
        <v>0</v>
      </c>
      <c r="BR100" s="127">
        <v>0</v>
      </c>
      <c r="BS100" s="127">
        <v>0</v>
      </c>
      <c r="BT100" s="127">
        <v>0</v>
      </c>
      <c r="BU100" s="127">
        <v>0</v>
      </c>
      <c r="BV100" s="127">
        <v>0</v>
      </c>
      <c r="BW100" s="127">
        <v>0</v>
      </c>
      <c r="BX100" s="127">
        <v>0</v>
      </c>
      <c r="BY100" s="127">
        <v>0</v>
      </c>
      <c r="BZ100" s="127">
        <v>0</v>
      </c>
      <c r="CA100" s="127">
        <v>0</v>
      </c>
    </row>
    <row r="101" spans="1:79" ht="18" customHeight="1">
      <c r="A101" s="123">
        <v>55</v>
      </c>
      <c r="B101" s="123" t="str">
        <v>RM000056</v>
      </c>
      <c r="C101" s="123" t="str">
        <v>GMP</v>
      </c>
      <c r="D101" s="123" t="str">
        <v>C39/Pre-Production</v>
      </c>
      <c r="E101" s="123" t="str">
        <v>Fennel Seeds</v>
      </c>
      <c r="F101" s="124">
        <v>45.699757635467968</v>
      </c>
      <c r="G101" s="124">
        <v>0</v>
      </c>
      <c r="H101" s="124">
        <v>-45.699757635467968</v>
      </c>
      <c r="I101" s="125">
        <v>0</v>
      </c>
      <c r="J101" s="123" t="str">
        <v>Not Received</v>
      </c>
      <c r="K101" s="123" t="str">
        <v>No receipt</v>
      </c>
      <c r="L101" s="126">
        <v>0</v>
      </c>
      <c r="M101" s="126">
        <v>0</v>
      </c>
      <c r="N101" s="126">
        <v>0</v>
      </c>
      <c r="O101" s="126">
        <v>0</v>
      </c>
      <c r="P101" s="126">
        <v>0</v>
      </c>
      <c r="Q101" s="126">
        <v>0</v>
      </c>
      <c r="R101" s="126">
        <v>0</v>
      </c>
      <c r="S101" s="126">
        <v>0</v>
      </c>
      <c r="T101" s="126">
        <v>0</v>
      </c>
      <c r="U101" s="126">
        <v>0</v>
      </c>
      <c r="V101" s="126">
        <v>0</v>
      </c>
      <c r="W101" s="126">
        <v>0</v>
      </c>
      <c r="X101" s="126">
        <v>0</v>
      </c>
      <c r="Y101" s="127">
        <v>0</v>
      </c>
      <c r="Z101" s="127">
        <v>0</v>
      </c>
      <c r="AA101" s="127">
        <v>0</v>
      </c>
      <c r="AB101" s="127">
        <v>0</v>
      </c>
      <c r="AC101" s="127">
        <v>0</v>
      </c>
      <c r="AD101" s="127">
        <v>0</v>
      </c>
      <c r="AE101" s="127">
        <v>0</v>
      </c>
      <c r="AF101" s="127">
        <v>0</v>
      </c>
      <c r="AG101" s="127">
        <v>0</v>
      </c>
      <c r="AH101" s="127">
        <v>0</v>
      </c>
      <c r="AI101" s="127">
        <v>0</v>
      </c>
      <c r="AJ101" s="127">
        <v>0</v>
      </c>
      <c r="AK101" s="127">
        <v>0</v>
      </c>
      <c r="AL101" s="127">
        <v>0</v>
      </c>
      <c r="AM101" s="127">
        <v>0</v>
      </c>
      <c r="AN101" s="127">
        <v>0</v>
      </c>
      <c r="AO101" s="127">
        <v>0</v>
      </c>
      <c r="AP101" s="127">
        <v>0</v>
      </c>
      <c r="AQ101" s="127">
        <v>0</v>
      </c>
      <c r="AR101" s="127">
        <v>0</v>
      </c>
      <c r="AS101" s="127">
        <v>0</v>
      </c>
      <c r="AT101" s="127">
        <v>0</v>
      </c>
      <c r="AU101" s="127">
        <v>0</v>
      </c>
      <c r="AV101" s="127">
        <v>0</v>
      </c>
      <c r="AW101" s="127">
        <v>0</v>
      </c>
      <c r="AX101" s="127">
        <v>0</v>
      </c>
      <c r="AY101" s="127">
        <v>0</v>
      </c>
      <c r="AZ101" s="127">
        <v>0</v>
      </c>
      <c r="BA101" s="127">
        <v>0</v>
      </c>
      <c r="BB101" s="127">
        <v>0</v>
      </c>
      <c r="BC101" s="127">
        <v>0</v>
      </c>
      <c r="BD101" s="127">
        <v>0</v>
      </c>
      <c r="BE101" s="127">
        <v>0</v>
      </c>
      <c r="BF101" s="127">
        <v>0</v>
      </c>
      <c r="BG101" s="127">
        <v>0</v>
      </c>
      <c r="BH101" s="127">
        <v>0</v>
      </c>
      <c r="BI101" s="127">
        <v>0</v>
      </c>
      <c r="BJ101" s="127">
        <v>0</v>
      </c>
      <c r="BK101" s="127">
        <v>0</v>
      </c>
      <c r="BL101" s="127">
        <v>0</v>
      </c>
      <c r="BM101" s="127">
        <v>0</v>
      </c>
      <c r="BN101" s="127">
        <v>0</v>
      </c>
      <c r="BO101" s="127">
        <v>0</v>
      </c>
      <c r="BP101" s="127">
        <v>0</v>
      </c>
      <c r="BQ101" s="127">
        <v>0</v>
      </c>
      <c r="BR101" s="127">
        <v>0</v>
      </c>
      <c r="BS101" s="127">
        <v>0</v>
      </c>
      <c r="BT101" s="127">
        <v>0</v>
      </c>
      <c r="BU101" s="127">
        <v>0</v>
      </c>
      <c r="BV101" s="127">
        <v>0</v>
      </c>
      <c r="BW101" s="127">
        <v>0</v>
      </c>
      <c r="BX101" s="127">
        <v>0</v>
      </c>
      <c r="BY101" s="127">
        <v>0</v>
      </c>
      <c r="BZ101" s="127">
        <v>0</v>
      </c>
      <c r="CA101" s="127">
        <v>0</v>
      </c>
    </row>
    <row r="102" spans="1:79" ht="18" customHeight="1">
      <c r="A102" s="123">
        <v>57</v>
      </c>
      <c r="B102" s="123" t="str">
        <v>RM000031</v>
      </c>
      <c r="C102" s="123" t="str">
        <v>GMP</v>
      </c>
      <c r="D102" s="123" t="str">
        <v>C39/Pre-Production</v>
      </c>
      <c r="E102" s="123" t="str">
        <v>Cardamom</v>
      </c>
      <c r="F102" s="124">
        <v>36.748798029556667</v>
      </c>
      <c r="G102" s="124">
        <v>0</v>
      </c>
      <c r="H102" s="124">
        <v>-36.748798029556667</v>
      </c>
      <c r="I102" s="125">
        <v>0</v>
      </c>
      <c r="J102" s="123" t="str">
        <v>Not Received</v>
      </c>
      <c r="K102" s="123" t="str">
        <v>No receipt</v>
      </c>
      <c r="L102" s="126">
        <v>0</v>
      </c>
      <c r="M102" s="126">
        <v>0</v>
      </c>
      <c r="N102" s="126">
        <v>0</v>
      </c>
      <c r="O102" s="126">
        <v>0</v>
      </c>
      <c r="P102" s="126">
        <v>0</v>
      </c>
      <c r="Q102" s="126">
        <v>0</v>
      </c>
      <c r="R102" s="126">
        <v>0</v>
      </c>
      <c r="S102" s="126">
        <v>0</v>
      </c>
      <c r="T102" s="126">
        <v>0</v>
      </c>
      <c r="U102" s="126">
        <v>0</v>
      </c>
      <c r="V102" s="126">
        <v>0</v>
      </c>
      <c r="W102" s="126">
        <v>0</v>
      </c>
      <c r="X102" s="126">
        <v>0</v>
      </c>
      <c r="Y102" s="127">
        <v>0</v>
      </c>
      <c r="Z102" s="127">
        <v>0</v>
      </c>
      <c r="AA102" s="127">
        <v>0</v>
      </c>
      <c r="AB102" s="127">
        <v>0</v>
      </c>
      <c r="AC102" s="127">
        <v>0</v>
      </c>
      <c r="AD102" s="127">
        <v>0</v>
      </c>
      <c r="AE102" s="127">
        <v>0</v>
      </c>
      <c r="AF102" s="127">
        <v>0</v>
      </c>
      <c r="AG102" s="127">
        <v>0</v>
      </c>
      <c r="AH102" s="127">
        <v>0</v>
      </c>
      <c r="AI102" s="127">
        <v>0</v>
      </c>
      <c r="AJ102" s="127">
        <v>0</v>
      </c>
      <c r="AK102" s="127">
        <v>0</v>
      </c>
      <c r="AL102" s="127">
        <v>17</v>
      </c>
      <c r="AM102" s="127">
        <v>0</v>
      </c>
      <c r="AN102" s="127">
        <v>0</v>
      </c>
      <c r="AO102" s="127">
        <v>0</v>
      </c>
      <c r="AP102" s="127">
        <v>0</v>
      </c>
      <c r="AQ102" s="127">
        <v>0</v>
      </c>
      <c r="AR102" s="127">
        <v>0</v>
      </c>
      <c r="AS102" s="127">
        <v>0</v>
      </c>
      <c r="AT102" s="127">
        <v>0</v>
      </c>
      <c r="AU102" s="127">
        <v>0</v>
      </c>
      <c r="AV102" s="127">
        <v>0</v>
      </c>
      <c r="AW102" s="127">
        <v>0</v>
      </c>
      <c r="AX102" s="127">
        <v>0</v>
      </c>
      <c r="AY102" s="127">
        <v>0</v>
      </c>
      <c r="AZ102" s="127">
        <v>0</v>
      </c>
      <c r="BA102" s="127">
        <v>0</v>
      </c>
      <c r="BB102" s="127">
        <v>0</v>
      </c>
      <c r="BC102" s="127">
        <v>0</v>
      </c>
      <c r="BD102" s="127">
        <v>0</v>
      </c>
      <c r="BE102" s="127">
        <v>0</v>
      </c>
      <c r="BF102" s="127">
        <v>0</v>
      </c>
      <c r="BG102" s="127">
        <v>0</v>
      </c>
      <c r="BH102" s="127">
        <v>0</v>
      </c>
      <c r="BI102" s="127">
        <v>0</v>
      </c>
      <c r="BJ102" s="127">
        <v>0</v>
      </c>
      <c r="BK102" s="127">
        <v>0</v>
      </c>
      <c r="BL102" s="127">
        <v>0</v>
      </c>
      <c r="BM102" s="127">
        <v>0</v>
      </c>
      <c r="BN102" s="127">
        <v>0</v>
      </c>
      <c r="BO102" s="127">
        <v>0</v>
      </c>
      <c r="BP102" s="127">
        <v>0</v>
      </c>
      <c r="BQ102" s="127">
        <v>0</v>
      </c>
      <c r="BR102" s="127">
        <v>0</v>
      </c>
      <c r="BS102" s="127">
        <v>0</v>
      </c>
      <c r="BT102" s="127">
        <v>0</v>
      </c>
      <c r="BU102" s="127">
        <v>0</v>
      </c>
      <c r="BV102" s="127">
        <v>0</v>
      </c>
      <c r="BW102" s="127">
        <v>0</v>
      </c>
      <c r="BX102" s="127">
        <v>0</v>
      </c>
      <c r="BY102" s="127">
        <v>0</v>
      </c>
      <c r="BZ102" s="127">
        <v>0</v>
      </c>
      <c r="CA102" s="127">
        <v>0</v>
      </c>
    </row>
    <row r="103" spans="1:79" ht="18" customHeight="1">
      <c r="A103" s="123">
        <v>59</v>
      </c>
      <c r="B103" s="123" t="str">
        <v>RM000015</v>
      </c>
      <c r="C103" s="123" t="str">
        <v>GMP</v>
      </c>
      <c r="D103" s="123" t="str">
        <v>C39/Pre-Production</v>
      </c>
      <c r="E103" s="123" t="str">
        <v>Black cardamom</v>
      </c>
      <c r="F103" s="124">
        <v>16.838000000000001</v>
      </c>
      <c r="G103" s="124">
        <v>0</v>
      </c>
      <c r="H103" s="124">
        <v>-16.838000000000001</v>
      </c>
      <c r="I103" s="125">
        <v>0</v>
      </c>
      <c r="J103" s="123" t="str">
        <v>Not Received</v>
      </c>
      <c r="K103" s="123" t="str">
        <v>No receipt</v>
      </c>
      <c r="L103" s="126">
        <v>0</v>
      </c>
      <c r="M103" s="126">
        <v>0</v>
      </c>
      <c r="N103" s="126">
        <v>0</v>
      </c>
      <c r="O103" s="126">
        <v>0</v>
      </c>
      <c r="P103" s="126">
        <v>0</v>
      </c>
      <c r="Q103" s="126">
        <v>0</v>
      </c>
      <c r="R103" s="126">
        <v>0</v>
      </c>
      <c r="S103" s="126">
        <v>0</v>
      </c>
      <c r="T103" s="126">
        <v>0</v>
      </c>
      <c r="U103" s="126">
        <v>0</v>
      </c>
      <c r="V103" s="126">
        <v>0</v>
      </c>
      <c r="W103" s="126">
        <v>0</v>
      </c>
      <c r="X103" s="126">
        <v>0</v>
      </c>
      <c r="Y103" s="127">
        <v>0</v>
      </c>
      <c r="Z103" s="127">
        <v>0</v>
      </c>
      <c r="AA103" s="127">
        <v>0</v>
      </c>
      <c r="AB103" s="127">
        <v>0</v>
      </c>
      <c r="AC103" s="127">
        <v>0</v>
      </c>
      <c r="AD103" s="127">
        <v>0</v>
      </c>
      <c r="AE103" s="127">
        <v>0</v>
      </c>
      <c r="AF103" s="127">
        <v>0</v>
      </c>
      <c r="AG103" s="127">
        <v>0</v>
      </c>
      <c r="AH103" s="127">
        <v>0</v>
      </c>
      <c r="AI103" s="127">
        <v>0</v>
      </c>
      <c r="AJ103" s="127">
        <v>0</v>
      </c>
      <c r="AK103" s="127">
        <v>0</v>
      </c>
      <c r="AL103" s="127">
        <v>0</v>
      </c>
      <c r="AM103" s="127">
        <v>0</v>
      </c>
      <c r="AN103" s="127">
        <v>0</v>
      </c>
      <c r="AO103" s="127">
        <v>0</v>
      </c>
      <c r="AP103" s="127">
        <v>0</v>
      </c>
      <c r="AQ103" s="127">
        <v>0</v>
      </c>
      <c r="AR103" s="127">
        <v>0</v>
      </c>
      <c r="AS103" s="127">
        <v>0</v>
      </c>
      <c r="AT103" s="127">
        <v>0</v>
      </c>
      <c r="AU103" s="127">
        <v>0</v>
      </c>
      <c r="AV103" s="127">
        <v>0</v>
      </c>
      <c r="AW103" s="127">
        <v>0</v>
      </c>
      <c r="AX103" s="127">
        <v>0</v>
      </c>
      <c r="AY103" s="127">
        <v>0</v>
      </c>
      <c r="AZ103" s="127">
        <v>0</v>
      </c>
      <c r="BA103" s="127">
        <v>0</v>
      </c>
      <c r="BB103" s="127">
        <v>0</v>
      </c>
      <c r="BC103" s="127">
        <v>0</v>
      </c>
      <c r="BD103" s="127">
        <v>0</v>
      </c>
      <c r="BE103" s="127">
        <v>0</v>
      </c>
      <c r="BF103" s="127">
        <v>0</v>
      </c>
      <c r="BG103" s="127">
        <v>0</v>
      </c>
      <c r="BH103" s="127">
        <v>0</v>
      </c>
      <c r="BI103" s="127">
        <v>0</v>
      </c>
      <c r="BJ103" s="127">
        <v>0</v>
      </c>
      <c r="BK103" s="127">
        <v>0</v>
      </c>
      <c r="BL103" s="127">
        <v>0</v>
      </c>
      <c r="BM103" s="127">
        <v>0</v>
      </c>
      <c r="BN103" s="127">
        <v>0</v>
      </c>
      <c r="BO103" s="127">
        <v>0</v>
      </c>
      <c r="BP103" s="127">
        <v>0</v>
      </c>
      <c r="BQ103" s="127">
        <v>0</v>
      </c>
      <c r="BR103" s="127">
        <v>0</v>
      </c>
      <c r="BS103" s="127">
        <v>0</v>
      </c>
      <c r="BT103" s="127">
        <v>0</v>
      </c>
      <c r="BU103" s="127">
        <v>0</v>
      </c>
      <c r="BV103" s="127">
        <v>0</v>
      </c>
      <c r="BW103" s="127">
        <v>0</v>
      </c>
      <c r="BX103" s="127">
        <v>0</v>
      </c>
      <c r="BY103" s="127">
        <v>0</v>
      </c>
      <c r="BZ103" s="127">
        <v>0</v>
      </c>
      <c r="CA103" s="127">
        <v>0</v>
      </c>
    </row>
    <row r="104" spans="1:79" ht="18" customHeight="1">
      <c r="A104" s="123">
        <v>52</v>
      </c>
      <c r="B104" s="123" t="str">
        <v>RM000122</v>
      </c>
      <c r="C104" s="123" t="str">
        <v>GMP</v>
      </c>
      <c r="D104" s="123" t="str">
        <v>C39/Pre-Production</v>
      </c>
      <c r="E104" s="123" t="str">
        <v>Nutmeg( jayfal)</v>
      </c>
      <c r="F104" s="124">
        <v>7.1767192118226566</v>
      </c>
      <c r="G104" s="124">
        <v>0</v>
      </c>
      <c r="H104" s="124">
        <v>-7.1767192118226566</v>
      </c>
      <c r="I104" s="125">
        <v>0</v>
      </c>
      <c r="J104" s="123" t="str">
        <v>Not Received</v>
      </c>
      <c r="K104" s="123" t="str">
        <v>No receipt</v>
      </c>
      <c r="L104" s="126">
        <v>0</v>
      </c>
      <c r="M104" s="126">
        <v>0</v>
      </c>
      <c r="N104" s="126">
        <v>0</v>
      </c>
      <c r="O104" s="126">
        <v>0</v>
      </c>
      <c r="P104" s="126">
        <v>0</v>
      </c>
      <c r="Q104" s="126">
        <v>0</v>
      </c>
      <c r="R104" s="126">
        <v>0</v>
      </c>
      <c r="S104" s="126">
        <v>0</v>
      </c>
      <c r="T104" s="126">
        <v>0</v>
      </c>
      <c r="U104" s="126">
        <v>0</v>
      </c>
      <c r="V104" s="126">
        <v>0</v>
      </c>
      <c r="W104" s="126">
        <v>0</v>
      </c>
      <c r="X104" s="126">
        <v>0</v>
      </c>
      <c r="Y104" s="127">
        <v>0</v>
      </c>
      <c r="Z104" s="127">
        <v>0</v>
      </c>
      <c r="AA104" s="127">
        <v>0</v>
      </c>
      <c r="AB104" s="127">
        <v>0</v>
      </c>
      <c r="AC104" s="127">
        <v>0</v>
      </c>
      <c r="AD104" s="127">
        <v>0</v>
      </c>
      <c r="AE104" s="127">
        <v>0</v>
      </c>
      <c r="AF104" s="127">
        <v>0</v>
      </c>
      <c r="AG104" s="127">
        <v>0</v>
      </c>
      <c r="AH104" s="127">
        <v>0</v>
      </c>
      <c r="AI104" s="127">
        <v>0</v>
      </c>
      <c r="AJ104" s="127">
        <v>0</v>
      </c>
      <c r="AK104" s="127">
        <v>0</v>
      </c>
      <c r="AL104" s="127">
        <v>0</v>
      </c>
      <c r="AM104" s="127">
        <v>0</v>
      </c>
      <c r="AN104" s="127">
        <v>0</v>
      </c>
      <c r="AO104" s="127">
        <v>0</v>
      </c>
      <c r="AP104" s="127">
        <v>0</v>
      </c>
      <c r="AQ104" s="127">
        <v>0</v>
      </c>
      <c r="AR104" s="127">
        <v>0</v>
      </c>
      <c r="AS104" s="127">
        <v>0</v>
      </c>
      <c r="AT104" s="127">
        <v>0</v>
      </c>
      <c r="AU104" s="127">
        <v>0</v>
      </c>
      <c r="AV104" s="127">
        <v>0</v>
      </c>
      <c r="AW104" s="127">
        <v>0</v>
      </c>
      <c r="AX104" s="127">
        <v>0</v>
      </c>
      <c r="AY104" s="127">
        <v>0</v>
      </c>
      <c r="AZ104" s="127">
        <v>0</v>
      </c>
      <c r="BA104" s="127">
        <v>0</v>
      </c>
      <c r="BB104" s="127">
        <v>0</v>
      </c>
      <c r="BC104" s="127">
        <v>0</v>
      </c>
      <c r="BD104" s="127">
        <v>0</v>
      </c>
      <c r="BE104" s="127">
        <v>0</v>
      </c>
      <c r="BF104" s="127">
        <v>0</v>
      </c>
      <c r="BG104" s="127">
        <v>0</v>
      </c>
      <c r="BH104" s="127">
        <v>0</v>
      </c>
      <c r="BI104" s="127">
        <v>0</v>
      </c>
      <c r="BJ104" s="127">
        <v>0</v>
      </c>
      <c r="BK104" s="127">
        <v>0</v>
      </c>
      <c r="BL104" s="127">
        <v>0</v>
      </c>
      <c r="BM104" s="127">
        <v>0</v>
      </c>
      <c r="BN104" s="127">
        <v>0</v>
      </c>
      <c r="BO104" s="127">
        <v>0</v>
      </c>
      <c r="BP104" s="127">
        <v>0</v>
      </c>
      <c r="BQ104" s="127">
        <v>0</v>
      </c>
      <c r="BR104" s="127">
        <v>0</v>
      </c>
      <c r="BS104" s="127">
        <v>0</v>
      </c>
      <c r="BT104" s="127">
        <v>0</v>
      </c>
      <c r="BU104" s="127">
        <v>0</v>
      </c>
      <c r="BV104" s="127">
        <v>0</v>
      </c>
      <c r="BW104" s="127">
        <v>0</v>
      </c>
      <c r="BX104" s="127">
        <v>0</v>
      </c>
      <c r="BY104" s="127">
        <v>0</v>
      </c>
      <c r="BZ104" s="127">
        <v>0</v>
      </c>
      <c r="CA104" s="127">
        <v>0</v>
      </c>
    </row>
    <row r="105" spans="1:79" ht="18" customHeight="1">
      <c r="A105" s="123">
        <v>6</v>
      </c>
      <c r="B105" s="123" t="str">
        <v>RM000179</v>
      </c>
      <c r="C105" s="123" t="str">
        <v>Saffron</v>
      </c>
      <c r="D105" s="123" t="str">
        <v>C39/Pre-Production</v>
      </c>
      <c r="E105" s="123" t="str">
        <v>Saffron</v>
      </c>
      <c r="F105" s="124">
        <v>6.2570000000000006</v>
      </c>
      <c r="G105" s="124">
        <v>0</v>
      </c>
      <c r="H105" s="124">
        <v>-6.2570000000000006</v>
      </c>
      <c r="I105" s="125">
        <v>0</v>
      </c>
      <c r="J105" s="123" t="str">
        <v>Not Received</v>
      </c>
      <c r="K105" s="123" t="str">
        <v>No receipt</v>
      </c>
      <c r="L105" s="126">
        <v>0</v>
      </c>
      <c r="M105" s="126">
        <v>0</v>
      </c>
      <c r="N105" s="126">
        <v>0</v>
      </c>
      <c r="O105" s="126">
        <v>0</v>
      </c>
      <c r="P105" s="126">
        <v>0</v>
      </c>
      <c r="Q105" s="126">
        <v>0</v>
      </c>
      <c r="R105" s="126">
        <v>0</v>
      </c>
      <c r="S105" s="126">
        <v>0</v>
      </c>
      <c r="T105" s="126">
        <v>0</v>
      </c>
      <c r="U105" s="126">
        <v>0</v>
      </c>
      <c r="V105" s="126">
        <v>0</v>
      </c>
      <c r="W105" s="126">
        <v>0</v>
      </c>
      <c r="X105" s="126">
        <v>0</v>
      </c>
      <c r="Y105" s="127">
        <v>0</v>
      </c>
      <c r="Z105" s="127">
        <v>0</v>
      </c>
      <c r="AA105" s="127">
        <v>0</v>
      </c>
      <c r="AB105" s="127">
        <v>0</v>
      </c>
      <c r="AC105" s="127">
        <v>0</v>
      </c>
      <c r="AD105" s="127">
        <v>0</v>
      </c>
      <c r="AE105" s="127">
        <v>0</v>
      </c>
      <c r="AF105" s="127">
        <v>500</v>
      </c>
      <c r="AG105" s="127">
        <v>0</v>
      </c>
      <c r="AH105" s="127">
        <v>2000</v>
      </c>
      <c r="AI105" s="127">
        <v>0</v>
      </c>
      <c r="AJ105" s="127">
        <v>0</v>
      </c>
      <c r="AK105" s="127">
        <v>0</v>
      </c>
      <c r="AL105" s="127">
        <v>960</v>
      </c>
      <c r="AM105" s="127">
        <v>0</v>
      </c>
      <c r="AN105" s="127">
        <v>0</v>
      </c>
      <c r="AO105" s="127">
        <v>3000</v>
      </c>
      <c r="AP105" s="127">
        <v>0</v>
      </c>
      <c r="AQ105" s="127">
        <v>0</v>
      </c>
      <c r="AR105" s="127">
        <v>0</v>
      </c>
      <c r="AS105" s="127">
        <v>0</v>
      </c>
      <c r="AT105" s="127">
        <v>0</v>
      </c>
      <c r="AU105" s="127">
        <v>0</v>
      </c>
      <c r="AV105" s="127">
        <v>0</v>
      </c>
      <c r="AW105" s="127">
        <v>2000</v>
      </c>
      <c r="AX105" s="127">
        <v>0</v>
      </c>
      <c r="AY105" s="127">
        <v>0</v>
      </c>
      <c r="AZ105" s="127">
        <v>0</v>
      </c>
      <c r="BA105" s="127">
        <v>0</v>
      </c>
      <c r="BB105" s="127">
        <v>0</v>
      </c>
      <c r="BC105" s="127">
        <v>0</v>
      </c>
      <c r="BD105" s="127">
        <v>0</v>
      </c>
      <c r="BE105" s="127">
        <v>0</v>
      </c>
      <c r="BF105" s="127">
        <v>0</v>
      </c>
      <c r="BG105" s="127">
        <v>0</v>
      </c>
      <c r="BH105" s="127">
        <v>0</v>
      </c>
      <c r="BI105" s="127">
        <v>0</v>
      </c>
      <c r="BJ105" s="127">
        <v>0</v>
      </c>
      <c r="BK105" s="127">
        <v>0</v>
      </c>
      <c r="BL105" s="127">
        <v>0</v>
      </c>
      <c r="BM105" s="127">
        <v>0</v>
      </c>
      <c r="BN105" s="127">
        <v>0</v>
      </c>
      <c r="BO105" s="127">
        <v>0</v>
      </c>
      <c r="BP105" s="127">
        <v>0</v>
      </c>
      <c r="BQ105" s="127">
        <v>0</v>
      </c>
      <c r="BR105" s="127">
        <v>0</v>
      </c>
      <c r="BS105" s="127">
        <v>0</v>
      </c>
      <c r="BT105" s="127">
        <v>0</v>
      </c>
      <c r="BU105" s="127">
        <v>0</v>
      </c>
      <c r="BV105" s="127">
        <v>0</v>
      </c>
      <c r="BW105" s="127">
        <v>0</v>
      </c>
      <c r="BX105" s="127">
        <v>0</v>
      </c>
      <c r="BY105" s="127">
        <v>0</v>
      </c>
      <c r="BZ105" s="127">
        <v>0</v>
      </c>
      <c r="CA105" s="127">
        <v>0</v>
      </c>
    </row>
    <row r="106" spans="1:79" ht="18" customHeight="1">
      <c r="A106" s="123">
        <v>18</v>
      </c>
      <c r="B106" s="123" t="str">
        <v>RM000168</v>
      </c>
      <c r="C106" s="123" t="str">
        <v>Raw Agri</v>
      </c>
      <c r="D106" s="123" t="str">
        <v>MIND/Pre-Production</v>
      </c>
      <c r="E106" s="123" t="str">
        <v>Raw Tur Dal</v>
      </c>
      <c r="F106" s="124">
        <v>5.5099999999999909</v>
      </c>
      <c r="G106" s="124">
        <v>0</v>
      </c>
      <c r="H106" s="124">
        <v>-5.5099999999999909</v>
      </c>
      <c r="I106" s="125">
        <v>0</v>
      </c>
      <c r="J106" s="123" t="str">
        <v>Not Received</v>
      </c>
      <c r="K106" s="123" t="str">
        <v>No receipt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0</v>
      </c>
      <c r="U106" s="126">
        <v>0</v>
      </c>
      <c r="V106" s="126">
        <v>0</v>
      </c>
      <c r="W106" s="126">
        <v>0</v>
      </c>
      <c r="X106" s="126">
        <v>0</v>
      </c>
      <c r="Y106" s="127">
        <v>0</v>
      </c>
      <c r="Z106" s="127">
        <v>0</v>
      </c>
      <c r="AA106" s="127">
        <v>0</v>
      </c>
      <c r="AB106" s="127">
        <v>0</v>
      </c>
      <c r="AC106" s="127">
        <v>0</v>
      </c>
      <c r="AD106" s="127">
        <v>0</v>
      </c>
      <c r="AE106" s="127">
        <v>0</v>
      </c>
      <c r="AF106" s="127">
        <v>0</v>
      </c>
      <c r="AG106" s="127">
        <v>0</v>
      </c>
      <c r="AH106" s="127">
        <v>0</v>
      </c>
      <c r="AI106" s="127">
        <v>0</v>
      </c>
      <c r="AJ106" s="127">
        <v>0</v>
      </c>
      <c r="AK106" s="127">
        <v>0</v>
      </c>
      <c r="AL106" s="127">
        <v>0</v>
      </c>
      <c r="AM106" s="127">
        <v>0</v>
      </c>
      <c r="AN106" s="127">
        <v>0</v>
      </c>
      <c r="AO106" s="127">
        <v>0</v>
      </c>
      <c r="AP106" s="127">
        <v>0</v>
      </c>
      <c r="AQ106" s="127">
        <v>0</v>
      </c>
      <c r="AR106" s="127">
        <v>0</v>
      </c>
      <c r="AS106" s="127">
        <v>0</v>
      </c>
      <c r="AT106" s="127">
        <v>0</v>
      </c>
      <c r="AU106" s="127">
        <v>0</v>
      </c>
      <c r="AV106" s="127">
        <v>0</v>
      </c>
      <c r="AW106" s="127">
        <v>0</v>
      </c>
      <c r="AX106" s="127">
        <v>0</v>
      </c>
      <c r="AY106" s="127">
        <v>0</v>
      </c>
      <c r="AZ106" s="127">
        <v>0</v>
      </c>
      <c r="BA106" s="127">
        <v>0</v>
      </c>
      <c r="BB106" s="127">
        <v>0</v>
      </c>
      <c r="BC106" s="127">
        <v>0</v>
      </c>
      <c r="BD106" s="127">
        <v>0</v>
      </c>
      <c r="BE106" s="127">
        <v>0</v>
      </c>
      <c r="BF106" s="127">
        <v>0</v>
      </c>
      <c r="BG106" s="127">
        <v>0</v>
      </c>
      <c r="BH106" s="127">
        <v>0</v>
      </c>
      <c r="BI106" s="127">
        <v>0</v>
      </c>
      <c r="BJ106" s="127">
        <v>0</v>
      </c>
      <c r="BK106" s="127">
        <v>0</v>
      </c>
      <c r="BL106" s="127">
        <v>0</v>
      </c>
      <c r="BM106" s="127">
        <v>0</v>
      </c>
      <c r="BN106" s="127">
        <v>0</v>
      </c>
      <c r="BO106" s="127">
        <v>0</v>
      </c>
      <c r="BP106" s="127">
        <v>0</v>
      </c>
      <c r="BQ106" s="127">
        <v>0</v>
      </c>
      <c r="BR106" s="127">
        <v>0</v>
      </c>
      <c r="BS106" s="127">
        <v>0</v>
      </c>
      <c r="BT106" s="127">
        <v>0</v>
      </c>
      <c r="BU106" s="127">
        <v>0</v>
      </c>
      <c r="BV106" s="127">
        <v>0</v>
      </c>
      <c r="BW106" s="127">
        <v>0</v>
      </c>
      <c r="BX106" s="127">
        <v>0</v>
      </c>
      <c r="BY106" s="127">
        <v>0</v>
      </c>
      <c r="BZ106" s="127">
        <v>0</v>
      </c>
      <c r="CA106" s="127">
        <v>0</v>
      </c>
    </row>
    <row r="107" spans="1:79" ht="18" customHeight="1">
      <c r="A107" s="123">
        <v>56</v>
      </c>
      <c r="B107" s="123" t="str">
        <v>RM000051</v>
      </c>
      <c r="C107" s="123" t="str">
        <v>GMP</v>
      </c>
      <c r="D107" s="123" t="str">
        <v>C39/Pre-Production</v>
      </c>
      <c r="E107" s="123" t="str">
        <v>Dalchini/cinnamon</v>
      </c>
      <c r="F107" s="124">
        <v>4.9800000000000004</v>
      </c>
      <c r="G107" s="124">
        <v>0</v>
      </c>
      <c r="H107" s="124">
        <v>-4.9800000000000004</v>
      </c>
      <c r="I107" s="125">
        <v>0</v>
      </c>
      <c r="J107" s="123" t="str">
        <v>Not Received</v>
      </c>
      <c r="K107" s="123" t="str">
        <v>No receipt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0</v>
      </c>
      <c r="R107" s="126">
        <v>0</v>
      </c>
      <c r="S107" s="126">
        <v>0</v>
      </c>
      <c r="T107" s="126">
        <v>0</v>
      </c>
      <c r="U107" s="126">
        <v>0</v>
      </c>
      <c r="V107" s="126">
        <v>0</v>
      </c>
      <c r="W107" s="126">
        <v>0</v>
      </c>
      <c r="X107" s="126">
        <v>0</v>
      </c>
      <c r="Y107" s="127">
        <v>0</v>
      </c>
      <c r="Z107" s="127">
        <v>0</v>
      </c>
      <c r="AA107" s="127">
        <v>0</v>
      </c>
      <c r="AB107" s="127">
        <v>0</v>
      </c>
      <c r="AC107" s="127">
        <v>0</v>
      </c>
      <c r="AD107" s="127">
        <v>0</v>
      </c>
      <c r="AE107" s="127">
        <v>0</v>
      </c>
      <c r="AF107" s="127">
        <v>0</v>
      </c>
      <c r="AG107" s="127">
        <v>0</v>
      </c>
      <c r="AH107" s="127">
        <v>0</v>
      </c>
      <c r="AI107" s="127">
        <v>0</v>
      </c>
      <c r="AJ107" s="127">
        <v>0</v>
      </c>
      <c r="AK107" s="127">
        <v>0</v>
      </c>
      <c r="AL107" s="127">
        <v>16</v>
      </c>
      <c r="AM107" s="127">
        <v>0</v>
      </c>
      <c r="AN107" s="127">
        <v>0</v>
      </c>
      <c r="AO107" s="127">
        <v>0</v>
      </c>
      <c r="AP107" s="127">
        <v>0</v>
      </c>
      <c r="AQ107" s="127">
        <v>0</v>
      </c>
      <c r="AR107" s="127">
        <v>0</v>
      </c>
      <c r="AS107" s="127">
        <v>0</v>
      </c>
      <c r="AT107" s="127">
        <v>0</v>
      </c>
      <c r="AU107" s="127">
        <v>0</v>
      </c>
      <c r="AV107" s="127">
        <v>0</v>
      </c>
      <c r="AW107" s="127">
        <v>0</v>
      </c>
      <c r="AX107" s="127">
        <v>0</v>
      </c>
      <c r="AY107" s="127">
        <v>0</v>
      </c>
      <c r="AZ107" s="127">
        <v>0</v>
      </c>
      <c r="BA107" s="127">
        <v>0</v>
      </c>
      <c r="BB107" s="127">
        <v>0</v>
      </c>
      <c r="BC107" s="127">
        <v>0</v>
      </c>
      <c r="BD107" s="127">
        <v>0</v>
      </c>
      <c r="BE107" s="127">
        <v>0</v>
      </c>
      <c r="BF107" s="127">
        <v>0</v>
      </c>
      <c r="BG107" s="127">
        <v>0</v>
      </c>
      <c r="BH107" s="127">
        <v>0</v>
      </c>
      <c r="BI107" s="127">
        <v>0</v>
      </c>
      <c r="BJ107" s="127">
        <v>0</v>
      </c>
      <c r="BK107" s="127">
        <v>0</v>
      </c>
      <c r="BL107" s="127">
        <v>0</v>
      </c>
      <c r="BM107" s="127">
        <v>0</v>
      </c>
      <c r="BN107" s="127">
        <v>0</v>
      </c>
      <c r="BO107" s="127">
        <v>0</v>
      </c>
      <c r="BP107" s="127">
        <v>0</v>
      </c>
      <c r="BQ107" s="127">
        <v>0</v>
      </c>
      <c r="BR107" s="127">
        <v>0</v>
      </c>
      <c r="BS107" s="127">
        <v>0</v>
      </c>
      <c r="BT107" s="127">
        <v>0</v>
      </c>
      <c r="BU107" s="127">
        <v>0</v>
      </c>
      <c r="BV107" s="127">
        <v>0</v>
      </c>
      <c r="BW107" s="127">
        <v>0</v>
      </c>
      <c r="BX107" s="127">
        <v>0</v>
      </c>
      <c r="BY107" s="127">
        <v>0</v>
      </c>
      <c r="BZ107" s="127">
        <v>0</v>
      </c>
      <c r="CA107" s="127">
        <v>0</v>
      </c>
    </row>
    <row r="108" spans="1:79" ht="18" customHeight="1">
      <c r="A108" s="123">
        <v>50</v>
      </c>
      <c r="B108" s="123" t="str">
        <v>RM000220</v>
      </c>
      <c r="C108" s="123" t="str">
        <v>GMP</v>
      </c>
      <c r="D108" s="123" t="str">
        <v>C39/Pre-Production</v>
      </c>
      <c r="E108" s="123" t="str">
        <v>Broken Saffron</v>
      </c>
      <c r="F108" s="124">
        <v>0.1888</v>
      </c>
      <c r="G108" s="124">
        <v>0</v>
      </c>
      <c r="H108" s="124">
        <v>-0.1888</v>
      </c>
      <c r="I108" s="125">
        <v>0</v>
      </c>
      <c r="J108" s="123" t="str">
        <v>Not Received</v>
      </c>
      <c r="K108" s="123" t="str">
        <v>No receipt</v>
      </c>
      <c r="L108" s="126">
        <v>0</v>
      </c>
      <c r="M108" s="126">
        <v>0</v>
      </c>
      <c r="N108" s="126">
        <v>0</v>
      </c>
      <c r="O108" s="126">
        <v>0</v>
      </c>
      <c r="P108" s="126">
        <v>0</v>
      </c>
      <c r="Q108" s="126">
        <v>0</v>
      </c>
      <c r="R108" s="126">
        <v>0</v>
      </c>
      <c r="S108" s="126">
        <v>0</v>
      </c>
      <c r="T108" s="126">
        <v>0</v>
      </c>
      <c r="U108" s="126">
        <v>0</v>
      </c>
      <c r="V108" s="126">
        <v>0</v>
      </c>
      <c r="W108" s="126">
        <v>0</v>
      </c>
      <c r="X108" s="126">
        <v>0</v>
      </c>
      <c r="Y108" s="127">
        <v>0</v>
      </c>
      <c r="Z108" s="127">
        <v>0</v>
      </c>
      <c r="AA108" s="127">
        <v>0</v>
      </c>
      <c r="AB108" s="127">
        <v>0</v>
      </c>
      <c r="AC108" s="127">
        <v>0</v>
      </c>
      <c r="AD108" s="127">
        <v>0</v>
      </c>
      <c r="AE108" s="127">
        <v>0</v>
      </c>
      <c r="AF108" s="127">
        <v>0</v>
      </c>
      <c r="AG108" s="127">
        <v>0</v>
      </c>
      <c r="AH108" s="127">
        <v>0</v>
      </c>
      <c r="AI108" s="127">
        <v>0</v>
      </c>
      <c r="AJ108" s="127">
        <v>0</v>
      </c>
      <c r="AK108" s="127">
        <v>0</v>
      </c>
      <c r="AL108" s="127">
        <v>0</v>
      </c>
      <c r="AM108" s="127">
        <v>0</v>
      </c>
      <c r="AN108" s="127">
        <v>0</v>
      </c>
      <c r="AO108" s="127">
        <v>0</v>
      </c>
      <c r="AP108" s="127">
        <v>0</v>
      </c>
      <c r="AQ108" s="127">
        <v>0</v>
      </c>
      <c r="AR108" s="127">
        <v>0</v>
      </c>
      <c r="AS108" s="127">
        <v>0</v>
      </c>
      <c r="AT108" s="127">
        <v>0</v>
      </c>
      <c r="AU108" s="127">
        <v>0</v>
      </c>
      <c r="AV108" s="127">
        <v>0</v>
      </c>
      <c r="AW108" s="127">
        <v>0</v>
      </c>
      <c r="AX108" s="127">
        <v>0</v>
      </c>
      <c r="AY108" s="127">
        <v>0</v>
      </c>
      <c r="AZ108" s="127">
        <v>0</v>
      </c>
      <c r="BA108" s="127">
        <v>0</v>
      </c>
      <c r="BB108" s="127">
        <v>0</v>
      </c>
      <c r="BC108" s="127">
        <v>0</v>
      </c>
      <c r="BD108" s="127">
        <v>0</v>
      </c>
      <c r="BE108" s="127">
        <v>0</v>
      </c>
      <c r="BF108" s="127">
        <v>0</v>
      </c>
      <c r="BG108" s="127">
        <v>0</v>
      </c>
      <c r="BH108" s="127">
        <v>0</v>
      </c>
      <c r="BI108" s="127">
        <v>0</v>
      </c>
      <c r="BJ108" s="127">
        <v>0</v>
      </c>
      <c r="BK108" s="127">
        <v>0</v>
      </c>
      <c r="BL108" s="127">
        <v>0</v>
      </c>
      <c r="BM108" s="127">
        <v>0</v>
      </c>
      <c r="BN108" s="127">
        <v>0</v>
      </c>
      <c r="BO108" s="127">
        <v>0</v>
      </c>
      <c r="BP108" s="127">
        <v>0</v>
      </c>
      <c r="BQ108" s="127">
        <v>0</v>
      </c>
      <c r="BR108" s="127">
        <v>0</v>
      </c>
      <c r="BS108" s="127">
        <v>0</v>
      </c>
      <c r="BT108" s="127">
        <v>0</v>
      </c>
      <c r="BU108" s="127">
        <v>0</v>
      </c>
      <c r="BV108" s="127">
        <v>0</v>
      </c>
      <c r="BW108" s="127">
        <v>0</v>
      </c>
      <c r="BX108" s="127">
        <v>0</v>
      </c>
      <c r="BY108" s="127">
        <v>0</v>
      </c>
      <c r="BZ108" s="127">
        <v>0</v>
      </c>
      <c r="CA108" s="127">
        <v>0</v>
      </c>
    </row>
    <row r="109" spans="1:79" ht="18" customHeight="1">
      <c r="A109" s="123">
        <v>3</v>
      </c>
      <c r="B109" s="123" t="str">
        <v>RM000071</v>
      </c>
      <c r="C109" s="123" t="str">
        <v>Spices</v>
      </c>
      <c r="D109" s="123" t="str">
        <v>C39/Pre-Production</v>
      </c>
      <c r="E109" s="123" t="str">
        <v>Haldi-Turmeric Powder</v>
      </c>
      <c r="F109" s="124">
        <v>0</v>
      </c>
      <c r="G109" s="124">
        <v>0</v>
      </c>
      <c r="H109" s="124">
        <v>0</v>
      </c>
      <c r="I109" s="125">
        <v>0</v>
      </c>
      <c r="J109" s="123" t="str">
        <v>Data Review</v>
      </c>
      <c r="K109" s="123" t="str">
        <v/>
      </c>
      <c r="L109" s="126">
        <v>0</v>
      </c>
      <c r="M109" s="126">
        <v>0</v>
      </c>
      <c r="N109" s="126">
        <v>0</v>
      </c>
      <c r="O109" s="126">
        <v>0</v>
      </c>
      <c r="P109" s="126">
        <v>0</v>
      </c>
      <c r="Q109" s="126">
        <v>0</v>
      </c>
      <c r="R109" s="126">
        <v>0</v>
      </c>
      <c r="S109" s="126">
        <v>0</v>
      </c>
      <c r="T109" s="126">
        <v>0</v>
      </c>
      <c r="U109" s="126">
        <v>0</v>
      </c>
      <c r="V109" s="126">
        <v>0</v>
      </c>
      <c r="W109" s="126">
        <v>0</v>
      </c>
      <c r="X109" s="126">
        <v>0</v>
      </c>
      <c r="Y109" s="127">
        <v>0</v>
      </c>
      <c r="Z109" s="127">
        <v>0</v>
      </c>
      <c r="AA109" s="127">
        <v>0</v>
      </c>
      <c r="AB109" s="127">
        <v>0</v>
      </c>
      <c r="AC109" s="127">
        <v>0</v>
      </c>
      <c r="AD109" s="127">
        <v>300</v>
      </c>
      <c r="AE109" s="127">
        <v>0</v>
      </c>
      <c r="AF109" s="127">
        <v>0</v>
      </c>
      <c r="AG109" s="127">
        <v>0</v>
      </c>
      <c r="AH109" s="127">
        <v>0</v>
      </c>
      <c r="AI109" s="127">
        <v>0</v>
      </c>
      <c r="AJ109" s="127">
        <v>0</v>
      </c>
      <c r="AK109" s="127">
        <v>0</v>
      </c>
      <c r="AL109" s="127">
        <v>50</v>
      </c>
      <c r="AM109" s="127">
        <v>0</v>
      </c>
      <c r="AN109" s="127">
        <v>0</v>
      </c>
      <c r="AO109" s="127">
        <v>0</v>
      </c>
      <c r="AP109" s="127">
        <v>0</v>
      </c>
      <c r="AQ109" s="127">
        <v>0</v>
      </c>
      <c r="AR109" s="127">
        <v>0</v>
      </c>
      <c r="AS109" s="127">
        <v>0</v>
      </c>
      <c r="AT109" s="127">
        <v>0</v>
      </c>
      <c r="AU109" s="127">
        <v>0</v>
      </c>
      <c r="AV109" s="127">
        <v>0</v>
      </c>
      <c r="AW109" s="127">
        <v>0</v>
      </c>
      <c r="AX109" s="127">
        <v>0</v>
      </c>
      <c r="AY109" s="127">
        <v>0</v>
      </c>
      <c r="AZ109" s="127">
        <v>0</v>
      </c>
      <c r="BA109" s="127">
        <v>0</v>
      </c>
      <c r="BB109" s="127">
        <v>0</v>
      </c>
      <c r="BC109" s="127">
        <v>0</v>
      </c>
      <c r="BD109" s="127">
        <v>0</v>
      </c>
      <c r="BE109" s="127">
        <v>0</v>
      </c>
      <c r="BF109" s="127">
        <v>0</v>
      </c>
      <c r="BG109" s="127">
        <v>0</v>
      </c>
      <c r="BH109" s="127">
        <v>0</v>
      </c>
      <c r="BI109" s="127">
        <v>0</v>
      </c>
      <c r="BJ109" s="127">
        <v>0</v>
      </c>
      <c r="BK109" s="127">
        <v>0</v>
      </c>
      <c r="BL109" s="127">
        <v>0</v>
      </c>
      <c r="BM109" s="127">
        <v>0</v>
      </c>
      <c r="BN109" s="127">
        <v>0</v>
      </c>
      <c r="BO109" s="127">
        <v>0</v>
      </c>
      <c r="BP109" s="127">
        <v>0</v>
      </c>
      <c r="BQ109" s="127">
        <v>0</v>
      </c>
      <c r="BR109" s="127">
        <v>0</v>
      </c>
      <c r="BS109" s="127">
        <v>0</v>
      </c>
      <c r="BT109" s="127">
        <v>0</v>
      </c>
      <c r="BU109" s="127">
        <v>0</v>
      </c>
      <c r="BV109" s="127">
        <v>0</v>
      </c>
      <c r="BW109" s="127">
        <v>0</v>
      </c>
      <c r="BX109" s="127">
        <v>0</v>
      </c>
      <c r="BY109" s="127">
        <v>0</v>
      </c>
      <c r="BZ109" s="127">
        <v>0</v>
      </c>
      <c r="CA109" s="127">
        <v>0</v>
      </c>
    </row>
    <row r="110" spans="1:79" ht="18" customHeight="1">
      <c r="A110" s="123">
        <v>11</v>
      </c>
      <c r="B110" s="123" t="str">
        <v>RM000164</v>
      </c>
      <c r="C110" s="123" t="str">
        <v>Raw Agri</v>
      </c>
      <c r="D110" s="123" t="str">
        <v>MIND/Pre-Production</v>
      </c>
      <c r="E110" s="123" t="str">
        <v>Raw Stony Ambemohar rice</v>
      </c>
      <c r="F110" s="124">
        <v>0</v>
      </c>
      <c r="G110" s="124">
        <v>0</v>
      </c>
      <c r="H110" s="124">
        <v>0</v>
      </c>
      <c r="I110" s="125">
        <v>0</v>
      </c>
      <c r="J110" s="123" t="str">
        <v>Data Review</v>
      </c>
      <c r="K110" s="123" t="str">
        <v/>
      </c>
      <c r="L110" s="126">
        <v>0</v>
      </c>
      <c r="M110" s="126">
        <v>0</v>
      </c>
      <c r="N110" s="126">
        <v>0</v>
      </c>
      <c r="O110" s="126">
        <v>0</v>
      </c>
      <c r="P110" s="126">
        <v>0</v>
      </c>
      <c r="Q110" s="126">
        <v>0</v>
      </c>
      <c r="R110" s="126">
        <v>0</v>
      </c>
      <c r="S110" s="126">
        <v>0</v>
      </c>
      <c r="T110" s="126">
        <v>0</v>
      </c>
      <c r="U110" s="126">
        <v>0</v>
      </c>
      <c r="V110" s="126">
        <v>0</v>
      </c>
      <c r="W110" s="126">
        <v>0</v>
      </c>
      <c r="X110" s="126">
        <v>0</v>
      </c>
      <c r="Y110" s="127">
        <v>0</v>
      </c>
      <c r="Z110" s="127">
        <v>0</v>
      </c>
      <c r="AA110" s="127">
        <v>0</v>
      </c>
      <c r="AB110" s="127">
        <v>0</v>
      </c>
      <c r="AC110" s="127">
        <v>0</v>
      </c>
      <c r="AD110" s="127">
        <v>0</v>
      </c>
      <c r="AE110" s="127">
        <v>0</v>
      </c>
      <c r="AF110" s="127">
        <v>0</v>
      </c>
      <c r="AG110" s="127">
        <v>0</v>
      </c>
      <c r="AH110" s="127">
        <v>0</v>
      </c>
      <c r="AI110" s="127">
        <v>0</v>
      </c>
      <c r="AJ110" s="127">
        <v>0</v>
      </c>
      <c r="AK110" s="127">
        <v>0</v>
      </c>
      <c r="AL110" s="127">
        <v>0</v>
      </c>
      <c r="AM110" s="127">
        <v>0</v>
      </c>
      <c r="AN110" s="127">
        <v>0</v>
      </c>
      <c r="AO110" s="127">
        <v>0</v>
      </c>
      <c r="AP110" s="127">
        <v>0</v>
      </c>
      <c r="AQ110" s="127">
        <v>0</v>
      </c>
      <c r="AR110" s="127">
        <v>0</v>
      </c>
      <c r="AS110" s="127">
        <v>0</v>
      </c>
      <c r="AT110" s="127">
        <v>0</v>
      </c>
      <c r="AU110" s="127">
        <v>0</v>
      </c>
      <c r="AV110" s="127">
        <v>0</v>
      </c>
      <c r="AW110" s="127">
        <v>0</v>
      </c>
      <c r="AX110" s="127">
        <v>0</v>
      </c>
      <c r="AY110" s="127">
        <v>0</v>
      </c>
      <c r="AZ110" s="127">
        <v>0</v>
      </c>
      <c r="BA110" s="127">
        <v>0</v>
      </c>
      <c r="BB110" s="127">
        <v>0</v>
      </c>
      <c r="BC110" s="127">
        <v>0</v>
      </c>
      <c r="BD110" s="127">
        <v>0</v>
      </c>
      <c r="BE110" s="127">
        <v>0</v>
      </c>
      <c r="BF110" s="127">
        <v>0</v>
      </c>
      <c r="BG110" s="127">
        <v>0</v>
      </c>
      <c r="BH110" s="127">
        <v>0</v>
      </c>
      <c r="BI110" s="127">
        <v>0</v>
      </c>
      <c r="BJ110" s="127">
        <v>0</v>
      </c>
      <c r="BK110" s="127">
        <v>0</v>
      </c>
      <c r="BL110" s="127">
        <v>0</v>
      </c>
      <c r="BM110" s="127">
        <v>0</v>
      </c>
      <c r="BN110" s="127">
        <v>0</v>
      </c>
      <c r="BO110" s="127">
        <v>0</v>
      </c>
      <c r="BP110" s="127">
        <v>0</v>
      </c>
      <c r="BQ110" s="127">
        <v>0</v>
      </c>
      <c r="BR110" s="127">
        <v>0</v>
      </c>
      <c r="BS110" s="127">
        <v>0</v>
      </c>
      <c r="BT110" s="127">
        <v>0</v>
      </c>
      <c r="BU110" s="127">
        <v>0</v>
      </c>
      <c r="BV110" s="127">
        <v>0</v>
      </c>
      <c r="BW110" s="127">
        <v>0</v>
      </c>
      <c r="BX110" s="127">
        <v>0</v>
      </c>
      <c r="BY110" s="127">
        <v>0</v>
      </c>
      <c r="BZ110" s="127">
        <v>0</v>
      </c>
      <c r="CA110" s="127">
        <v>0</v>
      </c>
    </row>
    <row r="111" spans="1:79" ht="18" customHeight="1">
      <c r="A111" s="123">
        <v>12</v>
      </c>
      <c r="B111" s="123" t="str">
        <v>RM000198</v>
      </c>
      <c r="C111" s="123" t="str">
        <v>Raw Agri</v>
      </c>
      <c r="D111" s="123" t="str">
        <v>MIND/Pre-Production</v>
      </c>
      <c r="E111" s="123" t="str">
        <v>Waghya Rajma</v>
      </c>
      <c r="F111" s="124">
        <v>0</v>
      </c>
      <c r="G111" s="124">
        <v>0</v>
      </c>
      <c r="H111" s="124">
        <v>0</v>
      </c>
      <c r="I111" s="125">
        <v>0</v>
      </c>
      <c r="J111" s="123" t="str">
        <v>Data Review</v>
      </c>
      <c r="K111" s="123" t="str">
        <v/>
      </c>
      <c r="L111" s="126">
        <v>0</v>
      </c>
      <c r="M111" s="126">
        <v>0</v>
      </c>
      <c r="N111" s="126">
        <v>0</v>
      </c>
      <c r="O111" s="126">
        <v>0</v>
      </c>
      <c r="P111" s="126">
        <v>0</v>
      </c>
      <c r="Q111" s="126">
        <v>0</v>
      </c>
      <c r="R111" s="126">
        <v>0</v>
      </c>
      <c r="S111" s="126">
        <v>0</v>
      </c>
      <c r="T111" s="126">
        <v>0</v>
      </c>
      <c r="U111" s="126">
        <v>0</v>
      </c>
      <c r="V111" s="126">
        <v>0</v>
      </c>
      <c r="W111" s="126">
        <v>0</v>
      </c>
      <c r="X111" s="126">
        <v>0</v>
      </c>
      <c r="Y111" s="127">
        <v>0</v>
      </c>
      <c r="Z111" s="127">
        <v>0</v>
      </c>
      <c r="AA111" s="127">
        <v>0</v>
      </c>
      <c r="AB111" s="127">
        <v>0</v>
      </c>
      <c r="AC111" s="127">
        <v>1500</v>
      </c>
      <c r="AD111" s="127">
        <v>0</v>
      </c>
      <c r="AE111" s="127">
        <v>0</v>
      </c>
      <c r="AF111" s="127">
        <v>0</v>
      </c>
      <c r="AG111" s="127">
        <v>0</v>
      </c>
      <c r="AH111" s="127">
        <v>0</v>
      </c>
      <c r="AI111" s="127">
        <v>0</v>
      </c>
      <c r="AJ111" s="127">
        <v>0</v>
      </c>
      <c r="AK111" s="127">
        <v>0</v>
      </c>
      <c r="AL111" s="127">
        <v>0</v>
      </c>
      <c r="AM111" s="127">
        <v>0</v>
      </c>
      <c r="AN111" s="127">
        <v>0</v>
      </c>
      <c r="AO111" s="127">
        <v>0</v>
      </c>
      <c r="AP111" s="127">
        <v>0</v>
      </c>
      <c r="AQ111" s="127">
        <v>0</v>
      </c>
      <c r="AR111" s="127">
        <v>0</v>
      </c>
      <c r="AS111" s="127">
        <v>0</v>
      </c>
      <c r="AT111" s="127">
        <v>0</v>
      </c>
      <c r="AU111" s="127">
        <v>0</v>
      </c>
      <c r="AV111" s="127">
        <v>0</v>
      </c>
      <c r="AW111" s="127">
        <v>0</v>
      </c>
      <c r="AX111" s="127">
        <v>0</v>
      </c>
      <c r="AY111" s="127">
        <v>0</v>
      </c>
      <c r="AZ111" s="127">
        <v>0</v>
      </c>
      <c r="BA111" s="127">
        <v>0</v>
      </c>
      <c r="BB111" s="127">
        <v>0</v>
      </c>
      <c r="BC111" s="127">
        <v>0</v>
      </c>
      <c r="BD111" s="127">
        <v>0</v>
      </c>
      <c r="BE111" s="127">
        <v>0</v>
      </c>
      <c r="BF111" s="127">
        <v>0</v>
      </c>
      <c r="BG111" s="127">
        <v>0</v>
      </c>
      <c r="BH111" s="127">
        <v>0</v>
      </c>
      <c r="BI111" s="127">
        <v>0</v>
      </c>
      <c r="BJ111" s="127">
        <v>0</v>
      </c>
      <c r="BK111" s="127">
        <v>0</v>
      </c>
      <c r="BL111" s="127">
        <v>0</v>
      </c>
      <c r="BM111" s="127">
        <v>0</v>
      </c>
      <c r="BN111" s="127">
        <v>0</v>
      </c>
      <c r="BO111" s="127">
        <v>0</v>
      </c>
      <c r="BP111" s="127">
        <v>0</v>
      </c>
      <c r="BQ111" s="127">
        <v>0</v>
      </c>
      <c r="BR111" s="127">
        <v>0</v>
      </c>
      <c r="BS111" s="127">
        <v>0</v>
      </c>
      <c r="BT111" s="127">
        <v>0</v>
      </c>
      <c r="BU111" s="127">
        <v>0</v>
      </c>
      <c r="BV111" s="127">
        <v>0</v>
      </c>
      <c r="BW111" s="127">
        <v>0</v>
      </c>
      <c r="BX111" s="127">
        <v>0</v>
      </c>
      <c r="BY111" s="127">
        <v>0</v>
      </c>
      <c r="BZ111" s="127">
        <v>0</v>
      </c>
      <c r="CA111" s="127">
        <v>0</v>
      </c>
    </row>
    <row r="112" spans="1:79" ht="18" customHeight="1">
      <c r="A112" s="123">
        <v>13</v>
      </c>
      <c r="B112" s="123" t="str">
        <v>RM000066</v>
      </c>
      <c r="C112" s="123" t="str">
        <v>Raw Agri</v>
      </c>
      <c r="D112" s="123" t="str">
        <v>MIND/Pre-Production</v>
      </c>
      <c r="E112" s="123" t="str">
        <v>Green Moong</v>
      </c>
      <c r="F112" s="124">
        <v>0</v>
      </c>
      <c r="G112" s="124">
        <v>0</v>
      </c>
      <c r="H112" s="124">
        <v>0</v>
      </c>
      <c r="I112" s="125">
        <v>0</v>
      </c>
      <c r="J112" s="123" t="str">
        <v>Data Review</v>
      </c>
      <c r="K112" s="123" t="str">
        <v/>
      </c>
      <c r="L112" s="126">
        <v>0</v>
      </c>
      <c r="M112" s="126">
        <v>0</v>
      </c>
      <c r="N112" s="126">
        <v>0</v>
      </c>
      <c r="O112" s="126">
        <v>0</v>
      </c>
      <c r="P112" s="126">
        <v>0</v>
      </c>
      <c r="Q112" s="126">
        <v>0</v>
      </c>
      <c r="R112" s="126">
        <v>0</v>
      </c>
      <c r="S112" s="126">
        <v>0</v>
      </c>
      <c r="T112" s="126">
        <v>0</v>
      </c>
      <c r="U112" s="126">
        <v>0</v>
      </c>
      <c r="V112" s="126">
        <v>0</v>
      </c>
      <c r="W112" s="126">
        <v>0</v>
      </c>
      <c r="X112" s="126">
        <v>0</v>
      </c>
      <c r="Y112" s="127">
        <v>0</v>
      </c>
      <c r="Z112" s="127">
        <v>0</v>
      </c>
      <c r="AA112" s="127">
        <v>3000</v>
      </c>
      <c r="AB112" s="127">
        <v>0</v>
      </c>
      <c r="AC112" s="127">
        <v>0</v>
      </c>
      <c r="AD112" s="127">
        <v>0</v>
      </c>
      <c r="AE112" s="127">
        <v>0</v>
      </c>
      <c r="AF112" s="127">
        <v>0</v>
      </c>
      <c r="AG112" s="127">
        <v>0</v>
      </c>
      <c r="AH112" s="127">
        <v>0</v>
      </c>
      <c r="AI112" s="127">
        <v>0</v>
      </c>
      <c r="AJ112" s="127">
        <v>0</v>
      </c>
      <c r="AK112" s="127">
        <v>0</v>
      </c>
      <c r="AL112" s="127">
        <v>0</v>
      </c>
      <c r="AM112" s="127">
        <v>0</v>
      </c>
      <c r="AN112" s="127">
        <v>0</v>
      </c>
      <c r="AO112" s="127">
        <v>0</v>
      </c>
      <c r="AP112" s="127">
        <v>0</v>
      </c>
      <c r="AQ112" s="127">
        <v>0</v>
      </c>
      <c r="AR112" s="127">
        <v>0</v>
      </c>
      <c r="AS112" s="127">
        <v>0</v>
      </c>
      <c r="AT112" s="127">
        <v>0</v>
      </c>
      <c r="AU112" s="127">
        <v>0</v>
      </c>
      <c r="AV112" s="127">
        <v>0</v>
      </c>
      <c r="AW112" s="127">
        <v>0</v>
      </c>
      <c r="AX112" s="127">
        <v>0</v>
      </c>
      <c r="AY112" s="127">
        <v>0</v>
      </c>
      <c r="AZ112" s="127">
        <v>0</v>
      </c>
      <c r="BA112" s="127">
        <v>0</v>
      </c>
      <c r="BB112" s="127">
        <v>0</v>
      </c>
      <c r="BC112" s="127">
        <v>0</v>
      </c>
      <c r="BD112" s="127">
        <v>0</v>
      </c>
      <c r="BE112" s="127">
        <v>0</v>
      </c>
      <c r="BF112" s="127">
        <v>0</v>
      </c>
      <c r="BG112" s="127">
        <v>0</v>
      </c>
      <c r="BH112" s="127">
        <v>0</v>
      </c>
      <c r="BI112" s="127">
        <v>0</v>
      </c>
      <c r="BJ112" s="127">
        <v>0</v>
      </c>
      <c r="BK112" s="127">
        <v>0</v>
      </c>
      <c r="BL112" s="127">
        <v>0</v>
      </c>
      <c r="BM112" s="127">
        <v>0</v>
      </c>
      <c r="BN112" s="127">
        <v>0</v>
      </c>
      <c r="BO112" s="127">
        <v>0</v>
      </c>
      <c r="BP112" s="127">
        <v>0</v>
      </c>
      <c r="BQ112" s="127">
        <v>0</v>
      </c>
      <c r="BR112" s="127">
        <v>0</v>
      </c>
      <c r="BS112" s="127">
        <v>0</v>
      </c>
      <c r="BT112" s="127">
        <v>0</v>
      </c>
      <c r="BU112" s="127">
        <v>0</v>
      </c>
      <c r="BV112" s="127">
        <v>0</v>
      </c>
      <c r="BW112" s="127">
        <v>0</v>
      </c>
      <c r="BX112" s="127">
        <v>0</v>
      </c>
      <c r="BY112" s="127">
        <v>0</v>
      </c>
      <c r="BZ112" s="127">
        <v>0</v>
      </c>
      <c r="CA112" s="127">
        <v>0</v>
      </c>
    </row>
    <row r="113" spans="1:79" ht="18" customHeight="1">
      <c r="A113" s="123">
        <v>15</v>
      </c>
      <c r="B113" s="123" t="str">
        <v>RM000094</v>
      </c>
      <c r="C113" s="123" t="str">
        <v>Raw Agri</v>
      </c>
      <c r="D113" s="123" t="str">
        <v>MIND/Pre-Production</v>
      </c>
      <c r="E113" s="123" t="str">
        <v>Khapli Wheat Grains (Packing)</v>
      </c>
      <c r="F113" s="124" t="str">
        <v>0</v>
      </c>
      <c r="G113" s="124">
        <v>0</v>
      </c>
      <c r="H113" s="124">
        <v>0</v>
      </c>
      <c r="I113" s="125">
        <v>0</v>
      </c>
      <c r="J113" s="123" t="str">
        <v>Data Review</v>
      </c>
      <c r="K113" s="123" t="str">
        <v>No receipt</v>
      </c>
      <c r="L113" s="126">
        <v>0</v>
      </c>
      <c r="M113" s="126">
        <v>0</v>
      </c>
      <c r="N113" s="126">
        <v>0</v>
      </c>
      <c r="O113" s="126">
        <v>0</v>
      </c>
      <c r="P113" s="126">
        <v>0</v>
      </c>
      <c r="Q113" s="126">
        <v>0</v>
      </c>
      <c r="R113" s="126">
        <v>0</v>
      </c>
      <c r="S113" s="126">
        <v>0</v>
      </c>
      <c r="T113" s="126">
        <v>0</v>
      </c>
      <c r="U113" s="126">
        <v>0</v>
      </c>
      <c r="V113" s="126">
        <v>0</v>
      </c>
      <c r="W113" s="126">
        <v>0</v>
      </c>
      <c r="X113" s="126">
        <v>0</v>
      </c>
      <c r="Y113" s="127">
        <v>0</v>
      </c>
      <c r="Z113" s="127">
        <v>0</v>
      </c>
      <c r="AA113" s="127">
        <v>0</v>
      </c>
      <c r="AB113" s="127">
        <v>0</v>
      </c>
      <c r="AC113" s="127">
        <v>0</v>
      </c>
      <c r="AD113" s="127">
        <v>0</v>
      </c>
      <c r="AE113" s="127">
        <v>0</v>
      </c>
      <c r="AF113" s="127">
        <v>0</v>
      </c>
      <c r="AG113" s="127">
        <v>0</v>
      </c>
      <c r="AH113" s="127">
        <v>0</v>
      </c>
      <c r="AI113" s="127">
        <v>0</v>
      </c>
      <c r="AJ113" s="127">
        <v>0</v>
      </c>
      <c r="AK113" s="127">
        <v>0</v>
      </c>
      <c r="AL113" s="127">
        <v>0</v>
      </c>
      <c r="AM113" s="127">
        <v>0</v>
      </c>
      <c r="AN113" s="127">
        <v>0</v>
      </c>
      <c r="AO113" s="127">
        <v>0</v>
      </c>
      <c r="AP113" s="127">
        <v>0</v>
      </c>
      <c r="AQ113" s="127">
        <v>0</v>
      </c>
      <c r="AR113" s="127">
        <v>0</v>
      </c>
      <c r="AS113" s="127">
        <v>0</v>
      </c>
      <c r="AT113" s="127">
        <v>0</v>
      </c>
      <c r="AU113" s="127">
        <v>0</v>
      </c>
      <c r="AV113" s="127">
        <v>0</v>
      </c>
      <c r="AW113" s="127">
        <v>0</v>
      </c>
      <c r="AX113" s="127">
        <v>0</v>
      </c>
      <c r="AY113" s="127">
        <v>0</v>
      </c>
      <c r="AZ113" s="127">
        <v>0</v>
      </c>
      <c r="BA113" s="127">
        <v>0</v>
      </c>
      <c r="BB113" s="127">
        <v>0</v>
      </c>
      <c r="BC113" s="127">
        <v>0</v>
      </c>
      <c r="BD113" s="127">
        <v>0</v>
      </c>
      <c r="BE113" s="127">
        <v>0</v>
      </c>
      <c r="BF113" s="127">
        <v>0</v>
      </c>
      <c r="BG113" s="127">
        <v>0</v>
      </c>
      <c r="BH113" s="127">
        <v>0</v>
      </c>
      <c r="BI113" s="127">
        <v>0</v>
      </c>
      <c r="BJ113" s="127">
        <v>0</v>
      </c>
      <c r="BK113" s="127">
        <v>0</v>
      </c>
      <c r="BL113" s="127">
        <v>0</v>
      </c>
      <c r="BM113" s="127">
        <v>0</v>
      </c>
      <c r="BN113" s="127">
        <v>0</v>
      </c>
      <c r="BO113" s="127">
        <v>0</v>
      </c>
      <c r="BP113" s="127">
        <v>0</v>
      </c>
      <c r="BQ113" s="127">
        <v>0</v>
      </c>
      <c r="BR113" s="127">
        <v>0</v>
      </c>
      <c r="BS113" s="127">
        <v>0</v>
      </c>
      <c r="BT113" s="127">
        <v>0</v>
      </c>
      <c r="BU113" s="127">
        <v>0</v>
      </c>
      <c r="BV113" s="127">
        <v>0</v>
      </c>
      <c r="BW113" s="127">
        <v>0</v>
      </c>
      <c r="BX113" s="127">
        <v>0</v>
      </c>
      <c r="BY113" s="127">
        <v>0</v>
      </c>
      <c r="BZ113" s="127">
        <v>0</v>
      </c>
      <c r="CA113" s="127">
        <v>0</v>
      </c>
    </row>
    <row r="114" spans="1:79" ht="18" customHeight="1">
      <c r="A114" s="123">
        <v>16</v>
      </c>
      <c r="B114" s="123" t="str">
        <v>RM000067</v>
      </c>
      <c r="C114" s="123" t="str">
        <v>Raw Agri</v>
      </c>
      <c r="D114" s="123" t="str">
        <v>MIND/Pre-Production</v>
      </c>
      <c r="E114" s="123" t="str">
        <v>RM KalaNamak</v>
      </c>
      <c r="F114" s="124">
        <v>0</v>
      </c>
      <c r="G114" s="124">
        <v>0</v>
      </c>
      <c r="H114" s="124">
        <v>0</v>
      </c>
      <c r="I114" s="125">
        <v>0</v>
      </c>
      <c r="J114" s="123" t="str">
        <v>Data Review</v>
      </c>
      <c r="K114" s="123" t="str">
        <v/>
      </c>
      <c r="L114" s="126">
        <v>0</v>
      </c>
      <c r="M114" s="126">
        <v>500</v>
      </c>
      <c r="N114" s="126">
        <v>0</v>
      </c>
      <c r="O114" s="126">
        <v>4620</v>
      </c>
      <c r="P114" s="126">
        <v>2150</v>
      </c>
      <c r="Q114" s="126">
        <v>0</v>
      </c>
      <c r="R114" s="126">
        <v>0</v>
      </c>
      <c r="S114" s="126">
        <v>0</v>
      </c>
      <c r="T114" s="126">
        <v>0</v>
      </c>
      <c r="U114" s="126">
        <v>4500</v>
      </c>
      <c r="V114" s="126">
        <v>8450</v>
      </c>
      <c r="W114" s="126">
        <v>0</v>
      </c>
      <c r="X114" s="126">
        <v>0</v>
      </c>
      <c r="Y114" s="127">
        <v>0</v>
      </c>
      <c r="Z114" s="127">
        <v>0</v>
      </c>
      <c r="AA114" s="127">
        <v>3700</v>
      </c>
      <c r="AB114" s="127">
        <v>0</v>
      </c>
      <c r="AC114" s="127">
        <v>0</v>
      </c>
      <c r="AD114" s="127">
        <v>0</v>
      </c>
      <c r="AE114" s="127">
        <v>0</v>
      </c>
      <c r="AF114" s="127">
        <v>0</v>
      </c>
      <c r="AG114" s="127">
        <v>0</v>
      </c>
      <c r="AH114" s="127">
        <v>0</v>
      </c>
      <c r="AI114" s="127">
        <v>0</v>
      </c>
      <c r="AJ114" s="127">
        <v>0</v>
      </c>
      <c r="AK114" s="127">
        <v>0</v>
      </c>
      <c r="AL114" s="127">
        <v>0</v>
      </c>
      <c r="AM114" s="127">
        <v>0</v>
      </c>
      <c r="AN114" s="127">
        <v>0</v>
      </c>
      <c r="AO114" s="127">
        <v>0</v>
      </c>
      <c r="AP114" s="127">
        <v>4050</v>
      </c>
      <c r="AQ114" s="127">
        <v>0</v>
      </c>
      <c r="AR114" s="127">
        <v>0</v>
      </c>
      <c r="AS114" s="127">
        <v>0</v>
      </c>
      <c r="AT114" s="127">
        <v>0</v>
      </c>
      <c r="AU114" s="127">
        <v>0</v>
      </c>
      <c r="AV114" s="127">
        <v>0</v>
      </c>
      <c r="AW114" s="127">
        <v>0</v>
      </c>
      <c r="AX114" s="127">
        <v>0</v>
      </c>
      <c r="AY114" s="127">
        <v>0</v>
      </c>
      <c r="AZ114" s="127">
        <v>0</v>
      </c>
      <c r="BA114" s="127">
        <v>0</v>
      </c>
      <c r="BB114" s="127">
        <v>0</v>
      </c>
      <c r="BC114" s="127">
        <v>0</v>
      </c>
      <c r="BD114" s="127">
        <v>0</v>
      </c>
      <c r="BE114" s="127">
        <v>0</v>
      </c>
      <c r="BF114" s="127">
        <v>0</v>
      </c>
      <c r="BG114" s="127">
        <v>0</v>
      </c>
      <c r="BH114" s="127">
        <v>0</v>
      </c>
      <c r="BI114" s="127">
        <v>0</v>
      </c>
      <c r="BJ114" s="127">
        <v>0</v>
      </c>
      <c r="BK114" s="127">
        <v>0</v>
      </c>
      <c r="BL114" s="127">
        <v>0</v>
      </c>
      <c r="BM114" s="127">
        <v>0</v>
      </c>
      <c r="BN114" s="127">
        <v>0</v>
      </c>
      <c r="BO114" s="127">
        <v>0</v>
      </c>
      <c r="BP114" s="127">
        <v>0</v>
      </c>
      <c r="BQ114" s="127">
        <v>0</v>
      </c>
      <c r="BR114" s="127">
        <v>0</v>
      </c>
      <c r="BS114" s="127">
        <v>0</v>
      </c>
      <c r="BT114" s="127">
        <v>0</v>
      </c>
      <c r="BU114" s="127">
        <v>0</v>
      </c>
      <c r="BV114" s="127">
        <v>0</v>
      </c>
      <c r="BW114" s="127">
        <v>0</v>
      </c>
      <c r="BX114" s="127">
        <v>0</v>
      </c>
      <c r="BY114" s="127">
        <v>0</v>
      </c>
      <c r="BZ114" s="127">
        <v>0</v>
      </c>
      <c r="CA114" s="127">
        <v>0</v>
      </c>
    </row>
    <row r="115" spans="1:79" ht="18" customHeight="1">
      <c r="A115" s="123">
        <v>19</v>
      </c>
      <c r="B115" s="123" t="str">
        <v>RM000094</v>
      </c>
      <c r="C115" s="123" t="str">
        <v>Protein Atta</v>
      </c>
      <c r="D115" s="123" t="str">
        <v>MIND/Pre-Production</v>
      </c>
      <c r="E115" s="123" t="str">
        <v>Khapli Wheat Grains</v>
      </c>
      <c r="F115" s="124" t="str">
        <v>0</v>
      </c>
      <c r="G115" s="124">
        <v>0</v>
      </c>
      <c r="H115" s="124">
        <v>0</v>
      </c>
      <c r="I115" s="125">
        <v>0</v>
      </c>
      <c r="J115" s="123" t="str">
        <v>Data Review</v>
      </c>
      <c r="K115" s="123" t="str">
        <v>No receipt</v>
      </c>
      <c r="L115" s="126">
        <v>0</v>
      </c>
      <c r="M115" s="126">
        <v>0</v>
      </c>
      <c r="N115" s="126">
        <v>0</v>
      </c>
      <c r="O115" s="126">
        <v>0</v>
      </c>
      <c r="P115" s="126">
        <v>0</v>
      </c>
      <c r="Q115" s="126">
        <v>0</v>
      </c>
      <c r="R115" s="126">
        <v>0</v>
      </c>
      <c r="S115" s="126">
        <v>0</v>
      </c>
      <c r="T115" s="126">
        <v>0</v>
      </c>
      <c r="U115" s="126">
        <v>0</v>
      </c>
      <c r="V115" s="126">
        <v>0</v>
      </c>
      <c r="W115" s="126">
        <v>0</v>
      </c>
      <c r="X115" s="126">
        <v>0</v>
      </c>
      <c r="Y115" s="127">
        <v>0</v>
      </c>
      <c r="Z115" s="127">
        <v>0</v>
      </c>
      <c r="AA115" s="127">
        <v>0</v>
      </c>
      <c r="AB115" s="127">
        <v>0</v>
      </c>
      <c r="AC115" s="127">
        <v>0</v>
      </c>
      <c r="AD115" s="127">
        <v>0</v>
      </c>
      <c r="AE115" s="127">
        <v>0</v>
      </c>
      <c r="AF115" s="127">
        <v>0</v>
      </c>
      <c r="AG115" s="127">
        <v>0</v>
      </c>
      <c r="AH115" s="127">
        <v>0</v>
      </c>
      <c r="AI115" s="127">
        <v>0</v>
      </c>
      <c r="AJ115" s="127">
        <v>0</v>
      </c>
      <c r="AK115" s="127">
        <v>0</v>
      </c>
      <c r="AL115" s="127">
        <v>0</v>
      </c>
      <c r="AM115" s="127">
        <v>0</v>
      </c>
      <c r="AN115" s="127">
        <v>0</v>
      </c>
      <c r="AO115" s="127">
        <v>0</v>
      </c>
      <c r="AP115" s="127">
        <v>0</v>
      </c>
      <c r="AQ115" s="127">
        <v>0</v>
      </c>
      <c r="AR115" s="127">
        <v>0</v>
      </c>
      <c r="AS115" s="127">
        <v>0</v>
      </c>
      <c r="AT115" s="127">
        <v>0</v>
      </c>
      <c r="AU115" s="127">
        <v>0</v>
      </c>
      <c r="AV115" s="127">
        <v>0</v>
      </c>
      <c r="AW115" s="127">
        <v>0</v>
      </c>
      <c r="AX115" s="127">
        <v>0</v>
      </c>
      <c r="AY115" s="127">
        <v>0</v>
      </c>
      <c r="AZ115" s="127">
        <v>0</v>
      </c>
      <c r="BA115" s="127">
        <v>0</v>
      </c>
      <c r="BB115" s="127">
        <v>0</v>
      </c>
      <c r="BC115" s="127">
        <v>0</v>
      </c>
      <c r="BD115" s="127">
        <v>0</v>
      </c>
      <c r="BE115" s="127">
        <v>0</v>
      </c>
      <c r="BF115" s="127">
        <v>0</v>
      </c>
      <c r="BG115" s="127">
        <v>0</v>
      </c>
      <c r="BH115" s="127">
        <v>0</v>
      </c>
      <c r="BI115" s="127">
        <v>0</v>
      </c>
      <c r="BJ115" s="127">
        <v>0</v>
      </c>
      <c r="BK115" s="127">
        <v>0</v>
      </c>
      <c r="BL115" s="127">
        <v>0</v>
      </c>
      <c r="BM115" s="127">
        <v>0</v>
      </c>
      <c r="BN115" s="127">
        <v>0</v>
      </c>
      <c r="BO115" s="127">
        <v>0</v>
      </c>
      <c r="BP115" s="127">
        <v>0</v>
      </c>
      <c r="BQ115" s="127">
        <v>0</v>
      </c>
      <c r="BR115" s="127">
        <v>0</v>
      </c>
      <c r="BS115" s="127">
        <v>0</v>
      </c>
      <c r="BT115" s="127">
        <v>0</v>
      </c>
      <c r="BU115" s="127">
        <v>0</v>
      </c>
      <c r="BV115" s="127">
        <v>0</v>
      </c>
      <c r="BW115" s="127">
        <v>0</v>
      </c>
      <c r="BX115" s="127">
        <v>0</v>
      </c>
      <c r="BY115" s="127">
        <v>0</v>
      </c>
      <c r="BZ115" s="127">
        <v>0</v>
      </c>
      <c r="CA115" s="127">
        <v>0</v>
      </c>
    </row>
    <row r="116" spans="1:79" ht="18" customHeight="1">
      <c r="A116" s="123">
        <v>23</v>
      </c>
      <c r="B116" s="123" t="str">
        <v>RM000235</v>
      </c>
      <c r="C116" s="123" t="str">
        <v>Protein Atta</v>
      </c>
      <c r="D116" s="123" t="str">
        <v>MIND/Pre-Production</v>
      </c>
      <c r="E116" s="123" t="str">
        <v>Soy Protein Isolate</v>
      </c>
      <c r="F116" s="124">
        <v>0</v>
      </c>
      <c r="G116" s="124">
        <v>0</v>
      </c>
      <c r="H116" s="124">
        <v>0</v>
      </c>
      <c r="I116" s="125">
        <v>0</v>
      </c>
      <c r="J116" s="123" t="str">
        <v>Data Review</v>
      </c>
      <c r="K116" s="123" t="str">
        <v/>
      </c>
      <c r="L116" s="126">
        <v>0</v>
      </c>
      <c r="M116" s="126">
        <v>0</v>
      </c>
      <c r="N116" s="126">
        <v>0</v>
      </c>
      <c r="O116" s="126">
        <v>0</v>
      </c>
      <c r="P116" s="126">
        <v>0</v>
      </c>
      <c r="Q116" s="126">
        <v>0</v>
      </c>
      <c r="R116" s="126">
        <v>0</v>
      </c>
      <c r="S116" s="126">
        <v>0</v>
      </c>
      <c r="T116" s="126">
        <v>0</v>
      </c>
      <c r="U116" s="126">
        <v>0</v>
      </c>
      <c r="V116" s="126">
        <v>1000</v>
      </c>
      <c r="W116" s="126">
        <v>1000</v>
      </c>
      <c r="X116" s="126">
        <v>0</v>
      </c>
      <c r="Y116" s="127">
        <v>0</v>
      </c>
      <c r="Z116" s="127">
        <v>0</v>
      </c>
      <c r="AA116" s="127">
        <v>0</v>
      </c>
      <c r="AB116" s="127">
        <v>0</v>
      </c>
      <c r="AC116" s="127">
        <v>0</v>
      </c>
      <c r="AD116" s="127">
        <v>0</v>
      </c>
      <c r="AE116" s="127">
        <v>960</v>
      </c>
      <c r="AF116" s="127">
        <v>0</v>
      </c>
      <c r="AG116" s="127">
        <v>0</v>
      </c>
      <c r="AH116" s="127">
        <v>0</v>
      </c>
      <c r="AI116" s="127">
        <v>0</v>
      </c>
      <c r="AJ116" s="127">
        <v>0</v>
      </c>
      <c r="AK116" s="127">
        <v>0</v>
      </c>
      <c r="AL116" s="127">
        <v>0</v>
      </c>
      <c r="AM116" s="127">
        <v>0</v>
      </c>
      <c r="AN116" s="127">
        <v>0</v>
      </c>
      <c r="AO116" s="127">
        <v>0</v>
      </c>
      <c r="AP116" s="127">
        <v>0</v>
      </c>
      <c r="AQ116" s="127">
        <v>0</v>
      </c>
      <c r="AR116" s="127">
        <v>0</v>
      </c>
      <c r="AS116" s="127">
        <v>0</v>
      </c>
      <c r="AT116" s="127">
        <v>0</v>
      </c>
      <c r="AU116" s="127">
        <v>0</v>
      </c>
      <c r="AV116" s="127">
        <v>0</v>
      </c>
      <c r="AW116" s="127">
        <v>0</v>
      </c>
      <c r="AX116" s="127">
        <v>0</v>
      </c>
      <c r="AY116" s="127">
        <v>0</v>
      </c>
      <c r="AZ116" s="127">
        <v>0</v>
      </c>
      <c r="BA116" s="127">
        <v>0</v>
      </c>
      <c r="BB116" s="127">
        <v>0</v>
      </c>
      <c r="BC116" s="127">
        <v>0</v>
      </c>
      <c r="BD116" s="127">
        <v>0</v>
      </c>
      <c r="BE116" s="127">
        <v>0</v>
      </c>
      <c r="BF116" s="127">
        <v>0</v>
      </c>
      <c r="BG116" s="127">
        <v>0</v>
      </c>
      <c r="BH116" s="127">
        <v>0</v>
      </c>
      <c r="BI116" s="127">
        <v>0</v>
      </c>
      <c r="BJ116" s="127">
        <v>0</v>
      </c>
      <c r="BK116" s="127">
        <v>0</v>
      </c>
      <c r="BL116" s="127">
        <v>0</v>
      </c>
      <c r="BM116" s="127">
        <v>0</v>
      </c>
      <c r="BN116" s="127">
        <v>0</v>
      </c>
      <c r="BO116" s="127">
        <v>0</v>
      </c>
      <c r="BP116" s="127">
        <v>0</v>
      </c>
      <c r="BQ116" s="127">
        <v>0</v>
      </c>
      <c r="BR116" s="127">
        <v>0</v>
      </c>
      <c r="BS116" s="127">
        <v>0</v>
      </c>
      <c r="BT116" s="127">
        <v>0</v>
      </c>
      <c r="BU116" s="127">
        <v>0</v>
      </c>
      <c r="BV116" s="127">
        <v>0</v>
      </c>
      <c r="BW116" s="127">
        <v>0</v>
      </c>
      <c r="BX116" s="127">
        <v>0</v>
      </c>
      <c r="BY116" s="127">
        <v>0</v>
      </c>
      <c r="BZ116" s="127">
        <v>0</v>
      </c>
      <c r="CA116" s="127">
        <v>0</v>
      </c>
    </row>
    <row r="117" spans="1:79" ht="18" customHeight="1">
      <c r="A117" s="123">
        <v>24</v>
      </c>
      <c r="B117" s="123" t="str">
        <v>RM000133</v>
      </c>
      <c r="C117" s="123" t="str">
        <v>Other Atta</v>
      </c>
      <c r="D117" s="123" t="str">
        <v>MIND/Pre-Production</v>
      </c>
      <c r="E117" s="123" t="str">
        <v>Jowar Grains</v>
      </c>
      <c r="F117" s="124">
        <v>0</v>
      </c>
      <c r="G117" s="124">
        <v>0</v>
      </c>
      <c r="H117" s="124">
        <v>0</v>
      </c>
      <c r="I117" s="125">
        <v>0</v>
      </c>
      <c r="J117" s="123" t="str">
        <v>Data Review</v>
      </c>
      <c r="K117" s="123" t="str">
        <v/>
      </c>
      <c r="L117" s="126">
        <v>0</v>
      </c>
      <c r="M117" s="126">
        <v>0</v>
      </c>
      <c r="N117" s="126">
        <v>0</v>
      </c>
      <c r="O117" s="126">
        <v>5150</v>
      </c>
      <c r="P117" s="126">
        <v>0</v>
      </c>
      <c r="Q117" s="126">
        <v>0</v>
      </c>
      <c r="R117" s="126">
        <v>0</v>
      </c>
      <c r="S117" s="126">
        <v>0</v>
      </c>
      <c r="T117" s="126">
        <v>0</v>
      </c>
      <c r="U117" s="126">
        <v>0</v>
      </c>
      <c r="V117" s="126">
        <v>0</v>
      </c>
      <c r="W117" s="126">
        <v>0</v>
      </c>
      <c r="X117" s="126">
        <v>0</v>
      </c>
      <c r="Y117" s="127">
        <v>0</v>
      </c>
      <c r="Z117" s="127">
        <v>0</v>
      </c>
      <c r="AA117" s="127">
        <v>0</v>
      </c>
      <c r="AB117" s="127">
        <v>0</v>
      </c>
      <c r="AC117" s="127">
        <v>0</v>
      </c>
      <c r="AD117" s="127">
        <v>0</v>
      </c>
      <c r="AE117" s="127">
        <v>0</v>
      </c>
      <c r="AF117" s="127">
        <v>0</v>
      </c>
      <c r="AG117" s="127">
        <v>0</v>
      </c>
      <c r="AH117" s="127">
        <v>0</v>
      </c>
      <c r="AI117" s="127">
        <v>0</v>
      </c>
      <c r="AJ117" s="127">
        <v>0</v>
      </c>
      <c r="AK117" s="127">
        <v>0</v>
      </c>
      <c r="AL117" s="127">
        <v>5850</v>
      </c>
      <c r="AM117" s="127">
        <v>0</v>
      </c>
      <c r="AN117" s="127">
        <v>0</v>
      </c>
      <c r="AO117" s="127">
        <v>0</v>
      </c>
      <c r="AP117" s="127">
        <v>0</v>
      </c>
      <c r="AQ117" s="127">
        <v>0</v>
      </c>
      <c r="AR117" s="127">
        <v>0</v>
      </c>
      <c r="AS117" s="127">
        <v>0</v>
      </c>
      <c r="AT117" s="127">
        <v>0</v>
      </c>
      <c r="AU117" s="127">
        <v>0</v>
      </c>
      <c r="AV117" s="127">
        <v>0</v>
      </c>
      <c r="AW117" s="127">
        <v>0</v>
      </c>
      <c r="AX117" s="127">
        <v>0</v>
      </c>
      <c r="AY117" s="127">
        <v>0</v>
      </c>
      <c r="AZ117" s="127">
        <v>0</v>
      </c>
      <c r="BA117" s="127">
        <v>0</v>
      </c>
      <c r="BB117" s="127">
        <v>0</v>
      </c>
      <c r="BC117" s="127">
        <v>0</v>
      </c>
      <c r="BD117" s="127">
        <v>0</v>
      </c>
      <c r="BE117" s="127">
        <v>0</v>
      </c>
      <c r="BF117" s="127">
        <v>0</v>
      </c>
      <c r="BG117" s="127">
        <v>0</v>
      </c>
      <c r="BH117" s="127">
        <v>0</v>
      </c>
      <c r="BI117" s="127">
        <v>0</v>
      </c>
      <c r="BJ117" s="127">
        <v>0</v>
      </c>
      <c r="BK117" s="127">
        <v>0</v>
      </c>
      <c r="BL117" s="127">
        <v>0</v>
      </c>
      <c r="BM117" s="127">
        <v>0</v>
      </c>
      <c r="BN117" s="127">
        <v>0</v>
      </c>
      <c r="BO117" s="127">
        <v>0</v>
      </c>
      <c r="BP117" s="127">
        <v>0</v>
      </c>
      <c r="BQ117" s="127">
        <v>0</v>
      </c>
      <c r="BR117" s="127">
        <v>0</v>
      </c>
      <c r="BS117" s="127">
        <v>0</v>
      </c>
      <c r="BT117" s="127">
        <v>0</v>
      </c>
      <c r="BU117" s="127">
        <v>0</v>
      </c>
      <c r="BV117" s="127">
        <v>0</v>
      </c>
      <c r="BW117" s="127">
        <v>0</v>
      </c>
      <c r="BX117" s="127">
        <v>0</v>
      </c>
      <c r="BY117" s="127">
        <v>0</v>
      </c>
      <c r="BZ117" s="127">
        <v>0</v>
      </c>
      <c r="CA117" s="127">
        <v>0</v>
      </c>
    </row>
    <row r="118" spans="1:79" ht="18" customHeight="1">
      <c r="A118" s="123">
        <v>28</v>
      </c>
      <c r="B118" s="123" t="str">
        <v>RM000069</v>
      </c>
      <c r="C118" s="123" t="str">
        <v>Oil</v>
      </c>
      <c r="D118" s="123" t="str">
        <v>MIND/Pre-Production</v>
      </c>
      <c r="E118" s="123" t="str">
        <v>Groundnut Whole</v>
      </c>
      <c r="F118" s="124">
        <v>0</v>
      </c>
      <c r="G118" s="124">
        <v>0</v>
      </c>
      <c r="H118" s="124">
        <v>0</v>
      </c>
      <c r="I118" s="125">
        <v>0</v>
      </c>
      <c r="J118" s="123" t="str">
        <v>Data Review</v>
      </c>
      <c r="K118" s="123" t="str">
        <v/>
      </c>
      <c r="L118" s="126">
        <v>0</v>
      </c>
      <c r="M118" s="126">
        <v>0</v>
      </c>
      <c r="N118" s="126">
        <v>0</v>
      </c>
      <c r="O118" s="126">
        <v>0</v>
      </c>
      <c r="P118" s="126">
        <v>0</v>
      </c>
      <c r="Q118" s="126">
        <v>0</v>
      </c>
      <c r="R118" s="126">
        <v>0</v>
      </c>
      <c r="S118" s="126">
        <v>0</v>
      </c>
      <c r="T118" s="126">
        <v>0</v>
      </c>
      <c r="U118" s="126">
        <v>0</v>
      </c>
      <c r="V118" s="126">
        <v>0</v>
      </c>
      <c r="W118" s="126">
        <v>0</v>
      </c>
      <c r="X118" s="126">
        <v>0</v>
      </c>
      <c r="Y118" s="127">
        <v>0</v>
      </c>
      <c r="Z118" s="127">
        <v>0</v>
      </c>
      <c r="AA118" s="127">
        <v>0</v>
      </c>
      <c r="AB118" s="127">
        <v>0</v>
      </c>
      <c r="AC118" s="127">
        <v>0</v>
      </c>
      <c r="AD118" s="127">
        <v>0</v>
      </c>
      <c r="AE118" s="127">
        <v>0</v>
      </c>
      <c r="AF118" s="127">
        <v>0</v>
      </c>
      <c r="AG118" s="127">
        <v>0</v>
      </c>
      <c r="AH118" s="127">
        <v>0</v>
      </c>
      <c r="AI118" s="127">
        <v>0</v>
      </c>
      <c r="AJ118" s="127">
        <v>0</v>
      </c>
      <c r="AK118" s="127">
        <v>0</v>
      </c>
      <c r="AL118" s="127">
        <v>0</v>
      </c>
      <c r="AM118" s="127">
        <v>0</v>
      </c>
      <c r="AN118" s="127">
        <v>0</v>
      </c>
      <c r="AO118" s="127">
        <v>0</v>
      </c>
      <c r="AP118" s="127">
        <v>0</v>
      </c>
      <c r="AQ118" s="127">
        <v>0</v>
      </c>
      <c r="AR118" s="127">
        <v>0</v>
      </c>
      <c r="AS118" s="127">
        <v>0</v>
      </c>
      <c r="AT118" s="127">
        <v>0</v>
      </c>
      <c r="AU118" s="127">
        <v>0</v>
      </c>
      <c r="AV118" s="127">
        <v>0</v>
      </c>
      <c r="AW118" s="127">
        <v>0</v>
      </c>
      <c r="AX118" s="127">
        <v>0</v>
      </c>
      <c r="AY118" s="127">
        <v>0</v>
      </c>
      <c r="AZ118" s="127">
        <v>0</v>
      </c>
      <c r="BA118" s="127">
        <v>0</v>
      </c>
      <c r="BB118" s="127">
        <v>0</v>
      </c>
      <c r="BC118" s="127">
        <v>0</v>
      </c>
      <c r="BD118" s="127">
        <v>0</v>
      </c>
      <c r="BE118" s="127">
        <v>0</v>
      </c>
      <c r="BF118" s="127">
        <v>0</v>
      </c>
      <c r="BG118" s="127">
        <v>0</v>
      </c>
      <c r="BH118" s="127">
        <v>0</v>
      </c>
      <c r="BI118" s="127">
        <v>0</v>
      </c>
      <c r="BJ118" s="127">
        <v>0</v>
      </c>
      <c r="BK118" s="127">
        <v>0</v>
      </c>
      <c r="BL118" s="127">
        <v>0</v>
      </c>
      <c r="BM118" s="127">
        <v>0</v>
      </c>
      <c r="BN118" s="127">
        <v>0</v>
      </c>
      <c r="BO118" s="127">
        <v>0</v>
      </c>
      <c r="BP118" s="127">
        <v>0</v>
      </c>
      <c r="BQ118" s="127">
        <v>0</v>
      </c>
      <c r="BR118" s="127">
        <v>0</v>
      </c>
      <c r="BS118" s="127">
        <v>0</v>
      </c>
      <c r="BT118" s="127">
        <v>0</v>
      </c>
      <c r="BU118" s="127">
        <v>0</v>
      </c>
      <c r="BV118" s="127">
        <v>0</v>
      </c>
      <c r="BW118" s="127">
        <v>0</v>
      </c>
      <c r="BX118" s="127">
        <v>0</v>
      </c>
      <c r="BY118" s="127">
        <v>0</v>
      </c>
      <c r="BZ118" s="127">
        <v>0</v>
      </c>
      <c r="CA118" s="127">
        <v>0</v>
      </c>
    </row>
    <row r="119" spans="1:79" ht="18" customHeight="1">
      <c r="A119" s="123">
        <v>30</v>
      </c>
      <c r="B119" s="123" t="str">
        <v>RM000144</v>
      </c>
      <c r="C119" s="123" t="str">
        <v>Oil</v>
      </c>
      <c r="D119" s="123" t="str">
        <v>MIND/Pre-Production</v>
      </c>
      <c r="E119" s="123" t="str">
        <v>Raw Coconut Oil</v>
      </c>
      <c r="F119" s="124">
        <v>0</v>
      </c>
      <c r="G119" s="124">
        <v>0</v>
      </c>
      <c r="H119" s="124">
        <v>0</v>
      </c>
      <c r="I119" s="125">
        <v>0</v>
      </c>
      <c r="J119" s="123" t="str">
        <v>Data Review</v>
      </c>
      <c r="K119" s="123" t="str">
        <v/>
      </c>
      <c r="L119" s="126">
        <v>0</v>
      </c>
      <c r="M119" s="126">
        <v>0</v>
      </c>
      <c r="N119" s="126">
        <v>0</v>
      </c>
      <c r="O119" s="126">
        <v>0</v>
      </c>
      <c r="P119" s="126">
        <v>0</v>
      </c>
      <c r="Q119" s="126">
        <v>0</v>
      </c>
      <c r="R119" s="126">
        <v>0</v>
      </c>
      <c r="S119" s="126">
        <v>0</v>
      </c>
      <c r="T119" s="126">
        <v>0</v>
      </c>
      <c r="U119" s="126">
        <v>0</v>
      </c>
      <c r="V119" s="126">
        <v>0</v>
      </c>
      <c r="W119" s="126">
        <v>0</v>
      </c>
      <c r="X119" s="126">
        <v>0</v>
      </c>
      <c r="Y119" s="127">
        <v>0</v>
      </c>
      <c r="Z119" s="127">
        <v>0</v>
      </c>
      <c r="AA119" s="127">
        <v>0</v>
      </c>
      <c r="AB119" s="127">
        <v>0</v>
      </c>
      <c r="AC119" s="127">
        <v>0</v>
      </c>
      <c r="AD119" s="127">
        <v>0</v>
      </c>
      <c r="AE119" s="127">
        <v>0</v>
      </c>
      <c r="AF119" s="127">
        <v>0</v>
      </c>
      <c r="AG119" s="127">
        <v>0</v>
      </c>
      <c r="AH119" s="127">
        <v>1000</v>
      </c>
      <c r="AI119" s="127">
        <v>0</v>
      </c>
      <c r="AJ119" s="127">
        <v>0</v>
      </c>
      <c r="AK119" s="127">
        <v>0</v>
      </c>
      <c r="AL119" s="127">
        <v>0</v>
      </c>
      <c r="AM119" s="127">
        <v>0</v>
      </c>
      <c r="AN119" s="127">
        <v>0</v>
      </c>
      <c r="AO119" s="127">
        <v>0</v>
      </c>
      <c r="AP119" s="127">
        <v>0</v>
      </c>
      <c r="AQ119" s="127">
        <v>0</v>
      </c>
      <c r="AR119" s="127">
        <v>0</v>
      </c>
      <c r="AS119" s="127">
        <v>0</v>
      </c>
      <c r="AT119" s="127">
        <v>0</v>
      </c>
      <c r="AU119" s="127">
        <v>0</v>
      </c>
      <c r="AV119" s="127">
        <v>0</v>
      </c>
      <c r="AW119" s="127">
        <v>0</v>
      </c>
      <c r="AX119" s="127">
        <v>0</v>
      </c>
      <c r="AY119" s="127">
        <v>0</v>
      </c>
      <c r="AZ119" s="127">
        <v>0</v>
      </c>
      <c r="BA119" s="127">
        <v>0</v>
      </c>
      <c r="BB119" s="127">
        <v>0</v>
      </c>
      <c r="BC119" s="127">
        <v>0</v>
      </c>
      <c r="BD119" s="127">
        <v>0</v>
      </c>
      <c r="BE119" s="127">
        <v>0</v>
      </c>
      <c r="BF119" s="127">
        <v>0</v>
      </c>
      <c r="BG119" s="127">
        <v>0</v>
      </c>
      <c r="BH119" s="127">
        <v>0</v>
      </c>
      <c r="BI119" s="127">
        <v>0</v>
      </c>
      <c r="BJ119" s="127">
        <v>0</v>
      </c>
      <c r="BK119" s="127">
        <v>0</v>
      </c>
      <c r="BL119" s="127">
        <v>0</v>
      </c>
      <c r="BM119" s="127">
        <v>0</v>
      </c>
      <c r="BN119" s="127">
        <v>0</v>
      </c>
      <c r="BO119" s="127">
        <v>0</v>
      </c>
      <c r="BP119" s="127">
        <v>0</v>
      </c>
      <c r="BQ119" s="127">
        <v>0</v>
      </c>
      <c r="BR119" s="127">
        <v>0</v>
      </c>
      <c r="BS119" s="127">
        <v>0</v>
      </c>
      <c r="BT119" s="127">
        <v>0</v>
      </c>
      <c r="BU119" s="127">
        <v>0</v>
      </c>
      <c r="BV119" s="127">
        <v>0</v>
      </c>
      <c r="BW119" s="127">
        <v>0</v>
      </c>
      <c r="BX119" s="127">
        <v>0</v>
      </c>
      <c r="BY119" s="127">
        <v>0</v>
      </c>
      <c r="BZ119" s="127">
        <v>0</v>
      </c>
      <c r="CA119" s="127">
        <v>0</v>
      </c>
    </row>
    <row r="120" spans="1:79" ht="18" customHeight="1">
      <c r="A120" s="123">
        <v>31</v>
      </c>
      <c r="B120" s="123" t="str">
        <v>RM000166</v>
      </c>
      <c r="C120" s="123" t="str">
        <v>Oil</v>
      </c>
      <c r="D120" s="123" t="str">
        <v>MIND/Pre-Production</v>
      </c>
      <c r="E120" s="123" t="str">
        <v>Raw Sunflower</v>
      </c>
      <c r="F120" s="124">
        <v>0</v>
      </c>
      <c r="G120" s="124">
        <v>0</v>
      </c>
      <c r="H120" s="124">
        <v>0</v>
      </c>
      <c r="I120" s="125">
        <v>0</v>
      </c>
      <c r="J120" s="123" t="str">
        <v>Data Review</v>
      </c>
      <c r="K120" s="123" t="str">
        <v/>
      </c>
      <c r="L120" s="126">
        <v>0</v>
      </c>
      <c r="M120" s="126">
        <v>0</v>
      </c>
      <c r="N120" s="126">
        <v>0</v>
      </c>
      <c r="O120" s="126">
        <v>0</v>
      </c>
      <c r="P120" s="126">
        <v>0</v>
      </c>
      <c r="Q120" s="126">
        <v>0</v>
      </c>
      <c r="R120" s="126">
        <v>0</v>
      </c>
      <c r="S120" s="126">
        <v>0</v>
      </c>
      <c r="T120" s="126">
        <v>0</v>
      </c>
      <c r="U120" s="126">
        <v>0</v>
      </c>
      <c r="V120" s="126">
        <v>0</v>
      </c>
      <c r="W120" s="126">
        <v>0</v>
      </c>
      <c r="X120" s="126">
        <v>0</v>
      </c>
      <c r="Y120" s="127">
        <v>0</v>
      </c>
      <c r="Z120" s="127">
        <v>0</v>
      </c>
      <c r="AA120" s="127">
        <v>0</v>
      </c>
      <c r="AB120" s="127">
        <v>0</v>
      </c>
      <c r="AC120" s="127">
        <v>2675</v>
      </c>
      <c r="AD120" s="127">
        <v>7780</v>
      </c>
      <c r="AE120" s="127">
        <v>0</v>
      </c>
      <c r="AF120" s="127">
        <v>0</v>
      </c>
      <c r="AG120" s="127">
        <v>0</v>
      </c>
      <c r="AH120" s="127">
        <v>0</v>
      </c>
      <c r="AI120" s="127">
        <v>0</v>
      </c>
      <c r="AJ120" s="127">
        <v>0</v>
      </c>
      <c r="AK120" s="127">
        <v>0</v>
      </c>
      <c r="AL120" s="127">
        <v>0</v>
      </c>
      <c r="AM120" s="127">
        <v>0</v>
      </c>
      <c r="AN120" s="127">
        <v>0</v>
      </c>
      <c r="AO120" s="127">
        <v>0</v>
      </c>
      <c r="AP120" s="127">
        <v>0</v>
      </c>
      <c r="AQ120" s="127">
        <v>0</v>
      </c>
      <c r="AR120" s="127">
        <v>0</v>
      </c>
      <c r="AS120" s="127">
        <v>0</v>
      </c>
      <c r="AT120" s="127">
        <v>0</v>
      </c>
      <c r="AU120" s="127">
        <v>0</v>
      </c>
      <c r="AV120" s="127">
        <v>0</v>
      </c>
      <c r="AW120" s="127">
        <v>0</v>
      </c>
      <c r="AX120" s="127">
        <v>0</v>
      </c>
      <c r="AY120" s="127">
        <v>0</v>
      </c>
      <c r="AZ120" s="127">
        <v>0</v>
      </c>
      <c r="BA120" s="127">
        <v>0</v>
      </c>
      <c r="BB120" s="127">
        <v>0</v>
      </c>
      <c r="BC120" s="127">
        <v>0</v>
      </c>
      <c r="BD120" s="127">
        <v>0</v>
      </c>
      <c r="BE120" s="127">
        <v>0</v>
      </c>
      <c r="BF120" s="127">
        <v>0</v>
      </c>
      <c r="BG120" s="127">
        <v>0</v>
      </c>
      <c r="BH120" s="127">
        <v>0</v>
      </c>
      <c r="BI120" s="127">
        <v>0</v>
      </c>
      <c r="BJ120" s="127">
        <v>0</v>
      </c>
      <c r="BK120" s="127">
        <v>0</v>
      </c>
      <c r="BL120" s="127">
        <v>0</v>
      </c>
      <c r="BM120" s="127">
        <v>0</v>
      </c>
      <c r="BN120" s="127">
        <v>0</v>
      </c>
      <c r="BO120" s="127">
        <v>0</v>
      </c>
      <c r="BP120" s="127">
        <v>0</v>
      </c>
      <c r="BQ120" s="127">
        <v>0</v>
      </c>
      <c r="BR120" s="127">
        <v>0</v>
      </c>
      <c r="BS120" s="127">
        <v>0</v>
      </c>
      <c r="BT120" s="127">
        <v>0</v>
      </c>
      <c r="BU120" s="127">
        <v>0</v>
      </c>
      <c r="BV120" s="127">
        <v>0</v>
      </c>
      <c r="BW120" s="127">
        <v>0</v>
      </c>
      <c r="BX120" s="127">
        <v>0</v>
      </c>
      <c r="BY120" s="127">
        <v>0</v>
      </c>
      <c r="BZ120" s="127">
        <v>0</v>
      </c>
      <c r="CA120" s="127">
        <v>0</v>
      </c>
    </row>
    <row r="121" spans="1:79" ht="18" customHeight="1">
      <c r="A121" s="123">
        <v>34</v>
      </c>
      <c r="B121" s="123" t="str">
        <v>RM000116</v>
      </c>
      <c r="C121" s="123" t="str">
        <v>Oil</v>
      </c>
      <c r="D121" s="123" t="str">
        <v>MIND/Pre-Production</v>
      </c>
      <c r="E121" s="123" t="str">
        <v>Mustard Seeds</v>
      </c>
      <c r="F121" s="124">
        <v>0</v>
      </c>
      <c r="G121" s="124">
        <v>0</v>
      </c>
      <c r="H121" s="124">
        <v>0</v>
      </c>
      <c r="I121" s="125">
        <v>0</v>
      </c>
      <c r="J121" s="123" t="str">
        <v>Data Review</v>
      </c>
      <c r="K121" s="123" t="str">
        <v/>
      </c>
      <c r="L121" s="126">
        <v>0</v>
      </c>
      <c r="M121" s="126">
        <v>0</v>
      </c>
      <c r="N121" s="126">
        <v>0</v>
      </c>
      <c r="O121" s="126">
        <v>0</v>
      </c>
      <c r="P121" s="126">
        <v>0</v>
      </c>
      <c r="Q121" s="126">
        <v>0</v>
      </c>
      <c r="R121" s="126">
        <v>0</v>
      </c>
      <c r="S121" s="126">
        <v>0</v>
      </c>
      <c r="T121" s="126">
        <v>0</v>
      </c>
      <c r="U121" s="126">
        <v>0</v>
      </c>
      <c r="V121" s="126">
        <v>0</v>
      </c>
      <c r="W121" s="126">
        <v>0</v>
      </c>
      <c r="X121" s="126">
        <v>0</v>
      </c>
      <c r="Y121" s="127">
        <v>0</v>
      </c>
      <c r="Z121" s="127">
        <v>0</v>
      </c>
      <c r="AA121" s="127">
        <v>0</v>
      </c>
      <c r="AB121" s="127">
        <v>0</v>
      </c>
      <c r="AC121" s="127">
        <v>0</v>
      </c>
      <c r="AD121" s="127">
        <v>0</v>
      </c>
      <c r="AE121" s="127">
        <v>0</v>
      </c>
      <c r="AF121" s="127">
        <v>0</v>
      </c>
      <c r="AG121" s="127">
        <v>0</v>
      </c>
      <c r="AH121" s="127">
        <v>0</v>
      </c>
      <c r="AI121" s="127">
        <v>0</v>
      </c>
      <c r="AJ121" s="127">
        <v>0</v>
      </c>
      <c r="AK121" s="127">
        <v>0</v>
      </c>
      <c r="AL121" s="127">
        <v>0</v>
      </c>
      <c r="AM121" s="127">
        <v>0</v>
      </c>
      <c r="AN121" s="127">
        <v>0</v>
      </c>
      <c r="AO121" s="127">
        <v>0</v>
      </c>
      <c r="AP121" s="127">
        <v>0</v>
      </c>
      <c r="AQ121" s="127">
        <v>0</v>
      </c>
      <c r="AR121" s="127">
        <v>0</v>
      </c>
      <c r="AS121" s="127">
        <v>0</v>
      </c>
      <c r="AT121" s="127">
        <v>0</v>
      </c>
      <c r="AU121" s="127">
        <v>0</v>
      </c>
      <c r="AV121" s="127">
        <v>0</v>
      </c>
      <c r="AW121" s="127">
        <v>0</v>
      </c>
      <c r="AX121" s="127">
        <v>0</v>
      </c>
      <c r="AY121" s="127">
        <v>0</v>
      </c>
      <c r="AZ121" s="127">
        <v>0</v>
      </c>
      <c r="BA121" s="127">
        <v>0</v>
      </c>
      <c r="BB121" s="127">
        <v>0</v>
      </c>
      <c r="BC121" s="127">
        <v>0</v>
      </c>
      <c r="BD121" s="127">
        <v>0</v>
      </c>
      <c r="BE121" s="127">
        <v>0</v>
      </c>
      <c r="BF121" s="127">
        <v>0</v>
      </c>
      <c r="BG121" s="127">
        <v>0</v>
      </c>
      <c r="BH121" s="127">
        <v>0</v>
      </c>
      <c r="BI121" s="127">
        <v>0</v>
      </c>
      <c r="BJ121" s="127">
        <v>0</v>
      </c>
      <c r="BK121" s="127">
        <v>0</v>
      </c>
      <c r="BL121" s="127">
        <v>0</v>
      </c>
      <c r="BM121" s="127">
        <v>0</v>
      </c>
      <c r="BN121" s="127">
        <v>0</v>
      </c>
      <c r="BO121" s="127">
        <v>0</v>
      </c>
      <c r="BP121" s="127">
        <v>0</v>
      </c>
      <c r="BQ121" s="127">
        <v>0</v>
      </c>
      <c r="BR121" s="127">
        <v>0</v>
      </c>
      <c r="BS121" s="127">
        <v>0</v>
      </c>
      <c r="BT121" s="127">
        <v>0</v>
      </c>
      <c r="BU121" s="127">
        <v>0</v>
      </c>
      <c r="BV121" s="127">
        <v>0</v>
      </c>
      <c r="BW121" s="127">
        <v>0</v>
      </c>
      <c r="BX121" s="127">
        <v>0</v>
      </c>
      <c r="BY121" s="127">
        <v>0</v>
      </c>
      <c r="BZ121" s="127">
        <v>0</v>
      </c>
      <c r="CA121" s="127">
        <v>0</v>
      </c>
    </row>
    <row r="122" spans="1:79" ht="18" customHeight="1">
      <c r="A122" s="123">
        <v>44</v>
      </c>
      <c r="B122" s="123" t="str">
        <v>RM000226</v>
      </c>
      <c r="C122" s="123" t="str">
        <v>Jaggery</v>
      </c>
      <c r="D122" s="123" t="str">
        <v>C39/Pre-Production</v>
      </c>
      <c r="E122" s="123" t="str">
        <v>RM Jaggery Spice Cube 5 GM</v>
      </c>
      <c r="F122" s="124" t="str">
        <v>0</v>
      </c>
      <c r="G122" s="124">
        <v>0</v>
      </c>
      <c r="H122" s="124">
        <v>0</v>
      </c>
      <c r="I122" s="125">
        <v>0</v>
      </c>
      <c r="J122" s="123" t="str">
        <v>Data Review</v>
      </c>
      <c r="K122" s="123" t="str">
        <v>No receipt</v>
      </c>
      <c r="L122" s="126">
        <v>0</v>
      </c>
      <c r="M122" s="126">
        <v>0</v>
      </c>
      <c r="N122" s="126">
        <v>0</v>
      </c>
      <c r="O122" s="126">
        <v>0</v>
      </c>
      <c r="P122" s="126">
        <v>0</v>
      </c>
      <c r="Q122" s="126">
        <v>0</v>
      </c>
      <c r="R122" s="126">
        <v>0</v>
      </c>
      <c r="S122" s="126">
        <v>0</v>
      </c>
      <c r="T122" s="126">
        <v>0</v>
      </c>
      <c r="U122" s="126">
        <v>0</v>
      </c>
      <c r="V122" s="126">
        <v>0</v>
      </c>
      <c r="W122" s="126">
        <v>0</v>
      </c>
      <c r="X122" s="126">
        <v>0</v>
      </c>
      <c r="Y122" s="127">
        <v>0</v>
      </c>
      <c r="Z122" s="127">
        <v>0</v>
      </c>
      <c r="AA122" s="127">
        <v>0</v>
      </c>
      <c r="AB122" s="127">
        <v>0</v>
      </c>
      <c r="AC122" s="127">
        <v>0</v>
      </c>
      <c r="AD122" s="127">
        <v>0</v>
      </c>
      <c r="AE122" s="127">
        <v>0</v>
      </c>
      <c r="AF122" s="127">
        <v>0</v>
      </c>
      <c r="AG122" s="127">
        <v>0</v>
      </c>
      <c r="AH122" s="127">
        <v>0</v>
      </c>
      <c r="AI122" s="127">
        <v>0</v>
      </c>
      <c r="AJ122" s="127">
        <v>0</v>
      </c>
      <c r="AK122" s="127">
        <v>0</v>
      </c>
      <c r="AL122" s="127">
        <v>0</v>
      </c>
      <c r="AM122" s="127">
        <v>0</v>
      </c>
      <c r="AN122" s="127">
        <v>0</v>
      </c>
      <c r="AO122" s="127">
        <v>0</v>
      </c>
      <c r="AP122" s="127">
        <v>0</v>
      </c>
      <c r="AQ122" s="127">
        <v>0</v>
      </c>
      <c r="AR122" s="127">
        <v>0</v>
      </c>
      <c r="AS122" s="127">
        <v>0</v>
      </c>
      <c r="AT122" s="127">
        <v>0</v>
      </c>
      <c r="AU122" s="127">
        <v>0</v>
      </c>
      <c r="AV122" s="127">
        <v>0</v>
      </c>
      <c r="AW122" s="127">
        <v>0</v>
      </c>
      <c r="AX122" s="127">
        <v>0</v>
      </c>
      <c r="AY122" s="127">
        <v>0</v>
      </c>
      <c r="AZ122" s="127">
        <v>0</v>
      </c>
      <c r="BA122" s="127">
        <v>0</v>
      </c>
      <c r="BB122" s="127">
        <v>0</v>
      </c>
      <c r="BC122" s="127">
        <v>0</v>
      </c>
      <c r="BD122" s="127">
        <v>0</v>
      </c>
      <c r="BE122" s="127">
        <v>0</v>
      </c>
      <c r="BF122" s="127">
        <v>0</v>
      </c>
      <c r="BG122" s="127">
        <v>0</v>
      </c>
      <c r="BH122" s="127">
        <v>0</v>
      </c>
      <c r="BI122" s="127">
        <v>0</v>
      </c>
      <c r="BJ122" s="127">
        <v>0</v>
      </c>
      <c r="BK122" s="127">
        <v>0</v>
      </c>
      <c r="BL122" s="127">
        <v>0</v>
      </c>
      <c r="BM122" s="127">
        <v>0</v>
      </c>
      <c r="BN122" s="127">
        <v>0</v>
      </c>
      <c r="BO122" s="127">
        <v>0</v>
      </c>
      <c r="BP122" s="127">
        <v>0</v>
      </c>
      <c r="BQ122" s="127">
        <v>0</v>
      </c>
      <c r="BR122" s="127">
        <v>0</v>
      </c>
      <c r="BS122" s="127">
        <v>0</v>
      </c>
      <c r="BT122" s="127">
        <v>0</v>
      </c>
      <c r="BU122" s="127">
        <v>0</v>
      </c>
      <c r="BV122" s="127">
        <v>0</v>
      </c>
      <c r="BW122" s="127">
        <v>0</v>
      </c>
      <c r="BX122" s="127">
        <v>0</v>
      </c>
      <c r="BY122" s="127">
        <v>0</v>
      </c>
      <c r="BZ122" s="127">
        <v>0</v>
      </c>
      <c r="CA122" s="127">
        <v>0</v>
      </c>
    </row>
    <row r="123" spans="1:79" ht="18" customHeight="1">
      <c r="A123" s="123">
        <v>46</v>
      </c>
      <c r="B123" s="123" t="str">
        <v>RM000183</v>
      </c>
      <c r="C123" s="123" t="str">
        <v>Jaggery</v>
      </c>
      <c r="D123" s="123" t="str">
        <v>C39/Pre-Production</v>
      </c>
      <c r="E123" s="123" t="str">
        <v>Solid Date Palm Jaggery</v>
      </c>
      <c r="F123" s="124">
        <v>0</v>
      </c>
      <c r="G123" s="124">
        <v>0</v>
      </c>
      <c r="H123" s="124">
        <v>0</v>
      </c>
      <c r="I123" s="125">
        <v>0</v>
      </c>
      <c r="J123" s="123" t="str">
        <v>Data Review</v>
      </c>
      <c r="K123" s="123" t="str">
        <v/>
      </c>
      <c r="L123" s="126">
        <v>0</v>
      </c>
      <c r="M123" s="126">
        <v>0</v>
      </c>
      <c r="N123" s="126">
        <v>0</v>
      </c>
      <c r="O123" s="126">
        <v>0</v>
      </c>
      <c r="P123" s="126">
        <v>0</v>
      </c>
      <c r="Q123" s="126">
        <v>0</v>
      </c>
      <c r="R123" s="126">
        <v>0</v>
      </c>
      <c r="S123" s="126">
        <v>0</v>
      </c>
      <c r="T123" s="126">
        <v>0</v>
      </c>
      <c r="U123" s="126">
        <v>0</v>
      </c>
      <c r="V123" s="126">
        <v>0</v>
      </c>
      <c r="W123" s="126">
        <v>0</v>
      </c>
      <c r="X123" s="126">
        <v>0</v>
      </c>
      <c r="Y123" s="127">
        <v>0</v>
      </c>
      <c r="Z123" s="127">
        <v>0</v>
      </c>
      <c r="AA123" s="127">
        <v>0</v>
      </c>
      <c r="AB123" s="127">
        <v>0</v>
      </c>
      <c r="AC123" s="127">
        <v>0</v>
      </c>
      <c r="AD123" s="127">
        <v>0</v>
      </c>
      <c r="AE123" s="127">
        <v>0</v>
      </c>
      <c r="AF123" s="127">
        <v>0</v>
      </c>
      <c r="AG123" s="127">
        <v>0</v>
      </c>
      <c r="AH123" s="127">
        <v>0</v>
      </c>
      <c r="AI123" s="127">
        <v>0</v>
      </c>
      <c r="AJ123" s="127">
        <v>0</v>
      </c>
      <c r="AK123" s="127">
        <v>0</v>
      </c>
      <c r="AL123" s="127">
        <v>0</v>
      </c>
      <c r="AM123" s="127">
        <v>0</v>
      </c>
      <c r="AN123" s="127">
        <v>0</v>
      </c>
      <c r="AO123" s="127">
        <v>0</v>
      </c>
      <c r="AP123" s="127">
        <v>0</v>
      </c>
      <c r="AQ123" s="127">
        <v>0</v>
      </c>
      <c r="AR123" s="127">
        <v>0</v>
      </c>
      <c r="AS123" s="127">
        <v>0</v>
      </c>
      <c r="AT123" s="127">
        <v>0</v>
      </c>
      <c r="AU123" s="127">
        <v>0</v>
      </c>
      <c r="AV123" s="127">
        <v>0</v>
      </c>
      <c r="AW123" s="127">
        <v>0</v>
      </c>
      <c r="AX123" s="127">
        <v>0</v>
      </c>
      <c r="AY123" s="127">
        <v>0</v>
      </c>
      <c r="AZ123" s="127">
        <v>0</v>
      </c>
      <c r="BA123" s="127">
        <v>0</v>
      </c>
      <c r="BB123" s="127">
        <v>0</v>
      </c>
      <c r="BC123" s="127">
        <v>0</v>
      </c>
      <c r="BD123" s="127">
        <v>0</v>
      </c>
      <c r="BE123" s="127">
        <v>0</v>
      </c>
      <c r="BF123" s="127">
        <v>0</v>
      </c>
      <c r="BG123" s="127">
        <v>0</v>
      </c>
      <c r="BH123" s="127">
        <v>0</v>
      </c>
      <c r="BI123" s="127">
        <v>0</v>
      </c>
      <c r="BJ123" s="127">
        <v>0</v>
      </c>
      <c r="BK123" s="127">
        <v>0</v>
      </c>
      <c r="BL123" s="127">
        <v>0</v>
      </c>
      <c r="BM123" s="127">
        <v>0</v>
      </c>
      <c r="BN123" s="127">
        <v>0</v>
      </c>
      <c r="BO123" s="127">
        <v>0</v>
      </c>
      <c r="BP123" s="127">
        <v>0</v>
      </c>
      <c r="BQ123" s="127">
        <v>0</v>
      </c>
      <c r="BR123" s="127">
        <v>0</v>
      </c>
      <c r="BS123" s="127">
        <v>0</v>
      </c>
      <c r="BT123" s="127">
        <v>0</v>
      </c>
      <c r="BU123" s="127">
        <v>0</v>
      </c>
      <c r="BV123" s="127">
        <v>0</v>
      </c>
      <c r="BW123" s="127">
        <v>0</v>
      </c>
      <c r="BX123" s="127">
        <v>0</v>
      </c>
      <c r="BY123" s="127">
        <v>0</v>
      </c>
      <c r="BZ123" s="127">
        <v>0</v>
      </c>
      <c r="CA123" s="127">
        <v>0</v>
      </c>
    </row>
    <row r="124" spans="1:79" ht="18" customHeight="1">
      <c r="A124" s="123">
        <v>49</v>
      </c>
      <c r="B124" s="123" t="str">
        <v>RM000002</v>
      </c>
      <c r="C124" s="123" t="str">
        <v>Honey</v>
      </c>
      <c r="D124" s="123" t="str">
        <v>C39/Pre-Production</v>
      </c>
      <c r="E124" s="123" t="str">
        <v>Acacia Raw Honey</v>
      </c>
      <c r="F124" s="124">
        <v>0</v>
      </c>
      <c r="G124" s="124">
        <v>0</v>
      </c>
      <c r="H124" s="124">
        <v>0</v>
      </c>
      <c r="I124" s="125">
        <v>0</v>
      </c>
      <c r="J124" s="123" t="str">
        <v>Data Review</v>
      </c>
      <c r="K124" s="123" t="str">
        <v/>
      </c>
      <c r="L124" s="126">
        <v>0</v>
      </c>
      <c r="M124" s="126">
        <v>0</v>
      </c>
      <c r="N124" s="126">
        <v>0</v>
      </c>
      <c r="O124" s="126">
        <v>0</v>
      </c>
      <c r="P124" s="126">
        <v>0</v>
      </c>
      <c r="Q124" s="126">
        <v>0</v>
      </c>
      <c r="R124" s="126">
        <v>0</v>
      </c>
      <c r="S124" s="126">
        <v>0</v>
      </c>
      <c r="T124" s="126">
        <v>0</v>
      </c>
      <c r="U124" s="126">
        <v>0</v>
      </c>
      <c r="V124" s="126">
        <v>0</v>
      </c>
      <c r="W124" s="126">
        <v>0</v>
      </c>
      <c r="X124" s="126">
        <v>0</v>
      </c>
      <c r="Y124" s="127">
        <v>0</v>
      </c>
      <c r="Z124" s="127">
        <v>0</v>
      </c>
      <c r="AA124" s="127">
        <v>0</v>
      </c>
      <c r="AB124" s="127">
        <v>0</v>
      </c>
      <c r="AC124" s="127">
        <v>0</v>
      </c>
      <c r="AD124" s="127">
        <v>0</v>
      </c>
      <c r="AE124" s="127">
        <v>0</v>
      </c>
      <c r="AF124" s="127">
        <v>0</v>
      </c>
      <c r="AG124" s="127">
        <v>0</v>
      </c>
      <c r="AH124" s="127">
        <v>0</v>
      </c>
      <c r="AI124" s="127">
        <v>0</v>
      </c>
      <c r="AJ124" s="127">
        <v>0</v>
      </c>
      <c r="AK124" s="127">
        <v>0</v>
      </c>
      <c r="AL124" s="127">
        <v>0</v>
      </c>
      <c r="AM124" s="127">
        <v>0</v>
      </c>
      <c r="AN124" s="127">
        <v>0</v>
      </c>
      <c r="AO124" s="127">
        <v>0</v>
      </c>
      <c r="AP124" s="127">
        <v>0</v>
      </c>
      <c r="AQ124" s="127">
        <v>0</v>
      </c>
      <c r="AR124" s="127">
        <v>0</v>
      </c>
      <c r="AS124" s="127">
        <v>0</v>
      </c>
      <c r="AT124" s="127">
        <v>0</v>
      </c>
      <c r="AU124" s="127">
        <v>0</v>
      </c>
      <c r="AV124" s="127">
        <v>0</v>
      </c>
      <c r="AW124" s="127">
        <v>0</v>
      </c>
      <c r="AX124" s="127">
        <v>0</v>
      </c>
      <c r="AY124" s="127">
        <v>0</v>
      </c>
      <c r="AZ124" s="127">
        <v>0</v>
      </c>
      <c r="BA124" s="127">
        <v>0</v>
      </c>
      <c r="BB124" s="127">
        <v>0</v>
      </c>
      <c r="BC124" s="127">
        <v>0</v>
      </c>
      <c r="BD124" s="127">
        <v>0</v>
      </c>
      <c r="BE124" s="127">
        <v>0</v>
      </c>
      <c r="BF124" s="127">
        <v>0</v>
      </c>
      <c r="BG124" s="127">
        <v>0</v>
      </c>
      <c r="BH124" s="127">
        <v>0</v>
      </c>
      <c r="BI124" s="127">
        <v>0</v>
      </c>
      <c r="BJ124" s="127">
        <v>0</v>
      </c>
      <c r="BK124" s="127">
        <v>0</v>
      </c>
      <c r="BL124" s="127">
        <v>0</v>
      </c>
      <c r="BM124" s="127">
        <v>0</v>
      </c>
      <c r="BN124" s="127">
        <v>0</v>
      </c>
      <c r="BO124" s="127">
        <v>0</v>
      </c>
      <c r="BP124" s="127">
        <v>0</v>
      </c>
      <c r="BQ124" s="127">
        <v>0</v>
      </c>
      <c r="BR124" s="127">
        <v>0</v>
      </c>
      <c r="BS124" s="127">
        <v>0</v>
      </c>
      <c r="BT124" s="127">
        <v>0</v>
      </c>
      <c r="BU124" s="127">
        <v>0</v>
      </c>
      <c r="BV124" s="127">
        <v>0</v>
      </c>
      <c r="BW124" s="127">
        <v>0</v>
      </c>
      <c r="BX124" s="127">
        <v>0</v>
      </c>
      <c r="BY124" s="127">
        <v>0</v>
      </c>
      <c r="BZ124" s="127">
        <v>0</v>
      </c>
      <c r="CA124" s="127">
        <v>0</v>
      </c>
    </row>
    <row r="125" spans="1:79" ht="18" customHeight="1">
      <c r="A125" s="123">
        <v>53</v>
      </c>
      <c r="B125" s="123" t="str">
        <v>RM000071</v>
      </c>
      <c r="C125" s="123" t="str">
        <v>GMP</v>
      </c>
      <c r="D125" s="123" t="str">
        <v>C39/Pre-Production</v>
      </c>
      <c r="E125" s="123" t="str">
        <v>Haldi-Turmeric Powder</v>
      </c>
      <c r="F125" s="124">
        <v>0</v>
      </c>
      <c r="G125" s="124">
        <v>0</v>
      </c>
      <c r="H125" s="124">
        <v>0</v>
      </c>
      <c r="I125" s="125">
        <v>0</v>
      </c>
      <c r="J125" s="123" t="str">
        <v>Data Review</v>
      </c>
      <c r="K125" s="123" t="str">
        <v/>
      </c>
      <c r="L125" s="126">
        <v>0</v>
      </c>
      <c r="M125" s="126">
        <v>0</v>
      </c>
      <c r="N125" s="126">
        <v>0</v>
      </c>
      <c r="O125" s="126">
        <v>0</v>
      </c>
      <c r="P125" s="126">
        <v>0</v>
      </c>
      <c r="Q125" s="126">
        <v>0</v>
      </c>
      <c r="R125" s="126">
        <v>0</v>
      </c>
      <c r="S125" s="126">
        <v>0</v>
      </c>
      <c r="T125" s="126">
        <v>0</v>
      </c>
      <c r="U125" s="126">
        <v>0</v>
      </c>
      <c r="V125" s="126">
        <v>0</v>
      </c>
      <c r="W125" s="126">
        <v>0</v>
      </c>
      <c r="X125" s="126">
        <v>0</v>
      </c>
      <c r="Y125" s="127">
        <v>0</v>
      </c>
      <c r="Z125" s="127">
        <v>0</v>
      </c>
      <c r="AA125" s="127">
        <v>0</v>
      </c>
      <c r="AB125" s="127">
        <v>0</v>
      </c>
      <c r="AC125" s="127">
        <v>0</v>
      </c>
      <c r="AD125" s="127">
        <v>0</v>
      </c>
      <c r="AE125" s="127">
        <v>0</v>
      </c>
      <c r="AF125" s="127">
        <v>0</v>
      </c>
      <c r="AG125" s="127">
        <v>0</v>
      </c>
      <c r="AH125" s="127">
        <v>0</v>
      </c>
      <c r="AI125" s="127">
        <v>0</v>
      </c>
      <c r="AJ125" s="127">
        <v>0</v>
      </c>
      <c r="AK125" s="127">
        <v>0</v>
      </c>
      <c r="AL125" s="127">
        <v>0</v>
      </c>
      <c r="AM125" s="127">
        <v>0</v>
      </c>
      <c r="AN125" s="127">
        <v>0</v>
      </c>
      <c r="AO125" s="127">
        <v>0</v>
      </c>
      <c r="AP125" s="127">
        <v>0</v>
      </c>
      <c r="AQ125" s="127">
        <v>0</v>
      </c>
      <c r="AR125" s="127">
        <v>0</v>
      </c>
      <c r="AS125" s="127">
        <v>0</v>
      </c>
      <c r="AT125" s="127">
        <v>0</v>
      </c>
      <c r="AU125" s="127">
        <v>0</v>
      </c>
      <c r="AV125" s="127">
        <v>0</v>
      </c>
      <c r="AW125" s="127">
        <v>0</v>
      </c>
      <c r="AX125" s="127">
        <v>0</v>
      </c>
      <c r="AY125" s="127">
        <v>0</v>
      </c>
      <c r="AZ125" s="127">
        <v>0</v>
      </c>
      <c r="BA125" s="127">
        <v>0</v>
      </c>
      <c r="BB125" s="127">
        <v>0</v>
      </c>
      <c r="BC125" s="127">
        <v>0</v>
      </c>
      <c r="BD125" s="127">
        <v>0</v>
      </c>
      <c r="BE125" s="127">
        <v>0</v>
      </c>
      <c r="BF125" s="127">
        <v>0</v>
      </c>
      <c r="BG125" s="127">
        <v>0</v>
      </c>
      <c r="BH125" s="127">
        <v>0</v>
      </c>
      <c r="BI125" s="127">
        <v>0</v>
      </c>
      <c r="BJ125" s="127">
        <v>0</v>
      </c>
      <c r="BK125" s="127">
        <v>0</v>
      </c>
      <c r="BL125" s="127">
        <v>0</v>
      </c>
      <c r="BM125" s="127">
        <v>0</v>
      </c>
      <c r="BN125" s="127">
        <v>0</v>
      </c>
      <c r="BO125" s="127">
        <v>0</v>
      </c>
      <c r="BP125" s="127">
        <v>0</v>
      </c>
      <c r="BQ125" s="127">
        <v>0</v>
      </c>
      <c r="BR125" s="127">
        <v>0</v>
      </c>
      <c r="BS125" s="127">
        <v>0</v>
      </c>
      <c r="BT125" s="127">
        <v>0</v>
      </c>
      <c r="BU125" s="127">
        <v>0</v>
      </c>
      <c r="BV125" s="127">
        <v>0</v>
      </c>
      <c r="BW125" s="127">
        <v>0</v>
      </c>
      <c r="BX125" s="127">
        <v>0</v>
      </c>
      <c r="BY125" s="127">
        <v>0</v>
      </c>
      <c r="BZ125" s="127">
        <v>0</v>
      </c>
      <c r="CA125" s="127">
        <v>0</v>
      </c>
    </row>
    <row r="126" spans="1:79" ht="18" customHeight="1">
      <c r="A126" s="123">
        <v>54</v>
      </c>
      <c r="B126" s="123" t="str">
        <v>RM000062</v>
      </c>
      <c r="C126" s="123" t="str">
        <v>GMP</v>
      </c>
      <c r="D126" s="123" t="str">
        <v>C39/Pre-Production</v>
      </c>
      <c r="E126" s="123" t="str">
        <v>Ginger Powder</v>
      </c>
      <c r="F126" s="124">
        <v>0</v>
      </c>
      <c r="G126" s="124">
        <v>0</v>
      </c>
      <c r="H126" s="124">
        <v>0</v>
      </c>
      <c r="I126" s="125">
        <v>0</v>
      </c>
      <c r="J126" s="123" t="str">
        <v>Data Review</v>
      </c>
      <c r="K126" s="123" t="str">
        <v/>
      </c>
      <c r="L126" s="126">
        <v>0</v>
      </c>
      <c r="M126" s="126">
        <v>0</v>
      </c>
      <c r="N126" s="126">
        <v>0</v>
      </c>
      <c r="O126" s="126">
        <v>0</v>
      </c>
      <c r="P126" s="126">
        <v>0</v>
      </c>
      <c r="Q126" s="126">
        <v>0</v>
      </c>
      <c r="R126" s="126">
        <v>0</v>
      </c>
      <c r="S126" s="126">
        <v>0</v>
      </c>
      <c r="T126" s="126">
        <v>0</v>
      </c>
      <c r="U126" s="126">
        <v>0</v>
      </c>
      <c r="V126" s="126">
        <v>0</v>
      </c>
      <c r="W126" s="126">
        <v>0</v>
      </c>
      <c r="X126" s="126">
        <v>0</v>
      </c>
      <c r="Y126" s="127">
        <v>0</v>
      </c>
      <c r="Z126" s="127">
        <v>0</v>
      </c>
      <c r="AA126" s="127">
        <v>0</v>
      </c>
      <c r="AB126" s="127">
        <v>0</v>
      </c>
      <c r="AC126" s="127">
        <v>0</v>
      </c>
      <c r="AD126" s="127">
        <v>0</v>
      </c>
      <c r="AE126" s="127">
        <v>0</v>
      </c>
      <c r="AF126" s="127">
        <v>0</v>
      </c>
      <c r="AG126" s="127">
        <v>0</v>
      </c>
      <c r="AH126" s="127">
        <v>0</v>
      </c>
      <c r="AI126" s="127">
        <v>0</v>
      </c>
      <c r="AJ126" s="127">
        <v>0</v>
      </c>
      <c r="AK126" s="127">
        <v>0</v>
      </c>
      <c r="AL126" s="127">
        <v>70</v>
      </c>
      <c r="AM126" s="127">
        <v>0</v>
      </c>
      <c r="AN126" s="127">
        <v>0</v>
      </c>
      <c r="AO126" s="127">
        <v>0</v>
      </c>
      <c r="AP126" s="127">
        <v>0</v>
      </c>
      <c r="AQ126" s="127">
        <v>0</v>
      </c>
      <c r="AR126" s="127">
        <v>0</v>
      </c>
      <c r="AS126" s="127">
        <v>0</v>
      </c>
      <c r="AT126" s="127">
        <v>0</v>
      </c>
      <c r="AU126" s="127">
        <v>0</v>
      </c>
      <c r="AV126" s="127">
        <v>0</v>
      </c>
      <c r="AW126" s="127">
        <v>0</v>
      </c>
      <c r="AX126" s="127">
        <v>0</v>
      </c>
      <c r="AY126" s="127">
        <v>0</v>
      </c>
      <c r="AZ126" s="127">
        <v>0</v>
      </c>
      <c r="BA126" s="127">
        <v>0</v>
      </c>
      <c r="BB126" s="127">
        <v>0</v>
      </c>
      <c r="BC126" s="127">
        <v>0</v>
      </c>
      <c r="BD126" s="127">
        <v>0</v>
      </c>
      <c r="BE126" s="127">
        <v>0</v>
      </c>
      <c r="BF126" s="127">
        <v>0</v>
      </c>
      <c r="BG126" s="127">
        <v>0</v>
      </c>
      <c r="BH126" s="127">
        <v>0</v>
      </c>
      <c r="BI126" s="127">
        <v>0</v>
      </c>
      <c r="BJ126" s="127">
        <v>0</v>
      </c>
      <c r="BK126" s="127">
        <v>0</v>
      </c>
      <c r="BL126" s="127">
        <v>0</v>
      </c>
      <c r="BM126" s="127">
        <v>0</v>
      </c>
      <c r="BN126" s="127">
        <v>0</v>
      </c>
      <c r="BO126" s="127">
        <v>0</v>
      </c>
      <c r="BP126" s="127">
        <v>0</v>
      </c>
      <c r="BQ126" s="127">
        <v>0</v>
      </c>
      <c r="BR126" s="127">
        <v>0</v>
      </c>
      <c r="BS126" s="127">
        <v>0</v>
      </c>
      <c r="BT126" s="127">
        <v>0</v>
      </c>
      <c r="BU126" s="127">
        <v>0</v>
      </c>
      <c r="BV126" s="127">
        <v>0</v>
      </c>
      <c r="BW126" s="127">
        <v>0</v>
      </c>
      <c r="BX126" s="127">
        <v>0</v>
      </c>
      <c r="BY126" s="127">
        <v>0</v>
      </c>
      <c r="BZ126" s="127">
        <v>0</v>
      </c>
      <c r="CA126" s="127">
        <v>0</v>
      </c>
    </row>
    <row r="127" spans="1:79" ht="18" customHeight="1">
      <c r="A127" s="123">
        <v>58</v>
      </c>
      <c r="B127" s="123" t="str">
        <v>RM000018</v>
      </c>
      <c r="C127" s="123" t="str">
        <v>GMP</v>
      </c>
      <c r="D127" s="123" t="str">
        <v>C39/Pre-Production</v>
      </c>
      <c r="E127" s="123" t="str">
        <v>Black Pepper (Kali Miri)</v>
      </c>
      <c r="F127" s="124">
        <v>0</v>
      </c>
      <c r="G127" s="124">
        <v>0</v>
      </c>
      <c r="H127" s="124">
        <v>0</v>
      </c>
      <c r="I127" s="125">
        <v>0</v>
      </c>
      <c r="J127" s="123" t="str">
        <v>Data Review</v>
      </c>
      <c r="K127" s="123" t="str">
        <v/>
      </c>
      <c r="L127" s="126">
        <v>0</v>
      </c>
      <c r="M127" s="126">
        <v>0</v>
      </c>
      <c r="N127" s="126">
        <v>0</v>
      </c>
      <c r="O127" s="126">
        <v>0</v>
      </c>
      <c r="P127" s="126">
        <v>0</v>
      </c>
      <c r="Q127" s="126">
        <v>0</v>
      </c>
      <c r="R127" s="126">
        <v>0</v>
      </c>
      <c r="S127" s="126">
        <v>0</v>
      </c>
      <c r="T127" s="126">
        <v>0</v>
      </c>
      <c r="U127" s="126">
        <v>0</v>
      </c>
      <c r="V127" s="126">
        <v>0</v>
      </c>
      <c r="W127" s="126">
        <v>0</v>
      </c>
      <c r="X127" s="126">
        <v>0</v>
      </c>
      <c r="Y127" s="127">
        <v>0</v>
      </c>
      <c r="Z127" s="127">
        <v>0</v>
      </c>
      <c r="AA127" s="127">
        <v>0</v>
      </c>
      <c r="AB127" s="127">
        <v>0</v>
      </c>
      <c r="AC127" s="127">
        <v>0</v>
      </c>
      <c r="AD127" s="127">
        <v>0</v>
      </c>
      <c r="AE127" s="127">
        <v>0</v>
      </c>
      <c r="AF127" s="127">
        <v>0</v>
      </c>
      <c r="AG127" s="127">
        <v>0</v>
      </c>
      <c r="AH127" s="127">
        <v>0</v>
      </c>
      <c r="AI127" s="127">
        <v>0</v>
      </c>
      <c r="AJ127" s="127">
        <v>0</v>
      </c>
      <c r="AK127" s="127">
        <v>0</v>
      </c>
      <c r="AL127" s="127">
        <v>20</v>
      </c>
      <c r="AM127" s="127">
        <v>0</v>
      </c>
      <c r="AN127" s="127">
        <v>0</v>
      </c>
      <c r="AO127" s="127">
        <v>0</v>
      </c>
      <c r="AP127" s="127">
        <v>0</v>
      </c>
      <c r="AQ127" s="127">
        <v>0</v>
      </c>
      <c r="AR127" s="127">
        <v>0</v>
      </c>
      <c r="AS127" s="127">
        <v>0</v>
      </c>
      <c r="AT127" s="127">
        <v>0</v>
      </c>
      <c r="AU127" s="127">
        <v>0</v>
      </c>
      <c r="AV127" s="127">
        <v>0</v>
      </c>
      <c r="AW127" s="127">
        <v>0</v>
      </c>
      <c r="AX127" s="127">
        <v>0</v>
      </c>
      <c r="AY127" s="127">
        <v>0</v>
      </c>
      <c r="AZ127" s="127">
        <v>0</v>
      </c>
      <c r="BA127" s="127">
        <v>0</v>
      </c>
      <c r="BB127" s="127">
        <v>0</v>
      </c>
      <c r="BC127" s="127">
        <v>0</v>
      </c>
      <c r="BD127" s="127">
        <v>0</v>
      </c>
      <c r="BE127" s="127">
        <v>0</v>
      </c>
      <c r="BF127" s="127">
        <v>0</v>
      </c>
      <c r="BG127" s="127">
        <v>0</v>
      </c>
      <c r="BH127" s="127">
        <v>0</v>
      </c>
      <c r="BI127" s="127">
        <v>0</v>
      </c>
      <c r="BJ127" s="127">
        <v>0</v>
      </c>
      <c r="BK127" s="127">
        <v>0</v>
      </c>
      <c r="BL127" s="127">
        <v>0</v>
      </c>
      <c r="BM127" s="127">
        <v>0</v>
      </c>
      <c r="BN127" s="127">
        <v>0</v>
      </c>
      <c r="BO127" s="127">
        <v>0</v>
      </c>
      <c r="BP127" s="127">
        <v>0</v>
      </c>
      <c r="BQ127" s="127">
        <v>0</v>
      </c>
      <c r="BR127" s="127">
        <v>0</v>
      </c>
      <c r="BS127" s="127">
        <v>0</v>
      </c>
      <c r="BT127" s="127">
        <v>0</v>
      </c>
      <c r="BU127" s="127">
        <v>0</v>
      </c>
      <c r="BV127" s="127">
        <v>0</v>
      </c>
      <c r="BW127" s="127">
        <v>0</v>
      </c>
      <c r="BX127" s="127">
        <v>0</v>
      </c>
      <c r="BY127" s="127">
        <v>0</v>
      </c>
      <c r="BZ127" s="127">
        <v>0</v>
      </c>
      <c r="CA127" s="127">
        <v>0</v>
      </c>
    </row>
    <row r="128" spans="1:79" ht="18" customHeight="1">
      <c r="A128" s="123">
        <v>26</v>
      </c>
      <c r="B128" s="123" t="str">
        <v>RM000094</v>
      </c>
      <c r="C128" s="123" t="str">
        <v>Other Atta</v>
      </c>
      <c r="D128" s="123" t="str">
        <v>C39/Pre-Production</v>
      </c>
      <c r="E128" s="123" t="str">
        <v>Khapli Wheat Grains</v>
      </c>
      <c r="F128" s="124" t="str">
        <v>0</v>
      </c>
      <c r="G128" s="124">
        <v>15000</v>
      </c>
      <c r="H128" s="124">
        <v>15000</v>
      </c>
      <c r="I128" s="125">
        <v>0</v>
      </c>
      <c r="J128" s="123" t="str">
        <v>Data Review</v>
      </c>
      <c r="K128" s="123" t="str">
        <v>Positive pending / over-receipt</v>
      </c>
      <c r="L128" s="126">
        <v>0</v>
      </c>
      <c r="M128" s="126">
        <v>0</v>
      </c>
      <c r="N128" s="126">
        <v>0</v>
      </c>
      <c r="O128" s="126">
        <v>0</v>
      </c>
      <c r="P128" s="126">
        <v>24540</v>
      </c>
      <c r="Q128" s="126">
        <v>0</v>
      </c>
      <c r="R128" s="126">
        <v>20000</v>
      </c>
      <c r="S128" s="126">
        <v>0</v>
      </c>
      <c r="T128" s="126">
        <v>20000</v>
      </c>
      <c r="U128" s="126">
        <v>0</v>
      </c>
      <c r="V128" s="126">
        <v>42000</v>
      </c>
      <c r="W128" s="126">
        <v>0</v>
      </c>
      <c r="X128" s="126">
        <v>0</v>
      </c>
      <c r="Y128" s="127">
        <v>0</v>
      </c>
      <c r="Z128" s="127">
        <v>0</v>
      </c>
      <c r="AA128" s="127">
        <v>0</v>
      </c>
      <c r="AB128" s="127">
        <v>0</v>
      </c>
      <c r="AC128" s="127">
        <v>0</v>
      </c>
      <c r="AD128" s="127">
        <v>16500</v>
      </c>
      <c r="AE128" s="127">
        <v>9000</v>
      </c>
      <c r="AF128" s="127">
        <v>0</v>
      </c>
      <c r="AG128" s="127">
        <v>0</v>
      </c>
      <c r="AH128" s="127">
        <v>10000</v>
      </c>
      <c r="AI128" s="127">
        <v>0</v>
      </c>
      <c r="AJ128" s="127">
        <v>22000</v>
      </c>
      <c r="AK128" s="127">
        <v>0</v>
      </c>
      <c r="AL128" s="127">
        <v>0</v>
      </c>
      <c r="AM128" s="127">
        <v>0</v>
      </c>
      <c r="AN128" s="127">
        <v>0</v>
      </c>
      <c r="AO128" s="127">
        <v>0</v>
      </c>
      <c r="AP128" s="127">
        <v>0</v>
      </c>
      <c r="AQ128" s="127">
        <v>0</v>
      </c>
      <c r="AR128" s="127">
        <v>0</v>
      </c>
      <c r="AS128" s="127">
        <v>0</v>
      </c>
      <c r="AT128" s="127">
        <v>0</v>
      </c>
      <c r="AU128" s="127">
        <v>0</v>
      </c>
      <c r="AV128" s="127">
        <v>0</v>
      </c>
      <c r="AW128" s="127">
        <v>16850</v>
      </c>
      <c r="AX128" s="127">
        <v>15000</v>
      </c>
      <c r="AY128" s="127">
        <v>0</v>
      </c>
      <c r="AZ128" s="127">
        <v>0</v>
      </c>
      <c r="BA128" s="127">
        <v>0</v>
      </c>
      <c r="BB128" s="127">
        <v>0</v>
      </c>
      <c r="BC128" s="127">
        <v>0</v>
      </c>
      <c r="BD128" s="127">
        <v>0</v>
      </c>
      <c r="BE128" s="127">
        <v>0</v>
      </c>
      <c r="BF128" s="127">
        <v>0</v>
      </c>
      <c r="BG128" s="127">
        <v>0</v>
      </c>
      <c r="BH128" s="127">
        <v>0</v>
      </c>
      <c r="BI128" s="127">
        <v>0</v>
      </c>
      <c r="BJ128" s="127">
        <v>0</v>
      </c>
      <c r="BK128" s="127">
        <v>0</v>
      </c>
      <c r="BL128" s="127">
        <v>0</v>
      </c>
      <c r="BM128" s="127">
        <v>0</v>
      </c>
      <c r="BN128" s="127">
        <v>0</v>
      </c>
      <c r="BO128" s="127">
        <v>0</v>
      </c>
      <c r="BP128" s="127">
        <v>0</v>
      </c>
      <c r="BQ128" s="127">
        <v>0</v>
      </c>
      <c r="BR128" s="127">
        <v>0</v>
      </c>
      <c r="BS128" s="127">
        <v>0</v>
      </c>
      <c r="BT128" s="127">
        <v>0</v>
      </c>
      <c r="BU128" s="127">
        <v>0</v>
      </c>
      <c r="BV128" s="127">
        <v>0</v>
      </c>
      <c r="BW128" s="127">
        <v>0</v>
      </c>
      <c r="BX128" s="127">
        <v>0</v>
      </c>
      <c r="BY128" s="127">
        <v>0</v>
      </c>
      <c r="BZ128" s="127">
        <v>0</v>
      </c>
      <c r="CA128" s="127">
        <v>0</v>
      </c>
    </row>
    <row r="129" spans="1:79" ht="18" customHeight="1">
      <c r="A129" s="123">
        <v>39</v>
      </c>
      <c r="B129" s="123" t="str">
        <v>RM000094</v>
      </c>
      <c r="C129" s="123" t="str">
        <v>MG</v>
      </c>
      <c r="D129" s="123" t="str">
        <v>C39/Pre-Production</v>
      </c>
      <c r="E129" s="123" t="str">
        <v>Khapli Wheat Grains</v>
      </c>
      <c r="F129" s="124" t="str">
        <v>0</v>
      </c>
      <c r="G129" s="124">
        <v>35050</v>
      </c>
      <c r="H129" s="124">
        <v>35050</v>
      </c>
      <c r="I129" s="125">
        <v>0</v>
      </c>
      <c r="J129" s="123" t="str">
        <v>Data Review</v>
      </c>
      <c r="K129" s="123" t="str">
        <v>Positive pending / over-receipt</v>
      </c>
      <c r="L129" s="126">
        <v>0</v>
      </c>
      <c r="M129" s="126">
        <v>8100</v>
      </c>
      <c r="N129" s="126">
        <v>0</v>
      </c>
      <c r="O129" s="126">
        <v>0</v>
      </c>
      <c r="P129" s="126">
        <v>0</v>
      </c>
      <c r="Q129" s="126">
        <v>0</v>
      </c>
      <c r="R129" s="126">
        <v>0</v>
      </c>
      <c r="S129" s="126">
        <v>0</v>
      </c>
      <c r="T129" s="126">
        <v>0</v>
      </c>
      <c r="U129" s="126">
        <v>0</v>
      </c>
      <c r="V129" s="126">
        <v>0</v>
      </c>
      <c r="W129" s="126">
        <v>0</v>
      </c>
      <c r="X129" s="126">
        <v>45500</v>
      </c>
      <c r="Y129" s="127">
        <v>0</v>
      </c>
      <c r="Z129" s="127">
        <v>0</v>
      </c>
      <c r="AA129" s="127">
        <v>0</v>
      </c>
      <c r="AB129" s="127">
        <v>0</v>
      </c>
      <c r="AC129" s="127">
        <v>0</v>
      </c>
      <c r="AD129" s="127">
        <v>0</v>
      </c>
      <c r="AE129" s="127">
        <v>0</v>
      </c>
      <c r="AF129" s="127">
        <v>0</v>
      </c>
      <c r="AG129" s="127">
        <v>0</v>
      </c>
      <c r="AH129" s="127">
        <v>0</v>
      </c>
      <c r="AI129" s="127">
        <v>0</v>
      </c>
      <c r="AJ129" s="127">
        <v>0</v>
      </c>
      <c r="AK129" s="127">
        <v>0</v>
      </c>
      <c r="AL129" s="127">
        <v>0</v>
      </c>
      <c r="AM129" s="127">
        <v>0</v>
      </c>
      <c r="AN129" s="127">
        <v>15034</v>
      </c>
      <c r="AO129" s="127">
        <v>0</v>
      </c>
      <c r="AP129" s="127">
        <v>20422</v>
      </c>
      <c r="AQ129" s="127">
        <v>0</v>
      </c>
      <c r="AR129" s="127">
        <v>23000</v>
      </c>
      <c r="AS129" s="127">
        <v>0</v>
      </c>
      <c r="AT129" s="127">
        <v>6550</v>
      </c>
      <c r="AU129" s="127">
        <v>0</v>
      </c>
      <c r="AV129" s="127">
        <v>0</v>
      </c>
      <c r="AW129" s="127">
        <v>0</v>
      </c>
      <c r="AX129" s="127">
        <v>0</v>
      </c>
      <c r="AY129" s="127">
        <v>0</v>
      </c>
      <c r="AZ129" s="127">
        <v>0</v>
      </c>
      <c r="BA129" s="127">
        <v>0</v>
      </c>
      <c r="BB129" s="127">
        <v>5000</v>
      </c>
      <c r="BC129" s="127">
        <v>10050</v>
      </c>
      <c r="BD129" s="127">
        <v>10000</v>
      </c>
      <c r="BE129" s="127">
        <v>0</v>
      </c>
      <c r="BF129" s="127">
        <v>10000</v>
      </c>
      <c r="BG129" s="127">
        <v>0</v>
      </c>
      <c r="BH129" s="127">
        <v>0</v>
      </c>
      <c r="BI129" s="127">
        <v>0</v>
      </c>
      <c r="BJ129" s="127">
        <v>0</v>
      </c>
      <c r="BK129" s="127">
        <v>0</v>
      </c>
      <c r="BL129" s="127">
        <v>0</v>
      </c>
      <c r="BM129" s="127">
        <v>0</v>
      </c>
      <c r="BN129" s="127">
        <v>0</v>
      </c>
      <c r="BO129" s="127">
        <v>0</v>
      </c>
      <c r="BP129" s="127">
        <v>0</v>
      </c>
      <c r="BQ129" s="127">
        <v>0</v>
      </c>
      <c r="BR129" s="127">
        <v>0</v>
      </c>
      <c r="BS129" s="127">
        <v>0</v>
      </c>
      <c r="BT129" s="127">
        <v>0</v>
      </c>
      <c r="BU129" s="127">
        <v>0</v>
      </c>
      <c r="BV129" s="127">
        <v>0</v>
      </c>
      <c r="BW129" s="127">
        <v>0</v>
      </c>
      <c r="BX129" s="127">
        <v>0</v>
      </c>
      <c r="BY129" s="127">
        <v>0</v>
      </c>
      <c r="BZ129" s="127">
        <v>0</v>
      </c>
      <c r="CA129" s="127">
        <v>0</v>
      </c>
    </row>
    <row r="130" spans="1:79" ht="18" customHeight="1">
      <c r="A130" s="123"/>
      <c r="B130" s="123"/>
      <c r="C130" s="123"/>
      <c r="D130" s="123"/>
      <c r="E130" s="123"/>
      <c r="F130" s="124"/>
      <c r="G130" s="124"/>
      <c r="H130" s="124"/>
      <c r="I130" s="125"/>
      <c r="J130" s="123"/>
      <c r="K130" s="123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  <c r="BK130" s="127"/>
      <c r="BL130" s="127"/>
      <c r="BM130" s="127"/>
      <c r="BN130" s="127"/>
      <c r="BO130" s="127"/>
      <c r="BP130" s="127"/>
      <c r="BQ130" s="127"/>
      <c r="BR130" s="127"/>
      <c r="BS130" s="127"/>
      <c r="BT130" s="127"/>
      <c r="BU130" s="127"/>
      <c r="BV130" s="127"/>
      <c r="BW130" s="127"/>
      <c r="BX130" s="127"/>
      <c r="BY130" s="127"/>
      <c r="BZ130" s="127"/>
      <c r="CA130" s="127"/>
    </row>
    <row r="131" spans="1:79" ht="18" customHeight="1">
      <c r="A131" s="123"/>
      <c r="B131" s="123"/>
      <c r="C131" s="123"/>
      <c r="D131" s="123"/>
      <c r="E131" s="123"/>
      <c r="F131" s="124"/>
      <c r="G131" s="124"/>
      <c r="H131" s="124"/>
      <c r="I131" s="125"/>
      <c r="J131" s="123"/>
      <c r="K131" s="123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  <c r="BK131" s="127"/>
      <c r="BL131" s="127"/>
      <c r="BM131" s="127"/>
      <c r="BN131" s="127"/>
      <c r="BO131" s="127"/>
      <c r="BP131" s="127"/>
      <c r="BQ131" s="127"/>
      <c r="BR131" s="127"/>
      <c r="BS131" s="127"/>
      <c r="BT131" s="127"/>
      <c r="BU131" s="127"/>
      <c r="BV131" s="127"/>
      <c r="BW131" s="127"/>
      <c r="BX131" s="127"/>
      <c r="BY131" s="127"/>
      <c r="BZ131" s="127"/>
      <c r="CA131" s="127"/>
    </row>
    <row r="132" spans="1:79" ht="18" customHeight="1">
      <c r="A132" s="123"/>
      <c r="B132" s="123"/>
      <c r="C132" s="123"/>
      <c r="D132" s="123"/>
      <c r="E132" s="123"/>
      <c r="F132" s="124"/>
      <c r="G132" s="124"/>
      <c r="H132" s="124"/>
      <c r="I132" s="125"/>
      <c r="J132" s="123"/>
      <c r="K132" s="123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  <c r="BK132" s="127"/>
      <c r="BL132" s="127"/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</row>
    <row r="133" spans="1:79" ht="18" customHeight="1">
      <c r="A133" s="123"/>
      <c r="B133" s="123"/>
      <c r="C133" s="123"/>
      <c r="D133" s="123"/>
      <c r="E133" s="123"/>
      <c r="F133" s="124"/>
      <c r="G133" s="124"/>
      <c r="H133" s="124"/>
      <c r="I133" s="125"/>
      <c r="J133" s="123"/>
      <c r="K133" s="123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  <c r="BK133" s="127"/>
      <c r="BL133" s="127"/>
      <c r="BM133" s="127"/>
      <c r="BN133" s="127"/>
      <c r="BO133" s="127"/>
      <c r="BP133" s="127"/>
      <c r="BQ133" s="127"/>
      <c r="BR133" s="127"/>
      <c r="BS133" s="127"/>
      <c r="BT133" s="127"/>
      <c r="BU133" s="127"/>
      <c r="BV133" s="127"/>
      <c r="BW133" s="127"/>
      <c r="BX133" s="127"/>
      <c r="BY133" s="127"/>
      <c r="BZ133" s="127"/>
      <c r="CA133" s="127"/>
    </row>
    <row r="134" spans="1:79" ht="18" customHeight="1">
      <c r="A134" s="123"/>
      <c r="B134" s="123"/>
      <c r="C134" s="123"/>
      <c r="D134" s="123"/>
      <c r="E134" s="123"/>
      <c r="F134" s="124"/>
      <c r="G134" s="124"/>
      <c r="H134" s="124"/>
      <c r="I134" s="125"/>
      <c r="J134" s="123"/>
      <c r="K134" s="123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  <c r="BK134" s="127"/>
      <c r="BL134" s="127"/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27"/>
      <c r="BY134" s="127"/>
      <c r="BZ134" s="127"/>
      <c r="CA134" s="127"/>
    </row>
    <row r="135" spans="1:79" ht="18" customHeight="1">
      <c r="A135" s="123"/>
      <c r="B135" s="123"/>
      <c r="C135" s="123"/>
      <c r="D135" s="123"/>
      <c r="E135" s="123"/>
      <c r="F135" s="124"/>
      <c r="G135" s="124"/>
      <c r="H135" s="124"/>
      <c r="I135" s="125"/>
      <c r="J135" s="123"/>
      <c r="K135" s="123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  <c r="BK135" s="127"/>
      <c r="BL135" s="127"/>
      <c r="BM135" s="127"/>
      <c r="BN135" s="127"/>
      <c r="BO135" s="127"/>
      <c r="BP135" s="127"/>
      <c r="BQ135" s="127"/>
      <c r="BR135" s="127"/>
      <c r="BS135" s="127"/>
      <c r="BT135" s="127"/>
      <c r="BU135" s="127"/>
      <c r="BV135" s="127"/>
      <c r="BW135" s="127"/>
      <c r="BX135" s="127"/>
      <c r="BY135" s="127"/>
      <c r="BZ135" s="127"/>
      <c r="CA135" s="127"/>
    </row>
    <row r="136" spans="1:79" ht="18" customHeight="1">
      <c r="A136" s="123"/>
      <c r="B136" s="123"/>
      <c r="C136" s="123"/>
      <c r="D136" s="123"/>
      <c r="E136" s="123"/>
      <c r="F136" s="124"/>
      <c r="G136" s="124"/>
      <c r="H136" s="124"/>
      <c r="I136" s="125"/>
      <c r="J136" s="123"/>
      <c r="K136" s="123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  <c r="BK136" s="127"/>
      <c r="BL136" s="127"/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</row>
    <row r="137" spans="1:79" ht="18" customHeight="1">
      <c r="A137" s="123"/>
      <c r="B137" s="123"/>
      <c r="C137" s="123"/>
      <c r="D137" s="123"/>
      <c r="E137" s="123"/>
      <c r="F137" s="124"/>
      <c r="G137" s="124"/>
      <c r="H137" s="124"/>
      <c r="I137" s="125"/>
      <c r="J137" s="123"/>
      <c r="K137" s="123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  <c r="BK137" s="127"/>
      <c r="BL137" s="127"/>
      <c r="BM137" s="127"/>
      <c r="BN137" s="127"/>
      <c r="BO137" s="127"/>
      <c r="BP137" s="127"/>
      <c r="BQ137" s="127"/>
      <c r="BR137" s="127"/>
      <c r="BS137" s="127"/>
      <c r="BT137" s="127"/>
      <c r="BU137" s="127"/>
      <c r="BV137" s="127"/>
      <c r="BW137" s="127"/>
      <c r="BX137" s="127"/>
      <c r="BY137" s="127"/>
      <c r="BZ137" s="127"/>
      <c r="CA137" s="127"/>
    </row>
    <row r="138" spans="1:79" ht="18" customHeight="1">
      <c r="A138" s="123"/>
      <c r="B138" s="123"/>
      <c r="C138" s="123"/>
      <c r="D138" s="123"/>
      <c r="E138" s="123"/>
      <c r="F138" s="124"/>
      <c r="G138" s="124"/>
      <c r="H138" s="124"/>
      <c r="I138" s="125"/>
      <c r="J138" s="123"/>
      <c r="K138" s="123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  <c r="BK138" s="127"/>
      <c r="BL138" s="127"/>
      <c r="BM138" s="127"/>
      <c r="BN138" s="127"/>
      <c r="BO138" s="127"/>
      <c r="BP138" s="127"/>
      <c r="BQ138" s="127"/>
      <c r="BR138" s="127"/>
      <c r="BS138" s="127"/>
      <c r="BT138" s="127"/>
      <c r="BU138" s="127"/>
      <c r="BV138" s="127"/>
      <c r="BW138" s="127"/>
      <c r="BX138" s="127"/>
      <c r="BY138" s="127"/>
      <c r="BZ138" s="127"/>
      <c r="CA138" s="127"/>
    </row>
    <row r="139" spans="1:79" ht="18" customHeight="1">
      <c r="A139" s="123"/>
      <c r="B139" s="123"/>
      <c r="C139" s="123"/>
      <c r="D139" s="123"/>
      <c r="E139" s="123"/>
      <c r="F139" s="124"/>
      <c r="G139" s="124"/>
      <c r="H139" s="124"/>
      <c r="I139" s="125"/>
      <c r="J139" s="123"/>
      <c r="K139" s="123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</row>
    <row r="140" spans="1:79" ht="18" customHeight="1">
      <c r="A140" s="123"/>
      <c r="B140" s="123"/>
      <c r="C140" s="123"/>
      <c r="D140" s="123"/>
      <c r="E140" s="123"/>
      <c r="F140" s="124"/>
      <c r="G140" s="124"/>
      <c r="H140" s="124"/>
      <c r="I140" s="125"/>
      <c r="J140" s="123"/>
      <c r="K140" s="123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  <c r="BK140" s="127"/>
      <c r="BL140" s="127"/>
      <c r="BM140" s="127"/>
      <c r="BN140" s="127"/>
      <c r="BO140" s="127"/>
      <c r="BP140" s="127"/>
      <c r="BQ140" s="127"/>
      <c r="BR140" s="127"/>
      <c r="BS140" s="127"/>
      <c r="BT140" s="127"/>
      <c r="BU140" s="127"/>
      <c r="BV140" s="127"/>
      <c r="BW140" s="127"/>
      <c r="BX140" s="127"/>
      <c r="BY140" s="127"/>
      <c r="BZ140" s="127"/>
      <c r="CA140" s="127"/>
    </row>
    <row r="141" spans="1:79" ht="18" customHeight="1">
      <c r="A141" s="123"/>
      <c r="B141" s="123"/>
      <c r="C141" s="123"/>
      <c r="D141" s="123"/>
      <c r="E141" s="123"/>
      <c r="F141" s="124"/>
      <c r="G141" s="124"/>
      <c r="H141" s="124"/>
      <c r="I141" s="125"/>
      <c r="J141" s="123"/>
      <c r="K141" s="123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  <c r="BK141" s="127"/>
      <c r="BL141" s="127"/>
      <c r="BM141" s="127"/>
      <c r="BN141" s="127"/>
      <c r="BO141" s="127"/>
      <c r="BP141" s="127"/>
      <c r="BQ141" s="127"/>
      <c r="BR141" s="127"/>
      <c r="BS141" s="127"/>
      <c r="BT141" s="127"/>
      <c r="BU141" s="127"/>
      <c r="BV141" s="127"/>
      <c r="BW141" s="127"/>
      <c r="BX141" s="127"/>
      <c r="BY141" s="127"/>
      <c r="BZ141" s="127"/>
      <c r="CA141" s="127"/>
    </row>
    <row r="142" spans="1:79" ht="18" customHeight="1">
      <c r="A142" s="123"/>
      <c r="B142" s="123"/>
      <c r="C142" s="123"/>
      <c r="D142" s="123"/>
      <c r="E142" s="123"/>
      <c r="F142" s="124"/>
      <c r="G142" s="124"/>
      <c r="H142" s="124"/>
      <c r="I142" s="125"/>
      <c r="J142" s="123"/>
      <c r="K142" s="123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  <c r="BK142" s="127"/>
      <c r="BL142" s="127"/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</row>
    <row r="143" spans="1:79" ht="18" customHeight="1">
      <c r="A143" s="123"/>
      <c r="B143" s="123"/>
      <c r="C143" s="123"/>
      <c r="D143" s="123"/>
      <c r="E143" s="123"/>
      <c r="F143" s="124"/>
      <c r="G143" s="124"/>
      <c r="H143" s="124"/>
      <c r="I143" s="125"/>
      <c r="J143" s="123"/>
      <c r="K143" s="123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</row>
    <row r="144" spans="1:79" ht="18" customHeight="1">
      <c r="A144" s="123"/>
      <c r="B144" s="123"/>
      <c r="C144" s="123"/>
      <c r="D144" s="123"/>
      <c r="E144" s="123"/>
      <c r="F144" s="124"/>
      <c r="G144" s="124"/>
      <c r="H144" s="124"/>
      <c r="I144" s="125"/>
      <c r="J144" s="123"/>
      <c r="K144" s="123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  <c r="BK144" s="127"/>
      <c r="BL144" s="127"/>
      <c r="BM144" s="127"/>
      <c r="BN144" s="127"/>
      <c r="BO144" s="127"/>
      <c r="BP144" s="127"/>
      <c r="BQ144" s="127"/>
      <c r="BR144" s="127"/>
      <c r="BS144" s="127"/>
      <c r="BT144" s="127"/>
      <c r="BU144" s="127"/>
      <c r="BV144" s="127"/>
      <c r="BW144" s="127"/>
      <c r="BX144" s="127"/>
      <c r="BY144" s="127"/>
      <c r="BZ144" s="127"/>
      <c r="CA144" s="127"/>
    </row>
    <row r="145" spans="1:79" ht="18" customHeight="1">
      <c r="A145" s="123"/>
      <c r="B145" s="123"/>
      <c r="C145" s="123"/>
      <c r="D145" s="123"/>
      <c r="E145" s="123"/>
      <c r="F145" s="124"/>
      <c r="G145" s="124"/>
      <c r="H145" s="124"/>
      <c r="I145" s="125"/>
      <c r="J145" s="123"/>
      <c r="K145" s="123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27"/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</row>
    <row r="146" spans="1:79" ht="18" customHeight="1">
      <c r="A146" s="123"/>
      <c r="B146" s="123"/>
      <c r="C146" s="123"/>
      <c r="D146" s="123"/>
      <c r="E146" s="123"/>
      <c r="F146" s="124"/>
      <c r="G146" s="124"/>
      <c r="H146" s="124"/>
      <c r="I146" s="125"/>
      <c r="J146" s="123"/>
      <c r="K146" s="123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  <c r="BK146" s="127"/>
      <c r="BL146" s="127"/>
      <c r="BM146" s="127"/>
      <c r="BN146" s="127"/>
      <c r="BO146" s="127"/>
      <c r="BP146" s="127"/>
      <c r="BQ146" s="127"/>
      <c r="BR146" s="127"/>
      <c r="BS146" s="127"/>
      <c r="BT146" s="127"/>
      <c r="BU146" s="127"/>
      <c r="BV146" s="127"/>
      <c r="BW146" s="127"/>
      <c r="BX146" s="127"/>
      <c r="BY146" s="127"/>
      <c r="BZ146" s="127"/>
      <c r="CA146" s="127"/>
    </row>
    <row r="147" spans="1:79" ht="18" customHeight="1">
      <c r="A147" s="123"/>
      <c r="B147" s="123"/>
      <c r="C147" s="123"/>
      <c r="D147" s="123"/>
      <c r="E147" s="123"/>
      <c r="F147" s="124"/>
      <c r="G147" s="124"/>
      <c r="H147" s="124"/>
      <c r="I147" s="125"/>
      <c r="J147" s="123"/>
      <c r="K147" s="123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  <c r="BK147" s="127"/>
      <c r="BL147" s="127"/>
      <c r="BM147" s="127"/>
      <c r="BN147" s="127"/>
      <c r="BO147" s="127"/>
      <c r="BP147" s="127"/>
      <c r="BQ147" s="127"/>
      <c r="BR147" s="127"/>
      <c r="BS147" s="127"/>
      <c r="BT147" s="127"/>
      <c r="BU147" s="127"/>
      <c r="BV147" s="127"/>
      <c r="BW147" s="127"/>
      <c r="BX147" s="127"/>
      <c r="BY147" s="127"/>
      <c r="BZ147" s="127"/>
      <c r="CA147" s="127"/>
    </row>
    <row r="148" spans="1:79" ht="18" customHeight="1">
      <c r="A148" s="123"/>
      <c r="B148" s="123"/>
      <c r="C148" s="123"/>
      <c r="D148" s="123"/>
      <c r="E148" s="123"/>
      <c r="F148" s="124"/>
      <c r="G148" s="124"/>
      <c r="H148" s="124"/>
      <c r="I148" s="125"/>
      <c r="J148" s="123"/>
      <c r="K148" s="123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  <c r="BK148" s="127"/>
      <c r="BL148" s="127"/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</row>
    <row r="149" spans="1:79" ht="18" customHeight="1">
      <c r="A149" s="123"/>
      <c r="B149" s="123"/>
      <c r="C149" s="123"/>
      <c r="D149" s="123"/>
      <c r="E149" s="123"/>
      <c r="F149" s="124"/>
      <c r="G149" s="124"/>
      <c r="H149" s="124"/>
      <c r="I149" s="125"/>
      <c r="J149" s="123"/>
      <c r="K149" s="123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  <c r="BK149" s="127"/>
      <c r="BL149" s="127"/>
      <c r="BM149" s="127"/>
      <c r="BN149" s="127"/>
      <c r="BO149" s="127"/>
      <c r="BP149" s="127"/>
      <c r="BQ149" s="127"/>
      <c r="BR149" s="127"/>
      <c r="BS149" s="127"/>
      <c r="BT149" s="127"/>
      <c r="BU149" s="127"/>
      <c r="BV149" s="127"/>
      <c r="BW149" s="127"/>
      <c r="BX149" s="127"/>
      <c r="BY149" s="127"/>
      <c r="BZ149" s="127"/>
      <c r="CA149" s="127"/>
    </row>
    <row r="150" spans="1:79" ht="18" customHeight="1">
      <c r="A150" s="123"/>
      <c r="B150" s="123"/>
      <c r="C150" s="123"/>
      <c r="D150" s="123"/>
      <c r="E150" s="123"/>
      <c r="F150" s="124"/>
      <c r="G150" s="124"/>
      <c r="H150" s="124"/>
      <c r="I150" s="125"/>
      <c r="J150" s="123"/>
      <c r="K150" s="123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  <c r="BK150" s="127"/>
      <c r="BL150" s="127"/>
      <c r="BM150" s="127"/>
      <c r="BN150" s="127"/>
      <c r="BO150" s="127"/>
      <c r="BP150" s="127"/>
      <c r="BQ150" s="127"/>
      <c r="BR150" s="127"/>
      <c r="BS150" s="127"/>
      <c r="BT150" s="127"/>
      <c r="BU150" s="127"/>
      <c r="BV150" s="127"/>
      <c r="BW150" s="127"/>
      <c r="BX150" s="127"/>
      <c r="BY150" s="127"/>
      <c r="BZ150" s="127"/>
      <c r="CA150" s="127"/>
    </row>
    <row r="151" spans="1:79" ht="18" customHeight="1">
      <c r="A151" s="123"/>
      <c r="B151" s="123"/>
      <c r="C151" s="123"/>
      <c r="D151" s="123"/>
      <c r="E151" s="123"/>
      <c r="F151" s="124"/>
      <c r="G151" s="124"/>
      <c r="H151" s="124"/>
      <c r="I151" s="125"/>
      <c r="J151" s="123"/>
      <c r="K151" s="123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  <c r="BK151" s="127"/>
      <c r="BL151" s="127"/>
      <c r="BM151" s="127"/>
      <c r="BN151" s="127"/>
      <c r="BO151" s="127"/>
      <c r="BP151" s="127"/>
      <c r="BQ151" s="127"/>
      <c r="BR151" s="127"/>
      <c r="BS151" s="127"/>
      <c r="BT151" s="127"/>
      <c r="BU151" s="127"/>
      <c r="BV151" s="127"/>
      <c r="BW151" s="127"/>
      <c r="BX151" s="127"/>
      <c r="BY151" s="127"/>
      <c r="BZ151" s="127"/>
      <c r="CA151" s="127"/>
    </row>
    <row r="152" spans="1:79" ht="18" customHeight="1">
      <c r="A152" s="123"/>
      <c r="B152" s="123"/>
      <c r="C152" s="123"/>
      <c r="D152" s="123"/>
      <c r="E152" s="123"/>
      <c r="F152" s="124"/>
      <c r="G152" s="124"/>
      <c r="H152" s="124"/>
      <c r="I152" s="125"/>
      <c r="J152" s="123"/>
      <c r="K152" s="123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  <c r="BK152" s="127"/>
      <c r="BL152" s="127"/>
      <c r="BM152" s="127"/>
      <c r="BN152" s="127"/>
      <c r="BO152" s="127"/>
      <c r="BP152" s="127"/>
      <c r="BQ152" s="127"/>
      <c r="BR152" s="127"/>
      <c r="BS152" s="127"/>
      <c r="BT152" s="127"/>
      <c r="BU152" s="127"/>
      <c r="BV152" s="127"/>
      <c r="BW152" s="127"/>
      <c r="BX152" s="127"/>
      <c r="BY152" s="127"/>
      <c r="BZ152" s="127"/>
      <c r="CA152" s="127"/>
    </row>
    <row r="153" spans="1:79" ht="18" customHeight="1">
      <c r="A153" s="123"/>
      <c r="B153" s="123"/>
      <c r="C153" s="123"/>
      <c r="D153" s="123"/>
      <c r="E153" s="123"/>
      <c r="F153" s="124"/>
      <c r="G153" s="124"/>
      <c r="H153" s="124"/>
      <c r="I153" s="125"/>
      <c r="J153" s="123"/>
      <c r="K153" s="123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  <c r="BK153" s="127"/>
      <c r="BL153" s="127"/>
      <c r="BM153" s="127"/>
      <c r="BN153" s="127"/>
      <c r="BO153" s="127"/>
      <c r="BP153" s="127"/>
      <c r="BQ153" s="127"/>
      <c r="BR153" s="127"/>
      <c r="BS153" s="127"/>
      <c r="BT153" s="127"/>
      <c r="BU153" s="127"/>
      <c r="BV153" s="127"/>
      <c r="BW153" s="127"/>
      <c r="BX153" s="127"/>
      <c r="BY153" s="127"/>
      <c r="BZ153" s="127"/>
      <c r="CA153" s="127"/>
    </row>
    <row r="154" spans="1:79" ht="18" customHeight="1">
      <c r="A154" s="123"/>
      <c r="B154" s="123"/>
      <c r="C154" s="123"/>
      <c r="D154" s="123"/>
      <c r="E154" s="123"/>
      <c r="F154" s="124"/>
      <c r="G154" s="124"/>
      <c r="H154" s="124"/>
      <c r="I154" s="125"/>
      <c r="J154" s="123"/>
      <c r="K154" s="123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  <c r="BK154" s="127"/>
      <c r="BL154" s="127"/>
      <c r="BM154" s="127"/>
      <c r="BN154" s="127"/>
      <c r="BO154" s="127"/>
      <c r="BP154" s="127"/>
      <c r="BQ154" s="127"/>
      <c r="BR154" s="127"/>
      <c r="BS154" s="127"/>
      <c r="BT154" s="127"/>
      <c r="BU154" s="127"/>
      <c r="BV154" s="127"/>
      <c r="BW154" s="127"/>
      <c r="BX154" s="127"/>
      <c r="BY154" s="127"/>
      <c r="BZ154" s="127"/>
      <c r="CA154" s="127"/>
    </row>
    <row r="155" spans="1:79" ht="18" customHeight="1">
      <c r="A155" s="123"/>
      <c r="B155" s="123"/>
      <c r="C155" s="123"/>
      <c r="D155" s="123"/>
      <c r="E155" s="123"/>
      <c r="F155" s="124"/>
      <c r="G155" s="124"/>
      <c r="H155" s="124"/>
      <c r="I155" s="125"/>
      <c r="J155" s="123"/>
      <c r="K155" s="123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  <c r="BK155" s="127"/>
      <c r="BL155" s="127"/>
      <c r="BM155" s="127"/>
      <c r="BN155" s="127"/>
      <c r="BO155" s="127"/>
      <c r="BP155" s="127"/>
      <c r="BQ155" s="127"/>
      <c r="BR155" s="127"/>
      <c r="BS155" s="127"/>
      <c r="BT155" s="127"/>
      <c r="BU155" s="127"/>
      <c r="BV155" s="127"/>
      <c r="BW155" s="127"/>
      <c r="BX155" s="127"/>
      <c r="BY155" s="127"/>
      <c r="BZ155" s="127"/>
      <c r="CA155" s="127"/>
    </row>
    <row r="156" spans="1:79" ht="18" customHeight="1">
      <c r="A156" s="123"/>
      <c r="B156" s="123"/>
      <c r="C156" s="123"/>
      <c r="D156" s="123"/>
      <c r="E156" s="123"/>
      <c r="F156" s="124"/>
      <c r="G156" s="124"/>
      <c r="H156" s="124"/>
      <c r="I156" s="125"/>
      <c r="J156" s="123"/>
      <c r="K156" s="123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  <c r="BK156" s="127"/>
      <c r="BL156" s="127"/>
      <c r="BM156" s="127"/>
      <c r="BN156" s="127"/>
      <c r="BO156" s="127"/>
      <c r="BP156" s="127"/>
      <c r="BQ156" s="127"/>
      <c r="BR156" s="127"/>
      <c r="BS156" s="127"/>
      <c r="BT156" s="127"/>
      <c r="BU156" s="127"/>
      <c r="BV156" s="127"/>
      <c r="BW156" s="127"/>
      <c r="BX156" s="127"/>
      <c r="BY156" s="127"/>
      <c r="BZ156" s="127"/>
      <c r="CA156" s="127"/>
    </row>
    <row r="157" spans="1:79" ht="18" customHeight="1">
      <c r="A157" s="123"/>
      <c r="B157" s="123"/>
      <c r="C157" s="123"/>
      <c r="D157" s="123"/>
      <c r="E157" s="123"/>
      <c r="F157" s="124"/>
      <c r="G157" s="124"/>
      <c r="H157" s="124"/>
      <c r="I157" s="125"/>
      <c r="J157" s="123"/>
      <c r="K157" s="123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  <c r="BK157" s="127"/>
      <c r="BL157" s="127"/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</row>
    <row r="158" spans="1:79" ht="18" customHeight="1">
      <c r="A158" s="123"/>
      <c r="B158" s="123"/>
      <c r="C158" s="123"/>
      <c r="D158" s="123"/>
      <c r="E158" s="123"/>
      <c r="F158" s="124"/>
      <c r="G158" s="124"/>
      <c r="H158" s="124"/>
      <c r="I158" s="125"/>
      <c r="J158" s="123"/>
      <c r="K158" s="123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  <c r="BK158" s="127"/>
      <c r="BL158" s="127"/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</row>
    <row r="159" spans="1:79" ht="18" customHeight="1">
      <c r="A159" s="123"/>
      <c r="B159" s="123"/>
      <c r="C159" s="123"/>
      <c r="D159" s="123"/>
      <c r="E159" s="123"/>
      <c r="F159" s="124"/>
      <c r="G159" s="124"/>
      <c r="H159" s="124"/>
      <c r="I159" s="125"/>
      <c r="J159" s="123"/>
      <c r="K159" s="123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  <c r="BK159" s="127"/>
      <c r="BL159" s="127"/>
      <c r="BM159" s="127"/>
      <c r="BN159" s="127"/>
      <c r="BO159" s="127"/>
      <c r="BP159" s="127"/>
      <c r="BQ159" s="127"/>
      <c r="BR159" s="127"/>
      <c r="BS159" s="127"/>
      <c r="BT159" s="127"/>
      <c r="BU159" s="127"/>
      <c r="BV159" s="127"/>
      <c r="BW159" s="127"/>
      <c r="BX159" s="127"/>
      <c r="BY159" s="127"/>
      <c r="BZ159" s="127"/>
      <c r="CA159" s="127"/>
    </row>
    <row r="160" spans="1:79" ht="18" customHeight="1">
      <c r="A160" s="123"/>
      <c r="B160" s="123"/>
      <c r="C160" s="123"/>
      <c r="D160" s="123"/>
      <c r="E160" s="123"/>
      <c r="F160" s="124"/>
      <c r="G160" s="124"/>
      <c r="H160" s="124"/>
      <c r="I160" s="125"/>
      <c r="J160" s="123"/>
      <c r="K160" s="123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  <c r="BK160" s="127"/>
      <c r="BL160" s="127"/>
      <c r="BM160" s="127"/>
      <c r="BN160" s="127"/>
      <c r="BO160" s="127"/>
      <c r="BP160" s="127"/>
      <c r="BQ160" s="127"/>
      <c r="BR160" s="127"/>
      <c r="BS160" s="127"/>
      <c r="BT160" s="127"/>
      <c r="BU160" s="127"/>
      <c r="BV160" s="127"/>
      <c r="BW160" s="127"/>
      <c r="BX160" s="127"/>
      <c r="BY160" s="127"/>
      <c r="BZ160" s="127"/>
      <c r="CA160" s="127"/>
    </row>
    <row r="161" spans="1:79" ht="18" customHeight="1">
      <c r="A161" s="123"/>
      <c r="B161" s="123"/>
      <c r="C161" s="123"/>
      <c r="D161" s="123"/>
      <c r="E161" s="123"/>
      <c r="F161" s="124"/>
      <c r="G161" s="124"/>
      <c r="H161" s="124"/>
      <c r="I161" s="125"/>
      <c r="J161" s="123"/>
      <c r="K161" s="123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  <c r="BK161" s="127"/>
      <c r="BL161" s="127"/>
      <c r="BM161" s="127"/>
      <c r="BN161" s="127"/>
      <c r="BO161" s="127"/>
      <c r="BP161" s="127"/>
      <c r="BQ161" s="127"/>
      <c r="BR161" s="127"/>
      <c r="BS161" s="127"/>
      <c r="BT161" s="127"/>
      <c r="BU161" s="127"/>
      <c r="BV161" s="127"/>
      <c r="BW161" s="127"/>
      <c r="BX161" s="127"/>
      <c r="BY161" s="127"/>
      <c r="BZ161" s="127"/>
      <c r="CA161" s="127"/>
    </row>
    <row r="162" spans="1:79" ht="18" customHeight="1">
      <c r="A162" s="123"/>
      <c r="B162" s="123"/>
      <c r="C162" s="123"/>
      <c r="D162" s="123"/>
      <c r="E162" s="123"/>
      <c r="F162" s="124"/>
      <c r="G162" s="124"/>
      <c r="H162" s="124"/>
      <c r="I162" s="125"/>
      <c r="J162" s="123"/>
      <c r="K162" s="123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  <c r="BK162" s="127"/>
      <c r="BL162" s="127"/>
      <c r="BM162" s="127"/>
      <c r="BN162" s="127"/>
      <c r="BO162" s="127"/>
      <c r="BP162" s="127"/>
      <c r="BQ162" s="127"/>
      <c r="BR162" s="127"/>
      <c r="BS162" s="127"/>
      <c r="BT162" s="127"/>
      <c r="BU162" s="127"/>
      <c r="BV162" s="127"/>
      <c r="BW162" s="127"/>
      <c r="BX162" s="127"/>
      <c r="BY162" s="127"/>
      <c r="BZ162" s="127"/>
      <c r="CA162" s="127"/>
    </row>
    <row r="163" spans="1:79" ht="18" customHeight="1">
      <c r="A163" s="123"/>
      <c r="B163" s="123"/>
      <c r="C163" s="123"/>
      <c r="D163" s="123"/>
      <c r="E163" s="123"/>
      <c r="F163" s="124"/>
      <c r="G163" s="124"/>
      <c r="H163" s="124"/>
      <c r="I163" s="125"/>
      <c r="J163" s="123"/>
      <c r="K163" s="123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  <c r="BK163" s="127"/>
      <c r="BL163" s="127"/>
      <c r="BM163" s="127"/>
      <c r="BN163" s="127"/>
      <c r="BO163" s="127"/>
      <c r="BP163" s="127"/>
      <c r="BQ163" s="127"/>
      <c r="BR163" s="127"/>
      <c r="BS163" s="127"/>
      <c r="BT163" s="127"/>
      <c r="BU163" s="127"/>
      <c r="BV163" s="127"/>
      <c r="BW163" s="127"/>
      <c r="BX163" s="127"/>
      <c r="BY163" s="127"/>
      <c r="BZ163" s="127"/>
      <c r="CA163" s="127"/>
    </row>
    <row r="164" spans="1:79" ht="18" customHeight="1">
      <c r="A164" s="123"/>
      <c r="B164" s="123"/>
      <c r="C164" s="123"/>
      <c r="D164" s="123"/>
      <c r="E164" s="123"/>
      <c r="F164" s="124"/>
      <c r="G164" s="124"/>
      <c r="H164" s="124"/>
      <c r="I164" s="125"/>
      <c r="J164" s="123"/>
      <c r="K164" s="123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  <c r="BK164" s="127"/>
      <c r="BL164" s="127"/>
      <c r="BM164" s="127"/>
      <c r="BN164" s="127"/>
      <c r="BO164" s="127"/>
      <c r="BP164" s="127"/>
      <c r="BQ164" s="127"/>
      <c r="BR164" s="127"/>
      <c r="BS164" s="127"/>
      <c r="BT164" s="127"/>
      <c r="BU164" s="127"/>
      <c r="BV164" s="127"/>
      <c r="BW164" s="127"/>
      <c r="BX164" s="127"/>
      <c r="BY164" s="127"/>
      <c r="BZ164" s="127"/>
      <c r="CA164" s="127"/>
    </row>
    <row r="165" spans="1:79" ht="18" customHeight="1">
      <c r="A165" s="123"/>
      <c r="B165" s="123"/>
      <c r="C165" s="123"/>
      <c r="D165" s="123"/>
      <c r="E165" s="123"/>
      <c r="F165" s="124"/>
      <c r="G165" s="124"/>
      <c r="H165" s="124"/>
      <c r="I165" s="125"/>
      <c r="J165" s="123"/>
      <c r="K165" s="123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  <c r="BK165" s="127"/>
      <c r="BL165" s="127"/>
      <c r="BM165" s="127"/>
      <c r="BN165" s="127"/>
      <c r="BO165" s="127"/>
      <c r="BP165" s="127"/>
      <c r="BQ165" s="127"/>
      <c r="BR165" s="127"/>
      <c r="BS165" s="127"/>
      <c r="BT165" s="127"/>
      <c r="BU165" s="127"/>
      <c r="BV165" s="127"/>
      <c r="BW165" s="127"/>
      <c r="BX165" s="127"/>
      <c r="BY165" s="127"/>
      <c r="BZ165" s="127"/>
      <c r="CA165" s="127"/>
    </row>
    <row r="166" spans="1:79" ht="18" customHeight="1">
      <c r="A166" s="123"/>
      <c r="B166" s="123"/>
      <c r="C166" s="123"/>
      <c r="D166" s="123"/>
      <c r="E166" s="123"/>
      <c r="F166" s="124"/>
      <c r="G166" s="124"/>
      <c r="H166" s="124"/>
      <c r="I166" s="125"/>
      <c r="J166" s="123"/>
      <c r="K166" s="123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  <c r="BK166" s="127"/>
      <c r="BL166" s="127"/>
      <c r="BM166" s="127"/>
      <c r="BN166" s="127"/>
      <c r="BO166" s="127"/>
      <c r="BP166" s="127"/>
      <c r="BQ166" s="127"/>
      <c r="BR166" s="127"/>
      <c r="BS166" s="127"/>
      <c r="BT166" s="127"/>
      <c r="BU166" s="127"/>
      <c r="BV166" s="127"/>
      <c r="BW166" s="127"/>
      <c r="BX166" s="127"/>
      <c r="BY166" s="127"/>
      <c r="BZ166" s="127"/>
      <c r="CA166" s="127"/>
    </row>
    <row r="167" spans="1:79" ht="18" customHeight="1">
      <c r="A167" s="123"/>
      <c r="B167" s="123"/>
      <c r="C167" s="123"/>
      <c r="D167" s="123"/>
      <c r="E167" s="123"/>
      <c r="F167" s="124"/>
      <c r="G167" s="124"/>
      <c r="H167" s="124"/>
      <c r="I167" s="125"/>
      <c r="J167" s="123"/>
      <c r="K167" s="123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  <c r="BK167" s="127"/>
      <c r="BL167" s="127"/>
      <c r="BM167" s="127"/>
      <c r="BN167" s="127"/>
      <c r="BO167" s="127"/>
      <c r="BP167" s="127"/>
      <c r="BQ167" s="127"/>
      <c r="BR167" s="127"/>
      <c r="BS167" s="127"/>
      <c r="BT167" s="127"/>
      <c r="BU167" s="127"/>
      <c r="BV167" s="127"/>
      <c r="BW167" s="127"/>
      <c r="BX167" s="127"/>
      <c r="BY167" s="127"/>
      <c r="BZ167" s="127"/>
      <c r="CA167" s="127"/>
    </row>
    <row r="168" spans="1:79" ht="18" customHeight="1">
      <c r="A168" s="123"/>
      <c r="B168" s="123"/>
      <c r="C168" s="123"/>
      <c r="D168" s="123"/>
      <c r="E168" s="123"/>
      <c r="F168" s="124"/>
      <c r="G168" s="124"/>
      <c r="H168" s="124"/>
      <c r="I168" s="125"/>
      <c r="J168" s="123"/>
      <c r="K168" s="123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  <c r="BK168" s="127"/>
      <c r="BL168" s="127"/>
      <c r="BM168" s="127"/>
      <c r="BN168" s="127"/>
      <c r="BO168" s="127"/>
      <c r="BP168" s="127"/>
      <c r="BQ168" s="127"/>
      <c r="BR168" s="127"/>
      <c r="BS168" s="127"/>
      <c r="BT168" s="127"/>
      <c r="BU168" s="127"/>
      <c r="BV168" s="127"/>
      <c r="BW168" s="127"/>
      <c r="BX168" s="127"/>
      <c r="BY168" s="127"/>
      <c r="BZ168" s="127"/>
      <c r="CA168" s="127"/>
    </row>
    <row r="169" spans="1:79" ht="18" customHeight="1">
      <c r="A169" s="123"/>
      <c r="B169" s="123"/>
      <c r="C169" s="123"/>
      <c r="D169" s="123"/>
      <c r="E169" s="123"/>
      <c r="F169" s="124"/>
      <c r="G169" s="124"/>
      <c r="H169" s="124"/>
      <c r="I169" s="125"/>
      <c r="J169" s="123"/>
      <c r="K169" s="123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  <c r="BK169" s="127"/>
      <c r="BL169" s="127"/>
      <c r="BM169" s="127"/>
      <c r="BN169" s="127"/>
      <c r="BO169" s="127"/>
      <c r="BP169" s="127"/>
      <c r="BQ169" s="127"/>
      <c r="BR169" s="127"/>
      <c r="BS169" s="127"/>
      <c r="BT169" s="127"/>
      <c r="BU169" s="127"/>
      <c r="BV169" s="127"/>
      <c r="BW169" s="127"/>
      <c r="BX169" s="127"/>
      <c r="BY169" s="127"/>
      <c r="BZ169" s="127"/>
      <c r="CA169" s="127"/>
    </row>
    <row r="170" spans="1:79" ht="18" customHeight="1">
      <c r="A170" s="123"/>
      <c r="B170" s="123"/>
      <c r="C170" s="123"/>
      <c r="D170" s="123"/>
      <c r="E170" s="123"/>
      <c r="F170" s="124"/>
      <c r="G170" s="124"/>
      <c r="H170" s="124"/>
      <c r="I170" s="125"/>
      <c r="J170" s="123"/>
      <c r="K170" s="123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  <c r="BK170" s="127"/>
      <c r="BL170" s="127"/>
      <c r="BM170" s="127"/>
      <c r="BN170" s="127"/>
      <c r="BO170" s="127"/>
      <c r="BP170" s="127"/>
      <c r="BQ170" s="127"/>
      <c r="BR170" s="127"/>
      <c r="BS170" s="127"/>
      <c r="BT170" s="127"/>
      <c r="BU170" s="127"/>
      <c r="BV170" s="127"/>
      <c r="BW170" s="127"/>
      <c r="BX170" s="127"/>
      <c r="BY170" s="127"/>
      <c r="BZ170" s="127"/>
      <c r="CA170" s="127"/>
    </row>
    <row r="171" spans="1:79" ht="18" customHeight="1">
      <c r="A171" s="123"/>
      <c r="B171" s="123"/>
      <c r="C171" s="123"/>
      <c r="D171" s="123"/>
      <c r="E171" s="123"/>
      <c r="F171" s="124"/>
      <c r="G171" s="124"/>
      <c r="H171" s="124"/>
      <c r="I171" s="125"/>
      <c r="J171" s="123"/>
      <c r="K171" s="123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  <c r="BK171" s="127"/>
      <c r="BL171" s="127"/>
      <c r="BM171" s="127"/>
      <c r="BN171" s="127"/>
      <c r="BO171" s="127"/>
      <c r="BP171" s="127"/>
      <c r="BQ171" s="127"/>
      <c r="BR171" s="127"/>
      <c r="BS171" s="127"/>
      <c r="BT171" s="127"/>
      <c r="BU171" s="127"/>
      <c r="BV171" s="127"/>
      <c r="BW171" s="127"/>
      <c r="BX171" s="127"/>
      <c r="BY171" s="127"/>
      <c r="BZ171" s="127"/>
      <c r="CA171" s="127"/>
    </row>
    <row r="172" spans="1:79" ht="18" customHeight="1">
      <c r="A172" s="123"/>
      <c r="B172" s="123"/>
      <c r="C172" s="123"/>
      <c r="D172" s="123"/>
      <c r="E172" s="123"/>
      <c r="F172" s="124"/>
      <c r="G172" s="124"/>
      <c r="H172" s="124"/>
      <c r="I172" s="125"/>
      <c r="J172" s="123"/>
      <c r="K172" s="123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  <c r="BK172" s="127"/>
      <c r="BL172" s="127"/>
      <c r="BM172" s="127"/>
      <c r="BN172" s="127"/>
      <c r="BO172" s="127"/>
      <c r="BP172" s="127"/>
      <c r="BQ172" s="127"/>
      <c r="BR172" s="127"/>
      <c r="BS172" s="127"/>
      <c r="BT172" s="127"/>
      <c r="BU172" s="127"/>
      <c r="BV172" s="127"/>
      <c r="BW172" s="127"/>
      <c r="BX172" s="127"/>
      <c r="BY172" s="127"/>
      <c r="BZ172" s="127"/>
      <c r="CA172" s="127"/>
    </row>
    <row r="173" spans="1:79" ht="18" customHeight="1">
      <c r="A173" s="123"/>
      <c r="B173" s="123"/>
      <c r="C173" s="123"/>
      <c r="D173" s="123"/>
      <c r="E173" s="123"/>
      <c r="F173" s="124"/>
      <c r="G173" s="124"/>
      <c r="H173" s="124"/>
      <c r="I173" s="125"/>
      <c r="J173" s="123"/>
      <c r="K173" s="123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  <c r="BK173" s="127"/>
      <c r="BL173" s="127"/>
      <c r="BM173" s="127"/>
      <c r="BN173" s="127"/>
      <c r="BO173" s="127"/>
      <c r="BP173" s="127"/>
      <c r="BQ173" s="127"/>
      <c r="BR173" s="127"/>
      <c r="BS173" s="127"/>
      <c r="BT173" s="127"/>
      <c r="BU173" s="127"/>
      <c r="BV173" s="127"/>
      <c r="BW173" s="127"/>
      <c r="BX173" s="127"/>
      <c r="BY173" s="127"/>
      <c r="BZ173" s="127"/>
      <c r="CA173" s="127"/>
    </row>
    <row r="174" spans="1:79" ht="18" customHeight="1">
      <c r="A174" s="123"/>
      <c r="B174" s="123"/>
      <c r="C174" s="123"/>
      <c r="D174" s="123"/>
      <c r="E174" s="123"/>
      <c r="F174" s="124"/>
      <c r="G174" s="124"/>
      <c r="H174" s="124"/>
      <c r="I174" s="125"/>
      <c r="J174" s="123"/>
      <c r="K174" s="123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  <c r="BK174" s="127"/>
      <c r="BL174" s="127"/>
      <c r="BM174" s="127"/>
      <c r="BN174" s="127"/>
      <c r="BO174" s="127"/>
      <c r="BP174" s="127"/>
      <c r="BQ174" s="127"/>
      <c r="BR174" s="127"/>
      <c r="BS174" s="127"/>
      <c r="BT174" s="127"/>
      <c r="BU174" s="127"/>
      <c r="BV174" s="127"/>
      <c r="BW174" s="127"/>
      <c r="BX174" s="127"/>
      <c r="BY174" s="127"/>
      <c r="BZ174" s="127"/>
      <c r="CA174" s="127"/>
    </row>
    <row r="175" spans="1:79" ht="18" customHeight="1">
      <c r="A175" s="123"/>
      <c r="B175" s="123"/>
      <c r="C175" s="123"/>
      <c r="D175" s="123"/>
      <c r="E175" s="123"/>
      <c r="F175" s="124"/>
      <c r="G175" s="124"/>
      <c r="H175" s="124"/>
      <c r="I175" s="125"/>
      <c r="J175" s="123"/>
      <c r="K175" s="123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  <c r="BK175" s="127"/>
      <c r="BL175" s="127"/>
      <c r="BM175" s="127"/>
      <c r="BN175" s="127"/>
      <c r="BO175" s="127"/>
      <c r="BP175" s="127"/>
      <c r="BQ175" s="127"/>
      <c r="BR175" s="127"/>
      <c r="BS175" s="127"/>
      <c r="BT175" s="127"/>
      <c r="BU175" s="127"/>
      <c r="BV175" s="127"/>
      <c r="BW175" s="127"/>
      <c r="BX175" s="127"/>
      <c r="BY175" s="127"/>
      <c r="BZ175" s="127"/>
      <c r="CA175" s="127"/>
    </row>
    <row r="176" spans="1:79" ht="18" customHeight="1">
      <c r="A176" s="123"/>
      <c r="B176" s="123"/>
      <c r="C176" s="123"/>
      <c r="D176" s="123"/>
      <c r="E176" s="123"/>
      <c r="F176" s="124"/>
      <c r="G176" s="124"/>
      <c r="H176" s="124"/>
      <c r="I176" s="125"/>
      <c r="J176" s="123"/>
      <c r="K176" s="123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  <c r="BK176" s="127"/>
      <c r="BL176" s="127"/>
      <c r="BM176" s="127"/>
      <c r="BN176" s="127"/>
      <c r="BO176" s="127"/>
      <c r="BP176" s="127"/>
      <c r="BQ176" s="127"/>
      <c r="BR176" s="127"/>
      <c r="BS176" s="127"/>
      <c r="BT176" s="127"/>
      <c r="BU176" s="127"/>
      <c r="BV176" s="127"/>
      <c r="BW176" s="127"/>
      <c r="BX176" s="127"/>
      <c r="BY176" s="127"/>
      <c r="BZ176" s="127"/>
      <c r="CA176" s="127"/>
    </row>
    <row r="177" spans="1:79" ht="18" customHeight="1">
      <c r="A177" s="123"/>
      <c r="B177" s="123"/>
      <c r="C177" s="123"/>
      <c r="D177" s="123"/>
      <c r="E177" s="123"/>
      <c r="F177" s="124"/>
      <c r="G177" s="124"/>
      <c r="H177" s="124"/>
      <c r="I177" s="125"/>
      <c r="J177" s="123"/>
      <c r="K177" s="123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  <c r="BK177" s="127"/>
      <c r="BL177" s="127"/>
      <c r="BM177" s="127"/>
      <c r="BN177" s="127"/>
      <c r="BO177" s="127"/>
      <c r="BP177" s="127"/>
      <c r="BQ177" s="127"/>
      <c r="BR177" s="127"/>
      <c r="BS177" s="127"/>
      <c r="BT177" s="127"/>
      <c r="BU177" s="127"/>
      <c r="BV177" s="127"/>
      <c r="BW177" s="127"/>
      <c r="BX177" s="127"/>
      <c r="BY177" s="127"/>
      <c r="BZ177" s="127"/>
      <c r="CA177" s="127"/>
    </row>
    <row r="178" spans="1:79" ht="18" customHeight="1">
      <c r="A178" s="123"/>
      <c r="B178" s="123"/>
      <c r="C178" s="123"/>
      <c r="D178" s="123"/>
      <c r="E178" s="123"/>
      <c r="F178" s="124"/>
      <c r="G178" s="124"/>
      <c r="H178" s="124"/>
      <c r="I178" s="125"/>
      <c r="J178" s="123"/>
      <c r="K178" s="123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</row>
    <row r="179" spans="1:79" ht="18" customHeight="1">
      <c r="A179" s="123"/>
      <c r="B179" s="123"/>
      <c r="C179" s="123"/>
      <c r="D179" s="123"/>
      <c r="E179" s="123"/>
      <c r="F179" s="124"/>
      <c r="G179" s="124"/>
      <c r="H179" s="124"/>
      <c r="I179" s="125"/>
      <c r="J179" s="123"/>
      <c r="K179" s="123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  <c r="BK179" s="127"/>
      <c r="BL179" s="127"/>
      <c r="BM179" s="127"/>
      <c r="BN179" s="127"/>
      <c r="BO179" s="127"/>
      <c r="BP179" s="127"/>
      <c r="BQ179" s="127"/>
      <c r="BR179" s="127"/>
      <c r="BS179" s="127"/>
      <c r="BT179" s="127"/>
      <c r="BU179" s="127"/>
      <c r="BV179" s="127"/>
      <c r="BW179" s="127"/>
      <c r="BX179" s="127"/>
      <c r="BY179" s="127"/>
      <c r="BZ179" s="127"/>
      <c r="CA179" s="127"/>
    </row>
    <row r="180" spans="1:79" ht="18" customHeight="1">
      <c r="A180" s="123"/>
      <c r="B180" s="123"/>
      <c r="C180" s="123"/>
      <c r="D180" s="123"/>
      <c r="E180" s="123"/>
      <c r="F180" s="124"/>
      <c r="G180" s="124"/>
      <c r="H180" s="124"/>
      <c r="I180" s="125"/>
      <c r="J180" s="123"/>
      <c r="K180" s="123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  <c r="BK180" s="127"/>
      <c r="BL180" s="127"/>
      <c r="BM180" s="127"/>
      <c r="BN180" s="127"/>
      <c r="BO180" s="127"/>
      <c r="BP180" s="127"/>
      <c r="BQ180" s="127"/>
      <c r="BR180" s="127"/>
      <c r="BS180" s="127"/>
      <c r="BT180" s="127"/>
      <c r="BU180" s="127"/>
      <c r="BV180" s="127"/>
      <c r="BW180" s="127"/>
      <c r="BX180" s="127"/>
      <c r="BY180" s="127"/>
      <c r="BZ180" s="127"/>
      <c r="CA180" s="127"/>
    </row>
    <row r="181" spans="1:79" ht="18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</row>
    <row r="182" spans="1:79" ht="18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</row>
    <row r="183" spans="1:79" ht="18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</row>
    <row r="184" spans="1:79" ht="18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</row>
    <row r="185" spans="1:79" ht="18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</row>
    <row r="186" spans="1:79" ht="18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</row>
    <row r="187" spans="1:79" ht="18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</row>
    <row r="188" spans="1:79" ht="18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</row>
    <row r="189" spans="1:79" ht="18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</row>
    <row r="190" spans="1:79" ht="18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</row>
    <row r="191" spans="1:79" ht="18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</row>
    <row r="192" spans="1:79" ht="18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</row>
    <row r="193" spans="1:24" ht="18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</row>
    <row r="194" spans="1:24" ht="18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</row>
    <row r="195" spans="1:24" ht="18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</row>
    <row r="196" spans="1:24" ht="18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</row>
    <row r="197" spans="1:24" ht="18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</row>
    <row r="198" spans="1:24" ht="18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</row>
    <row r="199" spans="1:24" ht="18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</row>
    <row r="200" spans="1:24" ht="18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</row>
    <row r="201" spans="1:24" ht="18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</row>
    <row r="202" spans="1:24" ht="18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</row>
    <row r="203" spans="1:24" ht="18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</row>
    <row r="204" spans="1:24" ht="18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</row>
    <row r="205" spans="1:24" ht="18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</row>
    <row r="206" spans="1:24" ht="18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</row>
    <row r="207" spans="1:24" ht="18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</row>
    <row r="208" spans="1:24" ht="18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</row>
    <row r="209" spans="1:24" ht="18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</row>
    <row r="210" spans="1:24" ht="18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</row>
    <row r="211" spans="1:24" ht="18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</row>
    <row r="212" spans="1:24" ht="18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</row>
    <row r="213" spans="1:24" ht="18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</row>
    <row r="214" spans="1:24" ht="18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</row>
    <row r="215" spans="1:24" ht="18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</row>
    <row r="216" spans="1:24" ht="18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</row>
    <row r="217" spans="1:24" ht="18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</row>
    <row r="218" spans="1:24" ht="18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</row>
    <row r="219" spans="1:24" ht="18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</row>
    <row r="220" spans="1:24" ht="18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</row>
  </sheetData>
  <mergeCells count="46">
    <mergeCell ref="A50:J50"/>
    <mergeCell ref="A68:X68"/>
    <mergeCell ref="A69:X69"/>
    <mergeCell ref="Q49:X49"/>
    <mergeCell ref="M12:P12"/>
    <mergeCell ref="M13:P14"/>
    <mergeCell ref="Q12:T12"/>
    <mergeCell ref="Q13:T14"/>
    <mergeCell ref="U12:X12"/>
    <mergeCell ref="U13:X14"/>
    <mergeCell ref="Q8:T8"/>
    <mergeCell ref="Q9:T10"/>
    <mergeCell ref="U8:X8"/>
    <mergeCell ref="U9:X10"/>
    <mergeCell ref="A12:D12"/>
    <mergeCell ref="A13:D14"/>
    <mergeCell ref="E12:H12"/>
    <mergeCell ref="E13:H14"/>
    <mergeCell ref="I12:L12"/>
    <mergeCell ref="I13:L14"/>
    <mergeCell ref="V4:X4"/>
    <mergeCell ref="V5:X5"/>
    <mergeCell ref="A8:D8"/>
    <mergeCell ref="A9:D10"/>
    <mergeCell ref="E8:H8"/>
    <mergeCell ref="E9:H10"/>
    <mergeCell ref="I8:L8"/>
    <mergeCell ref="I9:L10"/>
    <mergeCell ref="M8:P8"/>
    <mergeCell ref="M9:P10"/>
    <mergeCell ref="M4:O4"/>
    <mergeCell ref="M5:O5"/>
    <mergeCell ref="P4:R4"/>
    <mergeCell ref="P5:R5"/>
    <mergeCell ref="S4:U4"/>
    <mergeCell ref="S5:U5"/>
    <mergeCell ref="A1:X2"/>
    <mergeCell ref="A3:X3"/>
    <mergeCell ref="A4:C4"/>
    <mergeCell ref="A5:C5"/>
    <mergeCell ref="D4:F4"/>
    <mergeCell ref="D5:F5"/>
    <mergeCell ref="G4:I4"/>
    <mergeCell ref="G5:I5"/>
    <mergeCell ref="J4:L4"/>
    <mergeCell ref="J5:L5"/>
  </mergeCells>
  <conditionalFormatting sqref="I71:I180">
    <cfRule type="colorScale" priority="1">
      <colorScale>
        <cfvo type="min"/>
        <cfvo type="percentile" val="0.5"/>
        <cfvo type="max"/>
        <color rgb="FFFADBD8"/>
        <color rgb="FFFFF2CC"/>
        <color rgb="FFD5F5E3"/>
      </colorScale>
    </cfRule>
  </conditionalFormatting>
  <conditionalFormatting sqref="H71:H180">
    <cfRule type="expression" dxfId="12" priority="2">
      <formula>$H71&lt;0</formula>
    </cfRule>
  </conditionalFormatting>
  <conditionalFormatting sqref="J71:J180">
    <cfRule type="expression" dxfId="11" priority="3">
      <formula>$J71="Not Received"</formula>
    </cfRule>
  </conditionalFormatting>
  <conditionalFormatting sqref="J71:J180">
    <cfRule type="expression" dxfId="10" priority="4">
      <formula>OR($J71="Low Fulfillment",$J71="Partial Fulfillment")</formula>
    </cfRule>
  </conditionalFormatting>
  <conditionalFormatting sqref="J71:J180">
    <cfRule type="expression" dxfId="9" priority="5">
      <formula>OR($J71="Fulfilled",$J71="Over-Fulfilled")</formula>
    </cfRule>
  </conditionalFormatting>
  <conditionalFormatting sqref="K71:K180">
    <cfRule type="expression" dxfId="8" priority="6">
      <formula>ISNUMBER(SEARCH("Critical",$K71))</formula>
    </cfRule>
  </conditionalFormatting>
  <dataValidations count="8">
    <dataValidation type="list" allowBlank="1" showInputMessage="1" showErrorMessage="1" sqref="A5" xr:uid="{87EA2DB1-2542-42E2-A5BE-1CA145345185}">
      <formula1>$CD$2:$CD$20</formula1>
    </dataValidation>
    <dataValidation type="list" allowBlank="1" showInputMessage="1" showErrorMessage="1" sqref="D5" xr:uid="{B47B66E9-406C-4482-B423-386438024AA0}">
      <formula1>$CE$2:$CE$2</formula1>
    </dataValidation>
    <dataValidation type="list" allowBlank="1" showInputMessage="1" showErrorMessage="1" sqref="G5" xr:uid="{8C3B7165-3F95-41BA-A0A6-D29C327C2DCE}">
      <formula1>$CF$2:$CF$80</formula1>
    </dataValidation>
    <dataValidation type="list" allowBlank="1" showInputMessage="1" showErrorMessage="1" sqref="J5" xr:uid="{A1A51F95-E2ED-4150-AB52-458A250053CA}">
      <formula1>$CG$2:$CG$80</formula1>
    </dataValidation>
    <dataValidation type="list" allowBlank="1" showInputMessage="1" showErrorMessage="1" sqref="M5" xr:uid="{D04B9BB9-E02D-4255-A573-043BA2CF248A}">
      <formula1>$CH$2:$CH$100</formula1>
    </dataValidation>
    <dataValidation type="list" allowBlank="1" showInputMessage="1" showErrorMessage="1" sqref="P5" xr:uid="{7A95AD11-5D86-40C6-805E-21DE299E7E90}">
      <formula1>$CI$2:$CI$100</formula1>
    </dataValidation>
    <dataValidation type="list" allowBlank="1" showInputMessage="1" showErrorMessage="1" sqref="S5" xr:uid="{F0795BEF-DAD0-4F3B-95EE-EFB975F417CC}">
      <formula1>$CJ$2:$CJ$8</formula1>
    </dataValidation>
    <dataValidation type="list" allowBlank="1" showInputMessage="1" showErrorMessage="1" sqref="V5" xr:uid="{2BC95461-AFA3-43FD-87B7-5125692ED50B}">
      <formula1>$CK$2:$CK$3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Y143"/>
  <sheetViews>
    <sheetView showGridLines="0" zoomScale="55" zoomScaleNormal="55" workbookViewId="0">
      <pane xSplit="6" ySplit="1" topLeftCell="G2" activePane="bottomRight" state="frozen"/>
      <selection pane="bottomRight" activeCell="D17" sqref="B17:D29"/>
      <selection pane="bottomLeft"/>
      <selection pane="topRight"/>
    </sheetView>
  </sheetViews>
  <sheetFormatPr defaultRowHeight="15" customHeight="1"/>
  <cols>
    <col min="1" max="1" width="11.5703125" customWidth="1"/>
    <col min="2" max="2" width="17.28515625" customWidth="1"/>
    <col min="3" max="3" width="19.28515625" customWidth="1"/>
    <col min="4" max="4" width="31.7109375" customWidth="1"/>
    <col min="5" max="5" width="45.42578125" bestFit="1" customWidth="1"/>
    <col min="6" max="9" width="17" customWidth="1"/>
    <col min="10" max="40" width="16.28515625" hidden="1" customWidth="1"/>
    <col min="41" max="47" width="15.7109375" hidden="1" customWidth="1"/>
    <col min="48" max="70" width="15.7109375" customWidth="1"/>
    <col min="71" max="77" width="16" customWidth="1"/>
  </cols>
  <sheetData>
    <row r="1" spans="1:77" ht="119.25">
      <c r="A1" s="72" t="s">
        <v>47</v>
      </c>
      <c r="B1" s="73" t="s">
        <v>20</v>
      </c>
      <c r="C1" s="74" t="s">
        <v>8</v>
      </c>
      <c r="D1" s="72" t="s">
        <v>10</v>
      </c>
      <c r="E1" s="95" t="s">
        <v>21</v>
      </c>
      <c r="F1" s="95" t="s">
        <v>48</v>
      </c>
      <c r="G1" s="97" t="s">
        <v>49</v>
      </c>
      <c r="H1" s="98" t="s">
        <v>50</v>
      </c>
      <c r="I1" s="99" t="s">
        <v>51</v>
      </c>
      <c r="J1" s="96">
        <v>46258</v>
      </c>
      <c r="K1" s="96">
        <v>46259</v>
      </c>
      <c r="L1" s="96">
        <v>46260</v>
      </c>
      <c r="M1" s="96">
        <v>46261</v>
      </c>
      <c r="N1" s="96">
        <v>46262</v>
      </c>
      <c r="O1" s="96">
        <v>46263</v>
      </c>
      <c r="P1" s="96">
        <v>46264</v>
      </c>
      <c r="Q1" s="96">
        <v>46265</v>
      </c>
      <c r="R1" s="96">
        <v>46266</v>
      </c>
      <c r="S1" s="96">
        <v>46267</v>
      </c>
      <c r="T1" s="96">
        <v>46268</v>
      </c>
      <c r="U1" s="96">
        <v>46269</v>
      </c>
      <c r="V1" s="96">
        <v>46270</v>
      </c>
      <c r="W1" s="96">
        <v>46271</v>
      </c>
      <c r="X1" s="96">
        <v>46272</v>
      </c>
      <c r="Y1" s="96">
        <v>46273</v>
      </c>
      <c r="Z1" s="96">
        <v>46274</v>
      </c>
      <c r="AA1" s="96">
        <v>46275</v>
      </c>
      <c r="AB1" s="96">
        <v>46276</v>
      </c>
      <c r="AC1" s="96">
        <v>46277</v>
      </c>
      <c r="AD1" s="96">
        <v>46278</v>
      </c>
      <c r="AE1" s="96">
        <v>46279</v>
      </c>
      <c r="AF1" s="96">
        <v>46280</v>
      </c>
      <c r="AG1" s="96">
        <v>46281</v>
      </c>
      <c r="AH1" s="96">
        <v>46282</v>
      </c>
      <c r="AI1" s="96">
        <v>46283</v>
      </c>
      <c r="AJ1" s="96">
        <v>46284</v>
      </c>
      <c r="AK1" s="96">
        <v>46285</v>
      </c>
      <c r="AL1" s="96">
        <v>46286</v>
      </c>
      <c r="AM1" s="96">
        <v>46287</v>
      </c>
      <c r="AN1" s="96">
        <v>46288</v>
      </c>
      <c r="AO1" s="96">
        <v>46289</v>
      </c>
      <c r="AP1" s="96">
        <v>46290</v>
      </c>
      <c r="AQ1" s="96">
        <v>46291</v>
      </c>
      <c r="AR1" s="96">
        <v>46292</v>
      </c>
      <c r="AS1" s="96">
        <v>46293</v>
      </c>
      <c r="AT1" s="96">
        <v>46294</v>
      </c>
      <c r="AU1" s="96">
        <v>46295</v>
      </c>
      <c r="AV1" s="96">
        <v>46296</v>
      </c>
      <c r="AW1" s="96">
        <v>46297</v>
      </c>
      <c r="AX1" s="96">
        <v>46298</v>
      </c>
      <c r="AY1" s="96">
        <v>46299</v>
      </c>
      <c r="AZ1" s="96">
        <v>46300</v>
      </c>
      <c r="BA1" s="96">
        <v>46301</v>
      </c>
      <c r="BB1" s="96">
        <v>46302</v>
      </c>
      <c r="BC1" s="96">
        <v>46303</v>
      </c>
      <c r="BD1" s="96">
        <v>46304</v>
      </c>
      <c r="BE1" s="96">
        <v>46305</v>
      </c>
      <c r="BF1" s="96">
        <v>46306</v>
      </c>
      <c r="BG1" s="96">
        <v>46307</v>
      </c>
      <c r="BH1" s="96">
        <v>46308</v>
      </c>
      <c r="BI1" s="96">
        <v>46309</v>
      </c>
      <c r="BJ1" s="96">
        <v>46310</v>
      </c>
      <c r="BK1" s="96">
        <v>46311</v>
      </c>
      <c r="BL1" s="96">
        <v>46312</v>
      </c>
      <c r="BM1" s="96">
        <v>46313</v>
      </c>
      <c r="BN1" s="96">
        <v>46314</v>
      </c>
      <c r="BO1" s="96">
        <v>46315</v>
      </c>
      <c r="BP1" s="96">
        <v>46316</v>
      </c>
      <c r="BQ1" s="96">
        <v>46317</v>
      </c>
      <c r="BR1" s="96">
        <v>46318</v>
      </c>
      <c r="BS1" s="96">
        <v>46319</v>
      </c>
      <c r="BT1" s="96">
        <v>46320</v>
      </c>
      <c r="BU1" s="96">
        <v>46321</v>
      </c>
      <c r="BV1" s="96">
        <v>46322</v>
      </c>
      <c r="BW1" s="96">
        <v>46323</v>
      </c>
      <c r="BX1" s="96">
        <v>46324</v>
      </c>
      <c r="BY1" s="96">
        <v>46325</v>
      </c>
    </row>
    <row r="2" spans="1:77" ht="45.75" customHeight="1">
      <c r="A2" s="79">
        <v>1</v>
      </c>
      <c r="B2" s="79" t="s">
        <v>52</v>
      </c>
      <c r="C2" s="80" t="s">
        <v>53</v>
      </c>
      <c r="D2" s="81" t="s">
        <v>54</v>
      </c>
      <c r="E2" s="82" t="s">
        <v>55</v>
      </c>
      <c r="F2" s="83">
        <f>IFERROR(_xlfn.XLOOKUP(B2,'[1]RM Tracker'!B:B,'[1]RM Tracker'!E:E),"0")</f>
        <v>2215.2446</v>
      </c>
      <c r="G2" s="85">
        <f>IFERROR(SUM(AV2:BY2),"")</f>
        <v>0</v>
      </c>
      <c r="H2" s="85">
        <f t="shared" ref="H2:H33" si="0">G2-F2</f>
        <v>-2215.2446</v>
      </c>
      <c r="I2" s="91">
        <f t="shared" ref="I2:I33" si="1">IFERROR(G2/F2,0)</f>
        <v>0</v>
      </c>
      <c r="J2" s="84">
        <f>SUMIFS(RM_PM_Quantity[Quantity],RM_PM_Quantity[Date],J$1,RM_PM_Quantity[Location],$D2,RM_PM_Quantity[Section],$C2,RM_PM_Quantity[RM Name],$E2)+IF($D2="MIND/Pre-Production",SUMIFS(RM_PM_Quantity[Quantity],RM_PM_Quantity[Date],J$1,RM_PM_Quantity[Location],"MIDC/Pre-Production",RM_PM_Quantity[Section],$C2,RM_PM_Quantity[RM Name],$E2),0)</f>
        <v>0</v>
      </c>
      <c r="K2" s="84">
        <f>SUMIFS(RM_PM_Quantity[Quantity],RM_PM_Quantity[Date],K$1,RM_PM_Quantity[Location],$D2,RM_PM_Quantity[Section],$C2,RM_PM_Quantity[RM Name],$E2)+IF($D2="MIND/Pre-Production",SUMIFS(RM_PM_Quantity[Quantity],RM_PM_Quantity[Date],K$1,RM_PM_Quantity[Location],"MIDC/Pre-Production",RM_PM_Quantity[Section],$C2,RM_PM_Quantity[RM Name],$E2),0)</f>
        <v>0</v>
      </c>
      <c r="L2" s="84">
        <f>SUMIFS(RM_PM_Quantity[Quantity],RM_PM_Quantity[Date],L$1,RM_PM_Quantity[Location],$D2,RM_PM_Quantity[Section],$C2,RM_PM_Quantity[RM Name],$E2)+IF($D2="MIND/Pre-Production",SUMIFS(RM_PM_Quantity[Quantity],RM_PM_Quantity[Date],L$1,RM_PM_Quantity[Location],"MIDC/Pre-Production",RM_PM_Quantity[Section],$C2,RM_PM_Quantity[RM Name],$E2),0)</f>
        <v>0</v>
      </c>
      <c r="M2" s="84">
        <f>SUMIFS(RM_PM_Quantity[Quantity],RM_PM_Quantity[Date],M$1,RM_PM_Quantity[Location],$D2,RM_PM_Quantity[Section],$C2,RM_PM_Quantity[RM Name],$E2)+IF($D2="MIND/Pre-Production",SUMIFS(RM_PM_Quantity[Quantity],RM_PM_Quantity[Date],M$1,RM_PM_Quantity[Location],"MIDC/Pre-Production",RM_PM_Quantity[Section],$C2,RM_PM_Quantity[RM Name],$E2),0)</f>
        <v>0</v>
      </c>
      <c r="N2" s="84">
        <f>SUMIFS(RM_PM_Quantity[Quantity],RM_PM_Quantity[Date],N$1,RM_PM_Quantity[Location],$D2,RM_PM_Quantity[Section],$C2,RM_PM_Quantity[RM Name],$E2)+IF($D2="MIND/Pre-Production",SUMIFS(RM_PM_Quantity[Quantity],RM_PM_Quantity[Date],N$1,RM_PM_Quantity[Location],"MIDC/Pre-Production",RM_PM_Quantity[Section],$C2,RM_PM_Quantity[RM Name],$E2),0)</f>
        <v>0</v>
      </c>
      <c r="O2" s="84">
        <f>SUMIFS(RM_PM_Quantity[Quantity],RM_PM_Quantity[Date],O$1,RM_PM_Quantity[Location],$D2,RM_PM_Quantity[Section],$C2,RM_PM_Quantity[RM Name],$E2)+IF($D2="MIND/Pre-Production",SUMIFS(RM_PM_Quantity[Quantity],RM_PM_Quantity[Date],O$1,RM_PM_Quantity[Location],"MIDC/Pre-Production",RM_PM_Quantity[Section],$C2,RM_PM_Quantity[RM Name],$E2),0)</f>
        <v>0</v>
      </c>
      <c r="P2" s="84">
        <f>SUMIFS(RM_PM_Quantity[Quantity],RM_PM_Quantity[Date],P$1,RM_PM_Quantity[Location],$D2,RM_PM_Quantity[Section],$C2,RM_PM_Quantity[RM Name],$E2)+IF($D2="MIND/Pre-Production",SUMIFS(RM_PM_Quantity[Quantity],RM_PM_Quantity[Date],P$1,RM_PM_Quantity[Location],"MIDC/Pre-Production",RM_PM_Quantity[Section],$C2,RM_PM_Quantity[RM Name],$E2),0)</f>
        <v>0</v>
      </c>
      <c r="Q2" s="84">
        <f>SUMIFS(RM_PM_Quantity[Quantity],RM_PM_Quantity[Date],Q$1,RM_PM_Quantity[Location],$D2,RM_PM_Quantity[Section],$C2,RM_PM_Quantity[RM Name],$E2)+IF($D2="MIND/Pre-Production",SUMIFS(RM_PM_Quantity[Quantity],RM_PM_Quantity[Date],Q$1,RM_PM_Quantity[Location],"MIDC/Pre-Production",RM_PM_Quantity[Section],$C2,RM_PM_Quantity[RM Name],$E2),0)</f>
        <v>0</v>
      </c>
      <c r="R2" s="84">
        <f>SUMIFS(RM_PM_Quantity[Quantity],RM_PM_Quantity[Date],R$1,RM_PM_Quantity[Location],$D2,RM_PM_Quantity[Section],$C2,RM_PM_Quantity[RM Name],$E2)+IF($D2="MIND/Pre-Production",SUMIFS(RM_PM_Quantity[Quantity],RM_PM_Quantity[Date],R$1,RM_PM_Quantity[Location],"MIDC/Pre-Production",RM_PM_Quantity[Section],$C2,RM_PM_Quantity[RM Name],$E2),0)</f>
        <v>0</v>
      </c>
      <c r="S2" s="84">
        <f>SUMIFS(RM_PM_Quantity[Quantity],RM_PM_Quantity[Date],S$1,RM_PM_Quantity[Location],$D2,RM_PM_Quantity[Section],$C2,RM_PM_Quantity[RM Name],$E2)+IF($D2="MIND/Pre-Production",SUMIFS(RM_PM_Quantity[Quantity],RM_PM_Quantity[Date],S$1,RM_PM_Quantity[Location],"MIDC/Pre-Production",RM_PM_Quantity[Section],$C2,RM_PM_Quantity[RM Name],$E2),0)</f>
        <v>0</v>
      </c>
      <c r="T2" s="84">
        <f>SUMIFS(RM_PM_Quantity[Quantity],RM_PM_Quantity[Date],T$1,RM_PM_Quantity[Location],$D2,RM_PM_Quantity[Section],$C2,RM_PM_Quantity[RM Name],$E2)+IF($D2="MIND/Pre-Production",SUMIFS(RM_PM_Quantity[Quantity],RM_PM_Quantity[Date],T$1,RM_PM_Quantity[Location],"MIDC/Pre-Production",RM_PM_Quantity[Section],$C2,RM_PM_Quantity[RM Name],$E2),0)</f>
        <v>0</v>
      </c>
      <c r="U2" s="84">
        <f>SUMIFS(RM_PM_Quantity[Quantity],RM_PM_Quantity[Date],U$1,RM_PM_Quantity[Location],$D2,RM_PM_Quantity[Section],$C2,RM_PM_Quantity[RM Name],$E2)+IF($D2="MIND/Pre-Production",SUMIFS(RM_PM_Quantity[Quantity],RM_PM_Quantity[Date],U$1,RM_PM_Quantity[Location],"MIDC/Pre-Production",RM_PM_Quantity[Section],$C2,RM_PM_Quantity[RM Name],$E2),0)</f>
        <v>0</v>
      </c>
      <c r="V2" s="84">
        <f>SUMIFS(RM_PM_Quantity[Quantity],RM_PM_Quantity[Date],V$1,RM_PM_Quantity[Location],$D2,RM_PM_Quantity[Section],$C2,RM_PM_Quantity[RM Name],$E2)+IF($D2="MIND/Pre-Production",SUMIFS(RM_PM_Quantity[Quantity],RM_PM_Quantity[Date],V$1,RM_PM_Quantity[Location],"MIDC/Pre-Production",RM_PM_Quantity[Section],$C2,RM_PM_Quantity[RM Name],$E2),0)</f>
        <v>0</v>
      </c>
      <c r="W2" s="84">
        <f>SUMIFS(RM_PM_Quantity[Quantity],RM_PM_Quantity[Date],W$1,RM_PM_Quantity[Location],$D2,RM_PM_Quantity[Section],$C2,RM_PM_Quantity[RM Name],$E2)+IF($D2="MIND/Pre-Production",SUMIFS(RM_PM_Quantity[Quantity],RM_PM_Quantity[Date],W$1,RM_PM_Quantity[Location],"MIDC/Pre-Production",RM_PM_Quantity[Section],$C2,RM_PM_Quantity[RM Name],$E2),0)</f>
        <v>0</v>
      </c>
      <c r="X2" s="84">
        <f>SUMIFS(RM_PM_Quantity[Quantity],RM_PM_Quantity[Date],X$1,RM_PM_Quantity[Location],$D2,RM_PM_Quantity[Section],$C2,RM_PM_Quantity[RM Name],$E2)+IF($D2="MIND/Pre-Production",SUMIFS(RM_PM_Quantity[Quantity],RM_PM_Quantity[Date],X$1,RM_PM_Quantity[Location],"MIDC/Pre-Production",RM_PM_Quantity[Section],$C2,RM_PM_Quantity[RM Name],$E2),0)</f>
        <v>0</v>
      </c>
      <c r="Y2" s="84">
        <f>SUMIFS(RM_PM_Quantity[Quantity],RM_PM_Quantity[Date],Y$1,RM_PM_Quantity[Location],$D2,RM_PM_Quantity[Section],$C2,RM_PM_Quantity[RM Name],$E2)+IF($D2="MIND/Pre-Production",SUMIFS(RM_PM_Quantity[Quantity],RM_PM_Quantity[Date],Y$1,RM_PM_Quantity[Location],"MIDC/Pre-Production",RM_PM_Quantity[Section],$C2,RM_PM_Quantity[RM Name],$E2),0)</f>
        <v>0</v>
      </c>
      <c r="Z2" s="84">
        <f>SUMIFS(RM_PM_Quantity[Quantity],RM_PM_Quantity[Date],Z$1,RM_PM_Quantity[Location],$D2,RM_PM_Quantity[Section],$C2,RM_PM_Quantity[RM Name],$E2)+IF($D2="MIND/Pre-Production",SUMIFS(RM_PM_Quantity[Quantity],RM_PM_Quantity[Date],Z$1,RM_PM_Quantity[Location],"MIDC/Pre-Production",RM_PM_Quantity[Section],$C2,RM_PM_Quantity[RM Name],$E2),0)</f>
        <v>0</v>
      </c>
      <c r="AA2" s="84">
        <f>SUMIFS(RM_PM_Quantity[Quantity],RM_PM_Quantity[Date],AA$1,RM_PM_Quantity[Location],$D2,RM_PM_Quantity[Section],$C2,RM_PM_Quantity[RM Name],$E2)+IF($D2="MIND/Pre-Production",SUMIFS(RM_PM_Quantity[Quantity],RM_PM_Quantity[Date],AA$1,RM_PM_Quantity[Location],"MIDC/Pre-Production",RM_PM_Quantity[Section],$C2,RM_PM_Quantity[RM Name],$E2),0)</f>
        <v>0</v>
      </c>
      <c r="AB2" s="84">
        <f>SUMIFS(RM_PM_Quantity[Quantity],RM_PM_Quantity[Date],AB$1,RM_PM_Quantity[Location],$D2,RM_PM_Quantity[Section],$C2,RM_PM_Quantity[RM Name],$E2)+IF($D2="MIND/Pre-Production",SUMIFS(RM_PM_Quantity[Quantity],RM_PM_Quantity[Date],AB$1,RM_PM_Quantity[Location],"MIDC/Pre-Production",RM_PM_Quantity[Section],$C2,RM_PM_Quantity[RM Name],$E2),0)</f>
        <v>0</v>
      </c>
      <c r="AC2" s="84">
        <f>SUMIFS(RM_PM_Quantity[Quantity],RM_PM_Quantity[Date],AC$1,RM_PM_Quantity[Location],$D2,RM_PM_Quantity[Section],$C2,RM_PM_Quantity[RM Name],$E2)+IF($D2="MIND/Pre-Production",SUMIFS(RM_PM_Quantity[Quantity],RM_PM_Quantity[Date],AC$1,RM_PM_Quantity[Location],"MIDC/Pre-Production",RM_PM_Quantity[Section],$C2,RM_PM_Quantity[RM Name],$E2),0)</f>
        <v>0</v>
      </c>
      <c r="AD2" s="84">
        <f>SUMIFS(RM_PM_Quantity[Quantity],RM_PM_Quantity[Date],AD$1,RM_PM_Quantity[Location],$D2,RM_PM_Quantity[Section],$C2,RM_PM_Quantity[RM Name],$E2)+IF($D2="MIND/Pre-Production",SUMIFS(RM_PM_Quantity[Quantity],RM_PM_Quantity[Date],AD$1,RM_PM_Quantity[Location],"MIDC/Pre-Production",RM_PM_Quantity[Section],$C2,RM_PM_Quantity[RM Name],$E2),0)</f>
        <v>0</v>
      </c>
      <c r="AE2" s="84">
        <f>SUMIFS(RM_PM_Quantity[Quantity],RM_PM_Quantity[Date],AE$1,RM_PM_Quantity[Location],$D2,RM_PM_Quantity[Section],$C2,RM_PM_Quantity[RM Name],$E2)+IF($D2="MIND/Pre-Production",SUMIFS(RM_PM_Quantity[Quantity],RM_PM_Quantity[Date],AE$1,RM_PM_Quantity[Location],"MIDC/Pre-Production",RM_PM_Quantity[Section],$C2,RM_PM_Quantity[RM Name],$E2),0)</f>
        <v>0</v>
      </c>
      <c r="AF2" s="84">
        <f>SUMIFS(RM_PM_Quantity[Quantity],RM_PM_Quantity[Date],AF$1,RM_PM_Quantity[Location],$D2,RM_PM_Quantity[Section],$C2,RM_PM_Quantity[RM Name],$E2)+IF($D2="MIND/Pre-Production",SUMIFS(RM_PM_Quantity[Quantity],RM_PM_Quantity[Date],AF$1,RM_PM_Quantity[Location],"MIDC/Pre-Production",RM_PM_Quantity[Section],$C2,RM_PM_Quantity[RM Name],$E2),0)</f>
        <v>0</v>
      </c>
      <c r="AG2" s="84">
        <f>SUMIFS(RM_PM_Quantity[Quantity],RM_PM_Quantity[Date],AG$1,RM_PM_Quantity[Location],$D2,RM_PM_Quantity[Section],$C2,RM_PM_Quantity[RM Name],$E2)+IF($D2="MIND/Pre-Production",SUMIFS(RM_PM_Quantity[Quantity],RM_PM_Quantity[Date],AG$1,RM_PM_Quantity[Location],"MIDC/Pre-Production",RM_PM_Quantity[Section],$C2,RM_PM_Quantity[RM Name],$E2),0)</f>
        <v>0</v>
      </c>
      <c r="AH2" s="84">
        <f>SUMIFS(RM_PM_Quantity[Quantity],RM_PM_Quantity[Date],AH$1,RM_PM_Quantity[Location],$D2,RM_PM_Quantity[Section],$C2,RM_PM_Quantity[RM Name],$E2)+IF($D2="MIND/Pre-Production",SUMIFS(RM_PM_Quantity[Quantity],RM_PM_Quantity[Date],AH$1,RM_PM_Quantity[Location],"MIDC/Pre-Production",RM_PM_Quantity[Section],$C2,RM_PM_Quantity[RM Name],$E2),0)</f>
        <v>0</v>
      </c>
      <c r="AI2" s="84">
        <f>SUMIFS(RM_PM_Quantity[Quantity],RM_PM_Quantity[Date],AI$1,RM_PM_Quantity[Location],$D2,RM_PM_Quantity[Section],$C2,RM_PM_Quantity[RM Name],$E2)+IF($D2="MIND/Pre-Production",SUMIFS(RM_PM_Quantity[Quantity],RM_PM_Quantity[Date],AI$1,RM_PM_Quantity[Location],"MIDC/Pre-Production",RM_PM_Quantity[Section],$C2,RM_PM_Quantity[RM Name],$E2),0)</f>
        <v>0</v>
      </c>
      <c r="AJ2" s="84">
        <f>SUMIFS(RM_PM_Quantity[Quantity],RM_PM_Quantity[Date],AJ$1,RM_PM_Quantity[Location],$D2,RM_PM_Quantity[Section],$C2,RM_PM_Quantity[RM Name],$E2)+IF($D2="MIND/Pre-Production",SUMIFS(RM_PM_Quantity[Quantity],RM_PM_Quantity[Date],AJ$1,RM_PM_Quantity[Location],"MIDC/Pre-Production",RM_PM_Quantity[Section],$C2,RM_PM_Quantity[RM Name],$E2),0)</f>
        <v>50</v>
      </c>
      <c r="AK2" s="84">
        <f>SUMIFS(RM_PM_Quantity[Quantity],RM_PM_Quantity[Date],AK$1,RM_PM_Quantity[Location],$D2,RM_PM_Quantity[Section],$C2,RM_PM_Quantity[RM Name],$E2)+IF($D2="MIND/Pre-Production",SUMIFS(RM_PM_Quantity[Quantity],RM_PM_Quantity[Date],AK$1,RM_PM_Quantity[Location],"MIDC/Pre-Production",RM_PM_Quantity[Section],$C2,RM_PM_Quantity[RM Name],$E2),0)</f>
        <v>0</v>
      </c>
      <c r="AL2" s="84">
        <f>SUMIFS(RM_PM_Quantity[Quantity],RM_PM_Quantity[Date],AL$1,RM_PM_Quantity[Location],$D2,RM_PM_Quantity[Section],$C2,RM_PM_Quantity[RM Name],$E2)+IF($D2="MIND/Pre-Production",SUMIFS(RM_PM_Quantity[Quantity],RM_PM_Quantity[Date],AL$1,RM_PM_Quantity[Location],"MIDC/Pre-Production",RM_PM_Quantity[Section],$C2,RM_PM_Quantity[RM Name],$E2),0)</f>
        <v>0</v>
      </c>
      <c r="AM2" s="84">
        <f>SUMIFS(RM_PM_Quantity[Quantity],RM_PM_Quantity[Date],AM$1,RM_PM_Quantity[Location],$D2,RM_PM_Quantity[Section],$C2,RM_PM_Quantity[RM Name],$E2)+IF($D2="MIND/Pre-Production",SUMIFS(RM_PM_Quantity[Quantity],RM_PM_Quantity[Date],AM$1,RM_PM_Quantity[Location],"MIDC/Pre-Production",RM_PM_Quantity[Section],$C2,RM_PM_Quantity[RM Name],$E2),0)</f>
        <v>0</v>
      </c>
      <c r="AN2" s="84">
        <f>SUMIFS(RM_PM_Quantity[Quantity],RM_PM_Quantity[Date],AN$1,RM_PM_Quantity[Location],$D2,RM_PM_Quantity[Section],$C2,RM_PM_Quantity[RM Name],$E2)+IF($D2="MIND/Pre-Production",SUMIFS(RM_PM_Quantity[Quantity],RM_PM_Quantity[Date],AN$1,RM_PM_Quantity[Location],"MIDC/Pre-Production",RM_PM_Quantity[Section],$C2,RM_PM_Quantity[RM Name],$E2),0)</f>
        <v>0</v>
      </c>
      <c r="AO2" s="84">
        <f>SUMIFS(RM_PM_Quantity[Quantity],RM_PM_Quantity[Date],AO$1,RM_PM_Quantity[Location],$D2,RM_PM_Quantity[Section],$C2,RM_PM_Quantity[RM Name],$E2)+IF($D2="MIND/Pre-Production",SUMIFS(RM_PM_Quantity[Quantity],RM_PM_Quantity[Date],AO$1,RM_PM_Quantity[Location],"MIDC/Pre-Production",RM_PM_Quantity[Section],$C2,RM_PM_Quantity[RM Name],$E2),0)</f>
        <v>0</v>
      </c>
      <c r="AP2" s="84">
        <f>SUMIFS(RM_PM_Quantity[Quantity],RM_PM_Quantity[Date],AP$1,RM_PM_Quantity[Location],$D2,RM_PM_Quantity[Section],$C2,RM_PM_Quantity[RM Name],$E2)+IF($D2="MIND/Pre-Production",SUMIFS(RM_PM_Quantity[Quantity],RM_PM_Quantity[Date],AP$1,RM_PM_Quantity[Location],"MIDC/Pre-Production",RM_PM_Quantity[Section],$C2,RM_PM_Quantity[RM Name],$E2),0)</f>
        <v>0</v>
      </c>
      <c r="AQ2" s="84">
        <f>SUMIFS(RM_PM_Quantity[Quantity],RM_PM_Quantity[Date],AQ$1,RM_PM_Quantity[Location],$D2,RM_PM_Quantity[Section],$C2,RM_PM_Quantity[RM Name],$E2)+IF($D2="MIND/Pre-Production",SUMIFS(RM_PM_Quantity[Quantity],RM_PM_Quantity[Date],AQ$1,RM_PM_Quantity[Location],"MIDC/Pre-Production",RM_PM_Quantity[Section],$C2,RM_PM_Quantity[RM Name],$E2),0)</f>
        <v>0</v>
      </c>
      <c r="AR2" s="84">
        <f>SUMIFS(RM_PM_Quantity[Quantity],RM_PM_Quantity[Date],AR$1,RM_PM_Quantity[Location],$D2,RM_PM_Quantity[Section],$C2,RM_PM_Quantity[RM Name],$E2)+IF($D2="MIND/Pre-Production",SUMIFS(RM_PM_Quantity[Quantity],RM_PM_Quantity[Date],AR$1,RM_PM_Quantity[Location],"MIDC/Pre-Production",RM_PM_Quantity[Section],$C2,RM_PM_Quantity[RM Name],$E2),0)</f>
        <v>0</v>
      </c>
      <c r="AS2" s="84">
        <f>SUMIFS(RM_PM_Quantity[Quantity],RM_PM_Quantity[Date],AS$1,RM_PM_Quantity[Location],$D2,RM_PM_Quantity[Section],$C2,RM_PM_Quantity[RM Name],$E2)+IF($D2="MIND/Pre-Production",SUMIFS(RM_PM_Quantity[Quantity],RM_PM_Quantity[Date],AS$1,RM_PM_Quantity[Location],"MIDC/Pre-Production",RM_PM_Quantity[Section],$C2,RM_PM_Quantity[RM Name],$E2),0)</f>
        <v>0</v>
      </c>
      <c r="AT2" s="84">
        <f>SUMIFS(RM_PM_Quantity[Quantity],RM_PM_Quantity[Date],AT$1,RM_PM_Quantity[Location],$D2,RM_PM_Quantity[Section],$C2,RM_PM_Quantity[RM Name],$E2)+IF($D2="MIND/Pre-Production",SUMIFS(RM_PM_Quantity[Quantity],RM_PM_Quantity[Date],AT$1,RM_PM_Quantity[Location],"MIDC/Pre-Production",RM_PM_Quantity[Section],$C2,RM_PM_Quantity[RM Name],$E2),0)</f>
        <v>500</v>
      </c>
      <c r="AU2" s="84">
        <f>SUMIFS(RM_PM_Quantity[Quantity],RM_PM_Quantity[Date],AU$1,RM_PM_Quantity[Location],$D2,RM_PM_Quantity[Section],$C2,RM_PM_Quantity[RM Name],$E2)+IF($D2="MIND/Pre-Production",SUMIFS(RM_PM_Quantity[Quantity],RM_PM_Quantity[Date],AU$1,RM_PM_Quantity[Location],"MIDC/Pre-Production",RM_PM_Quantity[Section],$C2,RM_PM_Quantity[RM Name],$E2),0)</f>
        <v>0</v>
      </c>
      <c r="AV2" s="84">
        <f>SUMIFS(RM_PM_Quantity[Quantity],RM_PM_Quantity[Date],AV$1,RM_PM_Quantity[Location],$D2,RM_PM_Quantity[Section],$C2,RM_PM_Quantity[RM Name],$E2)+IF($D2="MIND/Pre-Production",SUMIFS(RM_PM_Quantity[Quantity],RM_PM_Quantity[Date],AV$1,RM_PM_Quantity[Location],"MIDC/Pre-Production",RM_PM_Quantity[Section],$C2,RM_PM_Quantity[RM Name],$E2),0)</f>
        <v>0</v>
      </c>
      <c r="AW2" s="84">
        <f>SUMIFS(RM_PM_Quantity[Quantity],RM_PM_Quantity[Date],AW$1,RM_PM_Quantity[Location],$D2,RM_PM_Quantity[Section],$C2,RM_PM_Quantity[RM Name],$E2)+IF($D2="MIND/Pre-Production",SUMIFS(RM_PM_Quantity[Quantity],RM_PM_Quantity[Date],AW$1,RM_PM_Quantity[Location],"MIDC/Pre-Production",RM_PM_Quantity[Section],$C2,RM_PM_Quantity[RM Name],$E2),0)</f>
        <v>0</v>
      </c>
      <c r="AX2" s="84">
        <f>SUMIFS(RM_PM_Quantity[Quantity],RM_PM_Quantity[Date],AX$1,RM_PM_Quantity[Location],$D2,RM_PM_Quantity[Section],$C2,RM_PM_Quantity[RM Name],$E2)+IF($D2="MIND/Pre-Production",SUMIFS(RM_PM_Quantity[Quantity],RM_PM_Quantity[Date],AX$1,RM_PM_Quantity[Location],"MIDC/Pre-Production",RM_PM_Quantity[Section],$C2,RM_PM_Quantity[RM Name],$E2),0)</f>
        <v>0</v>
      </c>
      <c r="AY2" s="84">
        <f>SUMIFS(RM_PM_Quantity[Quantity],RM_PM_Quantity[Date],AY$1,RM_PM_Quantity[Location],$D2,RM_PM_Quantity[Section],$C2,RM_PM_Quantity[RM Name],$E2)+IF($D2="MIND/Pre-Production",SUMIFS(RM_PM_Quantity[Quantity],RM_PM_Quantity[Date],AY$1,RM_PM_Quantity[Location],"MIDC/Pre-Production",RM_PM_Quantity[Section],$C2,RM_PM_Quantity[RM Name],$E2),0)</f>
        <v>0</v>
      </c>
      <c r="AZ2" s="84">
        <f>SUMIFS(RM_PM_Quantity[Quantity],RM_PM_Quantity[Date],AZ$1,RM_PM_Quantity[Location],$D2,RM_PM_Quantity[Section],$C2,RM_PM_Quantity[RM Name],$E2)+IF($D2="MIND/Pre-Production",SUMIFS(RM_PM_Quantity[Quantity],RM_PM_Quantity[Date],AZ$1,RM_PM_Quantity[Location],"MIDC/Pre-Production",RM_PM_Quantity[Section],$C2,RM_PM_Quantity[RM Name],$E2),0)</f>
        <v>0</v>
      </c>
      <c r="BA2" s="84">
        <f>SUMIFS(RM_PM_Quantity[Quantity],RM_PM_Quantity[Date],BA$1,RM_PM_Quantity[Location],$D2,RM_PM_Quantity[Section],$C2,RM_PM_Quantity[RM Name],$E2)+IF($D2="MIND/Pre-Production",SUMIFS(RM_PM_Quantity[Quantity],RM_PM_Quantity[Date],BA$1,RM_PM_Quantity[Location],"MIDC/Pre-Production",RM_PM_Quantity[Section],$C2,RM_PM_Quantity[RM Name],$E2),0)</f>
        <v>0</v>
      </c>
      <c r="BB2" s="84">
        <f>SUMIFS(RM_PM_Quantity[Quantity],RM_PM_Quantity[Date],BB$1,RM_PM_Quantity[Location],$D2,RM_PM_Quantity[Section],$C2,RM_PM_Quantity[RM Name],$E2)+IF($D2="MIND/Pre-Production",SUMIFS(RM_PM_Quantity[Quantity],RM_PM_Quantity[Date],BB$1,RM_PM_Quantity[Location],"MIDC/Pre-Production",RM_PM_Quantity[Section],$C2,RM_PM_Quantity[RM Name],$E2),0)</f>
        <v>0</v>
      </c>
      <c r="BC2" s="84">
        <f>SUMIFS(RM_PM_Quantity[Quantity],RM_PM_Quantity[Date],BC$1,RM_PM_Quantity[Location],$D2,RM_PM_Quantity[Section],$C2,RM_PM_Quantity[RM Name],$E2)+IF($D2="MIND/Pre-Production",SUMIFS(RM_PM_Quantity[Quantity],RM_PM_Quantity[Date],BC$1,RM_PM_Quantity[Location],"MIDC/Pre-Production",RM_PM_Quantity[Section],$C2,RM_PM_Quantity[RM Name],$E2),0)</f>
        <v>0</v>
      </c>
      <c r="BD2" s="84">
        <f>SUMIFS(RM_PM_Quantity[Quantity],RM_PM_Quantity[Date],BD$1,RM_PM_Quantity[Location],$D2,RM_PM_Quantity[Section],$C2,RM_PM_Quantity[RM Name],$E2)+IF($D2="MIND/Pre-Production",SUMIFS(RM_PM_Quantity[Quantity],RM_PM_Quantity[Date],BD$1,RM_PM_Quantity[Location],"MIDC/Pre-Production",RM_PM_Quantity[Section],$C2,RM_PM_Quantity[RM Name],$E2),0)</f>
        <v>0</v>
      </c>
      <c r="BE2" s="84">
        <f>SUMIFS(RM_PM_Quantity[Quantity],RM_PM_Quantity[Date],BE$1,RM_PM_Quantity[Location],$D2,RM_PM_Quantity[Section],$C2,RM_PM_Quantity[RM Name],$E2)+IF($D2="MIND/Pre-Production",SUMIFS(RM_PM_Quantity[Quantity],RM_PM_Quantity[Date],BE$1,RM_PM_Quantity[Location],"MIDC/Pre-Production",RM_PM_Quantity[Section],$C2,RM_PM_Quantity[RM Name],$E2),0)</f>
        <v>0</v>
      </c>
      <c r="BF2" s="84">
        <f>SUMIFS(RM_PM_Quantity[Quantity],RM_PM_Quantity[Date],BF$1,RM_PM_Quantity[Location],$D2,RM_PM_Quantity[Section],$C2,RM_PM_Quantity[RM Name],$E2)+IF($D2="MIND/Pre-Production",SUMIFS(RM_PM_Quantity[Quantity],RM_PM_Quantity[Date],BF$1,RM_PM_Quantity[Location],"MIDC/Pre-Production",RM_PM_Quantity[Section],$C2,RM_PM_Quantity[RM Name],$E2),0)</f>
        <v>0</v>
      </c>
      <c r="BG2" s="84">
        <f>SUMIFS(RM_PM_Quantity[Quantity],RM_PM_Quantity[Date],BG$1,RM_PM_Quantity[Location],$D2,RM_PM_Quantity[Section],$C2,RM_PM_Quantity[RM Name],$E2)+IF($D2="MIND/Pre-Production",SUMIFS(RM_PM_Quantity[Quantity],RM_PM_Quantity[Date],BG$1,RM_PM_Quantity[Location],"MIDC/Pre-Production",RM_PM_Quantity[Section],$C2,RM_PM_Quantity[RM Name],$E2),0)</f>
        <v>0</v>
      </c>
      <c r="BH2" s="84">
        <f>SUMIFS(RM_PM_Quantity[Quantity],RM_PM_Quantity[Date],BH$1,RM_PM_Quantity[Location],$D2,RM_PM_Quantity[Section],$C2,RM_PM_Quantity[RM Name],$E2)+IF($D2="MIND/Pre-Production",SUMIFS(RM_PM_Quantity[Quantity],RM_PM_Quantity[Date],BH$1,RM_PM_Quantity[Location],"MIDC/Pre-Production",RM_PM_Quantity[Section],$C2,RM_PM_Quantity[RM Name],$E2),0)</f>
        <v>0</v>
      </c>
      <c r="BI2" s="84">
        <f>SUMIFS(RM_PM_Quantity[Quantity],RM_PM_Quantity[Date],BI$1,RM_PM_Quantity[Location],$D2,RM_PM_Quantity[Section],$C2,RM_PM_Quantity[RM Name],$E2)+IF($D2="MIND/Pre-Production",SUMIFS(RM_PM_Quantity[Quantity],RM_PM_Quantity[Date],BI$1,RM_PM_Quantity[Location],"MIDC/Pre-Production",RM_PM_Quantity[Section],$C2,RM_PM_Quantity[RM Name],$E2),0)</f>
        <v>0</v>
      </c>
      <c r="BJ2" s="84">
        <f>SUMIFS(RM_PM_Quantity[Quantity],RM_PM_Quantity[Date],BJ$1,RM_PM_Quantity[Location],$D2,RM_PM_Quantity[Section],$C2,RM_PM_Quantity[RM Name],$E2)+IF($D2="MIND/Pre-Production",SUMIFS(RM_PM_Quantity[Quantity],RM_PM_Quantity[Date],BJ$1,RM_PM_Quantity[Location],"MIDC/Pre-Production",RM_PM_Quantity[Section],$C2,RM_PM_Quantity[RM Name],$E2),0)</f>
        <v>0</v>
      </c>
      <c r="BK2" s="84">
        <f>SUMIFS(RM_PM_Quantity[Quantity],RM_PM_Quantity[Date],BK$1,RM_PM_Quantity[Location],$D2,RM_PM_Quantity[Section],$C2,RM_PM_Quantity[RM Name],$E2)+IF($D2="MIND/Pre-Production",SUMIFS(RM_PM_Quantity[Quantity],RM_PM_Quantity[Date],BK$1,RM_PM_Quantity[Location],"MIDC/Pre-Production",RM_PM_Quantity[Section],$C2,RM_PM_Quantity[RM Name],$E2),0)</f>
        <v>0</v>
      </c>
      <c r="BL2" s="84">
        <f>SUMIFS(RM_PM_Quantity[Quantity],RM_PM_Quantity[Date],BL$1,RM_PM_Quantity[Location],$D2,RM_PM_Quantity[Section],$C2,RM_PM_Quantity[RM Name],$E2)+IF($D2="MIND/Pre-Production",SUMIFS(RM_PM_Quantity[Quantity],RM_PM_Quantity[Date],BL$1,RM_PM_Quantity[Location],"MIDC/Pre-Production",RM_PM_Quantity[Section],$C2,RM_PM_Quantity[RM Name],$E2),0)</f>
        <v>0</v>
      </c>
      <c r="BM2" s="84">
        <f>SUMIFS(RM_PM_Quantity[Quantity],RM_PM_Quantity[Date],BM$1,RM_PM_Quantity[Location],$D2,RM_PM_Quantity[Section],$C2,RM_PM_Quantity[RM Name],$E2)+IF($D2="MIND/Pre-Production",SUMIFS(RM_PM_Quantity[Quantity],RM_PM_Quantity[Date],BM$1,RM_PM_Quantity[Location],"MIDC/Pre-Production",RM_PM_Quantity[Section],$C2,RM_PM_Quantity[RM Name],$E2),0)</f>
        <v>0</v>
      </c>
      <c r="BN2" s="84">
        <f>SUMIFS(RM_PM_Quantity[Quantity],RM_PM_Quantity[Date],BN$1,RM_PM_Quantity[Location],$D2,RM_PM_Quantity[Section],$C2,RM_PM_Quantity[RM Name],$E2)+IF($D2="MIND/Pre-Production",SUMIFS(RM_PM_Quantity[Quantity],RM_PM_Quantity[Date],BN$1,RM_PM_Quantity[Location],"MIDC/Pre-Production",RM_PM_Quantity[Section],$C2,RM_PM_Quantity[RM Name],$E2),0)</f>
        <v>0</v>
      </c>
      <c r="BO2" s="84">
        <f>SUMIFS(RM_PM_Quantity[Quantity],RM_PM_Quantity[Date],BO$1,RM_PM_Quantity[Location],$D2,RM_PM_Quantity[Section],$C2,RM_PM_Quantity[RM Name],$E2)+IF($D2="MIND/Pre-Production",SUMIFS(RM_PM_Quantity[Quantity],RM_PM_Quantity[Date],BO$1,RM_PM_Quantity[Location],"MIDC/Pre-Production",RM_PM_Quantity[Section],$C2,RM_PM_Quantity[RM Name],$E2),0)</f>
        <v>0</v>
      </c>
      <c r="BP2" s="84">
        <f>SUMIFS(RM_PM_Quantity[Quantity],RM_PM_Quantity[Date],BP$1,RM_PM_Quantity[Location],$D2,RM_PM_Quantity[Section],$C2,RM_PM_Quantity[RM Name],$E2)+IF($D2="MIND/Pre-Production",SUMIFS(RM_PM_Quantity[Quantity],RM_PM_Quantity[Date],BP$1,RM_PM_Quantity[Location],"MIDC/Pre-Production",RM_PM_Quantity[Section],$C2,RM_PM_Quantity[RM Name],$E2),0)</f>
        <v>0</v>
      </c>
      <c r="BQ2" s="84">
        <f>SUMIFS(RM_PM_Quantity[Quantity],RM_PM_Quantity[Date],BQ$1,RM_PM_Quantity[Location],$D2,RM_PM_Quantity[Section],$C2,RM_PM_Quantity[RM Name],$E2)+IF($D2="MIND/Pre-Production",SUMIFS(RM_PM_Quantity[Quantity],RM_PM_Quantity[Date],BQ$1,RM_PM_Quantity[Location],"MIDC/Pre-Production",RM_PM_Quantity[Section],$C2,RM_PM_Quantity[RM Name],$E2),0)</f>
        <v>0</v>
      </c>
      <c r="BR2" s="84">
        <f>SUMIFS(RM_PM_Quantity[Quantity],RM_PM_Quantity[Date],BR$1,RM_PM_Quantity[Location],$D2,RM_PM_Quantity[Section],$C2,RM_PM_Quantity[RM Name],$E2)+IF($D2="MIND/Pre-Production",SUMIFS(RM_PM_Quantity[Quantity],RM_PM_Quantity[Date],BR$1,RM_PM_Quantity[Location],"MIDC/Pre-Production",RM_PM_Quantity[Section],$C2,RM_PM_Quantity[RM Name],$E2),0)</f>
        <v>0</v>
      </c>
      <c r="BS2" s="84">
        <f>SUMIFS(RM_PM_Quantity[Quantity],RM_PM_Quantity[Date],BS$1,RM_PM_Quantity[Location],$D2,RM_PM_Quantity[Section],$C2,RM_PM_Quantity[RM Name],$E2)+IF($D2="MIND/Pre-Production",SUMIFS(RM_PM_Quantity[Quantity],RM_PM_Quantity[Date],BS$1,RM_PM_Quantity[Location],"MIDC/Pre-Production",RM_PM_Quantity[Section],$C2,RM_PM_Quantity[RM Name],$E2),0)</f>
        <v>0</v>
      </c>
      <c r="BT2" s="84">
        <f>SUMIFS(RM_PM_Quantity[ID],RM_PM_Quantity[Location],BT$1,RM_PM_Quantity[Section],$D2,RM_PM_Quantity[RM Name],$C2,RM_PM_Quantity[Quantity],$E2)+IF($D2="MIND/Pre-Production",SUMIFS(RM_PM_Quantity[ID],RM_PM_Quantity[Location],BT$1,RM_PM_Quantity[Section],"MIDC/Pre-Production",RM_PM_Quantity[RM Name],$C2,RM_PM_Quantity[Quantity],$E2),0)</f>
        <v>0</v>
      </c>
      <c r="BU2" s="84">
        <f>SUMIFS(RM_PM_Quantity[Name of Supervisor],RM_PM_Quantity[Section],BU$1,RM_PM_Quantity[RM Name],$D2,RM_PM_Quantity[Quantity],$C2,RM_PM_Quantity[ID],$E2)+IF($D2="MIND/Pre-Production",SUMIFS(RM_PM_Quantity[Name of Supervisor],RM_PM_Quantity[Section],BU$1,RM_PM_Quantity[RM Name],"MIDC/Pre-Production",RM_PM_Quantity[Quantity],$C2,RM_PM_Quantity[ID],$E2),0)</f>
        <v>0</v>
      </c>
      <c r="BV2" s="84">
        <f>SUMIFS(RM_PM_Quantity[Date],RM_PM_Quantity[RM Name],BV$1,RM_PM_Quantity[Quantity],$D2,RM_PM_Quantity[ID],$C2,RM_PM_Quantity[Name of Supervisor],$E2)+IF($D2="MIND/Pre-Production",SUMIFS(RM_PM_Quantity[Date],RM_PM_Quantity[RM Name],BV$1,RM_PM_Quantity[Quantity],"MIDC/Pre-Production",RM_PM_Quantity[ID],$C2,RM_PM_Quantity[Name of Supervisor],$E2),0)</f>
        <v>0</v>
      </c>
      <c r="BW2" s="84">
        <f>SUMIFS(RM_PM_Quantity[Location],RM_PM_Quantity[Quantity],BW$1,RM_PM_Quantity[ID],$D2,RM_PM_Quantity[Name of Supervisor],$C2,RM_PM_Quantity[Date],$E2)+IF($D2="MIND/Pre-Production",SUMIFS(RM_PM_Quantity[Location],RM_PM_Quantity[Quantity],BW$1,RM_PM_Quantity[ID],"MIDC/Pre-Production",RM_PM_Quantity[Name of Supervisor],$C2,RM_PM_Quantity[Date],$E2),0)</f>
        <v>0</v>
      </c>
      <c r="BX2" s="84">
        <f>SUMIFS(RM_PM_Quantity[Section],RM_PM_Quantity[ID],BX$1,RM_PM_Quantity[Name of Supervisor],$D2,RM_PM_Quantity[Date],$C2,RM_PM_Quantity[Location],$E2)+IF($D2="MIND/Pre-Production",SUMIFS(RM_PM_Quantity[Section],RM_PM_Quantity[ID],BX$1,RM_PM_Quantity[Name of Supervisor],"MIDC/Pre-Production",RM_PM_Quantity[Date],$C2,RM_PM_Quantity[Location],$E2),0)</f>
        <v>0</v>
      </c>
      <c r="BY2" s="84">
        <f>SUMIFS(RM_PM_Quantity[RM Name],RM_PM_Quantity[Name of Supervisor],BY$1,RM_PM_Quantity[Date],$D2,RM_PM_Quantity[Location],$C2,RM_PM_Quantity[Section],$E2)+IF($D2="MIND/Pre-Production",SUMIFS(RM_PM_Quantity[RM Name],RM_PM_Quantity[Name of Supervisor],BY$1,RM_PM_Quantity[Date],"MIDC/Pre-Production",RM_PM_Quantity[Location],$C2,RM_PM_Quantity[Section],$E2),0)</f>
        <v>0</v>
      </c>
    </row>
    <row r="3" spans="1:77" ht="45.75" customHeight="1">
      <c r="A3" s="79">
        <v>2</v>
      </c>
      <c r="B3" s="79" t="s">
        <v>56</v>
      </c>
      <c r="C3" s="80" t="s">
        <v>53</v>
      </c>
      <c r="D3" s="81" t="s">
        <v>54</v>
      </c>
      <c r="E3" s="86" t="s">
        <v>57</v>
      </c>
      <c r="F3" s="83">
        <f>IFERROR(_xlfn.XLOOKUP(B3,'[1]RM Tracker'!B:B,'[1]RM Tracker'!E:E),"0")</f>
        <v>420.48599999999988</v>
      </c>
      <c r="G3" s="85">
        <f t="shared" ref="G3:G60" si="2">IFERROR(SUM(AV3:BY3),"")</f>
        <v>0</v>
      </c>
      <c r="H3" s="85">
        <f t="shared" si="0"/>
        <v>-420.48599999999988</v>
      </c>
      <c r="I3" s="91">
        <f t="shared" si="1"/>
        <v>0</v>
      </c>
      <c r="J3" s="84">
        <f>SUMIFS(RM_PM_Quantity[Quantity],RM_PM_Quantity[Date],J$1,RM_PM_Quantity[Location],$D3,RM_PM_Quantity[Section],$C3,RM_PM_Quantity[RM Name],$E3)+IF($D3="MIND/Pre-Production",SUMIFS(RM_PM_Quantity[Quantity],RM_PM_Quantity[Date],J$1,RM_PM_Quantity[Location],"MIDC/Pre-Production",RM_PM_Quantity[Section],$C3,RM_PM_Quantity[RM Name],$E3),0)</f>
        <v>0</v>
      </c>
      <c r="K3" s="84">
        <f>SUMIFS(RM_PM_Quantity[Quantity],RM_PM_Quantity[Date],K$1,RM_PM_Quantity[Location],$D3,RM_PM_Quantity[Section],$C3,RM_PM_Quantity[RM Name],$E3)+IF($D3="MIND/Pre-Production",SUMIFS(RM_PM_Quantity[Quantity],RM_PM_Quantity[Date],K$1,RM_PM_Quantity[Location],"MIDC/Pre-Production",RM_PM_Quantity[Section],$C3,RM_PM_Quantity[RM Name],$E3),0)</f>
        <v>0</v>
      </c>
      <c r="L3" s="84">
        <f>SUMIFS(RM_PM_Quantity[Quantity],RM_PM_Quantity[Date],L$1,RM_PM_Quantity[Location],$D3,RM_PM_Quantity[Section],$C3,RM_PM_Quantity[RM Name],$E3)+IF($D3="MIND/Pre-Production",SUMIFS(RM_PM_Quantity[Quantity],RM_PM_Quantity[Date],L$1,RM_PM_Quantity[Location],"MIDC/Pre-Production",RM_PM_Quantity[Section],$C3,RM_PM_Quantity[RM Name],$E3),0)</f>
        <v>0</v>
      </c>
      <c r="M3" s="84">
        <f>SUMIFS(RM_PM_Quantity[Quantity],RM_PM_Quantity[Date],M$1,RM_PM_Quantity[Location],$D3,RM_PM_Quantity[Section],$C3,RM_PM_Quantity[RM Name],$E3)+IF($D3="MIND/Pre-Production",SUMIFS(RM_PM_Quantity[Quantity],RM_PM_Quantity[Date],M$1,RM_PM_Quantity[Location],"MIDC/Pre-Production",RM_PM_Quantity[Section],$C3,RM_PM_Quantity[RM Name],$E3),0)</f>
        <v>0</v>
      </c>
      <c r="N3" s="84">
        <f>SUMIFS(RM_PM_Quantity[Quantity],RM_PM_Quantity[Date],N$1,RM_PM_Quantity[Location],$D3,RM_PM_Quantity[Section],$C3,RM_PM_Quantity[RM Name],$E3)+IF($D3="MIND/Pre-Production",SUMIFS(RM_PM_Quantity[Quantity],RM_PM_Quantity[Date],N$1,RM_PM_Quantity[Location],"MIDC/Pre-Production",RM_PM_Quantity[Section],$C3,RM_PM_Quantity[RM Name],$E3),0)</f>
        <v>0</v>
      </c>
      <c r="O3" s="84">
        <f>SUMIFS(RM_PM_Quantity[Quantity],RM_PM_Quantity[Date],O$1,RM_PM_Quantity[Location],$D3,RM_PM_Quantity[Section],$C3,RM_PM_Quantity[RM Name],$E3)+IF($D3="MIND/Pre-Production",SUMIFS(RM_PM_Quantity[Quantity],RM_PM_Quantity[Date],O$1,RM_PM_Quantity[Location],"MIDC/Pre-Production",RM_PM_Quantity[Section],$C3,RM_PM_Quantity[RM Name],$E3),0)</f>
        <v>0</v>
      </c>
      <c r="P3" s="84">
        <f>SUMIFS(RM_PM_Quantity[Quantity],RM_PM_Quantity[Date],P$1,RM_PM_Quantity[Location],$D3,RM_PM_Quantity[Section],$C3,RM_PM_Quantity[RM Name],$E3)+IF($D3="MIND/Pre-Production",SUMIFS(RM_PM_Quantity[Quantity],RM_PM_Quantity[Date],P$1,RM_PM_Quantity[Location],"MIDC/Pre-Production",RM_PM_Quantity[Section],$C3,RM_PM_Quantity[RM Name],$E3),0)</f>
        <v>0</v>
      </c>
      <c r="Q3" s="84">
        <f>SUMIFS(RM_PM_Quantity[Quantity],RM_PM_Quantity[Date],Q$1,RM_PM_Quantity[Location],$D3,RM_PM_Quantity[Section],$C3,RM_PM_Quantity[RM Name],$E3)+IF($D3="MIND/Pre-Production",SUMIFS(RM_PM_Quantity[Quantity],RM_PM_Quantity[Date],Q$1,RM_PM_Quantity[Location],"MIDC/Pre-Production",RM_PM_Quantity[Section],$C3,RM_PM_Quantity[RM Name],$E3),0)</f>
        <v>0</v>
      </c>
      <c r="R3" s="84">
        <f>SUMIFS(RM_PM_Quantity[Quantity],RM_PM_Quantity[Date],R$1,RM_PM_Quantity[Location],$D3,RM_PM_Quantity[Section],$C3,RM_PM_Quantity[RM Name],$E3)+IF($D3="MIND/Pre-Production",SUMIFS(RM_PM_Quantity[Quantity],RM_PM_Quantity[Date],R$1,RM_PM_Quantity[Location],"MIDC/Pre-Production",RM_PM_Quantity[Section],$C3,RM_PM_Quantity[RM Name],$E3),0)</f>
        <v>0</v>
      </c>
      <c r="S3" s="84">
        <f>SUMIFS(RM_PM_Quantity[Quantity],RM_PM_Quantity[Date],S$1,RM_PM_Quantity[Location],$D3,RM_PM_Quantity[Section],$C3,RM_PM_Quantity[RM Name],$E3)+IF($D3="MIND/Pre-Production",SUMIFS(RM_PM_Quantity[Quantity],RM_PM_Quantity[Date],S$1,RM_PM_Quantity[Location],"MIDC/Pre-Production",RM_PM_Quantity[Section],$C3,RM_PM_Quantity[RM Name],$E3),0)</f>
        <v>0</v>
      </c>
      <c r="T3" s="84">
        <f>SUMIFS(RM_PM_Quantity[Quantity],RM_PM_Quantity[Date],T$1,RM_PM_Quantity[Location],$D3,RM_PM_Quantity[Section],$C3,RM_PM_Quantity[RM Name],$E3)+IF($D3="MIND/Pre-Production",SUMIFS(RM_PM_Quantity[Quantity],RM_PM_Quantity[Date],T$1,RM_PM_Quantity[Location],"MIDC/Pre-Production",RM_PM_Quantity[Section],$C3,RM_PM_Quantity[RM Name],$E3),0)</f>
        <v>0</v>
      </c>
      <c r="U3" s="84">
        <f>SUMIFS(RM_PM_Quantity[Quantity],RM_PM_Quantity[Date],U$1,RM_PM_Quantity[Location],$D3,RM_PM_Quantity[Section],$C3,RM_PM_Quantity[RM Name],$E3)+IF($D3="MIND/Pre-Production",SUMIFS(RM_PM_Quantity[Quantity],RM_PM_Quantity[Date],U$1,RM_PM_Quantity[Location],"MIDC/Pre-Production",RM_PM_Quantity[Section],$C3,RM_PM_Quantity[RM Name],$E3),0)</f>
        <v>0</v>
      </c>
      <c r="V3" s="84">
        <f>SUMIFS(RM_PM_Quantity[Quantity],RM_PM_Quantity[Date],V$1,RM_PM_Quantity[Location],$D3,RM_PM_Quantity[Section],$C3,RM_PM_Quantity[RM Name],$E3)+IF($D3="MIND/Pre-Production",SUMIFS(RM_PM_Quantity[Quantity],RM_PM_Quantity[Date],V$1,RM_PM_Quantity[Location],"MIDC/Pre-Production",RM_PM_Quantity[Section],$C3,RM_PM_Quantity[RM Name],$E3),0)</f>
        <v>0</v>
      </c>
      <c r="W3" s="84">
        <f>SUMIFS(RM_PM_Quantity[Quantity],RM_PM_Quantity[Date],W$1,RM_PM_Quantity[Location],$D3,RM_PM_Quantity[Section],$C3,RM_PM_Quantity[RM Name],$E3)+IF($D3="MIND/Pre-Production",SUMIFS(RM_PM_Quantity[Quantity],RM_PM_Quantity[Date],W$1,RM_PM_Quantity[Location],"MIDC/Pre-Production",RM_PM_Quantity[Section],$C3,RM_PM_Quantity[RM Name],$E3),0)</f>
        <v>0</v>
      </c>
      <c r="X3" s="84">
        <f>SUMIFS(RM_PM_Quantity[Quantity],RM_PM_Quantity[Date],X$1,RM_PM_Quantity[Location],$D3,RM_PM_Quantity[Section],$C3,RM_PM_Quantity[RM Name],$E3)+IF($D3="MIND/Pre-Production",SUMIFS(RM_PM_Quantity[Quantity],RM_PM_Quantity[Date],X$1,RM_PM_Quantity[Location],"MIDC/Pre-Production",RM_PM_Quantity[Section],$C3,RM_PM_Quantity[RM Name],$E3),0)</f>
        <v>0</v>
      </c>
      <c r="Y3" s="84">
        <f>SUMIFS(RM_PM_Quantity[Quantity],RM_PM_Quantity[Date],Y$1,RM_PM_Quantity[Location],$D3,RM_PM_Quantity[Section],$C3,RM_PM_Quantity[RM Name],$E3)+IF($D3="MIND/Pre-Production",SUMIFS(RM_PM_Quantity[Quantity],RM_PM_Quantity[Date],Y$1,RM_PM_Quantity[Location],"MIDC/Pre-Production",RM_PM_Quantity[Section],$C3,RM_PM_Quantity[RM Name],$E3),0)</f>
        <v>0</v>
      </c>
      <c r="Z3" s="84">
        <f>SUMIFS(RM_PM_Quantity[Quantity],RM_PM_Quantity[Date],Z$1,RM_PM_Quantity[Location],$D3,RM_PM_Quantity[Section],$C3,RM_PM_Quantity[RM Name],$E3)+IF($D3="MIND/Pre-Production",SUMIFS(RM_PM_Quantity[Quantity],RM_PM_Quantity[Date],Z$1,RM_PM_Quantity[Location],"MIDC/Pre-Production",RM_PM_Quantity[Section],$C3,RM_PM_Quantity[RM Name],$E3),0)</f>
        <v>0</v>
      </c>
      <c r="AA3" s="84">
        <f>SUMIFS(RM_PM_Quantity[Quantity],RM_PM_Quantity[Date],AA$1,RM_PM_Quantity[Location],$D3,RM_PM_Quantity[Section],$C3,RM_PM_Quantity[RM Name],$E3)+IF($D3="MIND/Pre-Production",SUMIFS(RM_PM_Quantity[Quantity],RM_PM_Quantity[Date],AA$1,RM_PM_Quantity[Location],"MIDC/Pre-Production",RM_PM_Quantity[Section],$C3,RM_PM_Quantity[RM Name],$E3),0)</f>
        <v>0</v>
      </c>
      <c r="AB3" s="84">
        <f>SUMIFS(RM_PM_Quantity[Quantity],RM_PM_Quantity[Date],AB$1,RM_PM_Quantity[Location],$D3,RM_PM_Quantity[Section],$C3,RM_PM_Quantity[RM Name],$E3)+IF($D3="MIND/Pre-Production",SUMIFS(RM_PM_Quantity[Quantity],RM_PM_Quantity[Date],AB$1,RM_PM_Quantity[Location],"MIDC/Pre-Production",RM_PM_Quantity[Section],$C3,RM_PM_Quantity[RM Name],$E3),0)</f>
        <v>0</v>
      </c>
      <c r="AC3" s="84">
        <f>SUMIFS(RM_PM_Quantity[Quantity],RM_PM_Quantity[Date],AC$1,RM_PM_Quantity[Location],$D3,RM_PM_Quantity[Section],$C3,RM_PM_Quantity[RM Name],$E3)+IF($D3="MIND/Pre-Production",SUMIFS(RM_PM_Quantity[Quantity],RM_PM_Quantity[Date],AC$1,RM_PM_Quantity[Location],"MIDC/Pre-Production",RM_PM_Quantity[Section],$C3,RM_PM_Quantity[RM Name],$E3),0)</f>
        <v>0</v>
      </c>
      <c r="AD3" s="84">
        <f>SUMIFS(RM_PM_Quantity[Quantity],RM_PM_Quantity[Date],AD$1,RM_PM_Quantity[Location],$D3,RM_PM_Quantity[Section],$C3,RM_PM_Quantity[RM Name],$E3)+IF($D3="MIND/Pre-Production",SUMIFS(RM_PM_Quantity[Quantity],RM_PM_Quantity[Date],AD$1,RM_PM_Quantity[Location],"MIDC/Pre-Production",RM_PM_Quantity[Section],$C3,RM_PM_Quantity[RM Name],$E3),0)</f>
        <v>0</v>
      </c>
      <c r="AE3" s="84">
        <f>SUMIFS(RM_PM_Quantity[Quantity],RM_PM_Quantity[Date],AE$1,RM_PM_Quantity[Location],$D3,RM_PM_Quantity[Section],$C3,RM_PM_Quantity[RM Name],$E3)+IF($D3="MIND/Pre-Production",SUMIFS(RM_PM_Quantity[Quantity],RM_PM_Quantity[Date],AE$1,RM_PM_Quantity[Location],"MIDC/Pre-Production",RM_PM_Quantity[Section],$C3,RM_PM_Quantity[RM Name],$E3),0)</f>
        <v>0</v>
      </c>
      <c r="AF3" s="84">
        <f>SUMIFS(RM_PM_Quantity[Quantity],RM_PM_Quantity[Date],AF$1,RM_PM_Quantity[Location],$D3,RM_PM_Quantity[Section],$C3,RM_PM_Quantity[RM Name],$E3)+IF($D3="MIND/Pre-Production",SUMIFS(RM_PM_Quantity[Quantity],RM_PM_Quantity[Date],AF$1,RM_PM_Quantity[Location],"MIDC/Pre-Production",RM_PM_Quantity[Section],$C3,RM_PM_Quantity[RM Name],$E3),0)</f>
        <v>0</v>
      </c>
      <c r="AG3" s="84">
        <f>SUMIFS(RM_PM_Quantity[Quantity],RM_PM_Quantity[Date],AG$1,RM_PM_Quantity[Location],$D3,RM_PM_Quantity[Section],$C3,RM_PM_Quantity[RM Name],$E3)+IF($D3="MIND/Pre-Production",SUMIFS(RM_PM_Quantity[Quantity],RM_PM_Quantity[Date],AG$1,RM_PM_Quantity[Location],"MIDC/Pre-Production",RM_PM_Quantity[Section],$C3,RM_PM_Quantity[RM Name],$E3),0)</f>
        <v>0</v>
      </c>
      <c r="AH3" s="84">
        <f>SUMIFS(RM_PM_Quantity[Quantity],RM_PM_Quantity[Date],AH$1,RM_PM_Quantity[Location],$D3,RM_PM_Quantity[Section],$C3,RM_PM_Quantity[RM Name],$E3)+IF($D3="MIND/Pre-Production",SUMIFS(RM_PM_Quantity[Quantity],RM_PM_Quantity[Date],AH$1,RM_PM_Quantity[Location],"MIDC/Pre-Production",RM_PM_Quantity[Section],$C3,RM_PM_Quantity[RM Name],$E3),0)</f>
        <v>0</v>
      </c>
      <c r="AI3" s="84">
        <f>SUMIFS(RM_PM_Quantity[Quantity],RM_PM_Quantity[Date],AI$1,RM_PM_Quantity[Location],$D3,RM_PM_Quantity[Section],$C3,RM_PM_Quantity[RM Name],$E3)+IF($D3="MIND/Pre-Production",SUMIFS(RM_PM_Quantity[Quantity],RM_PM_Quantity[Date],AI$1,RM_PM_Quantity[Location],"MIDC/Pre-Production",RM_PM_Quantity[Section],$C3,RM_PM_Quantity[RM Name],$E3),0)</f>
        <v>0</v>
      </c>
      <c r="AJ3" s="84">
        <f>SUMIFS(RM_PM_Quantity[Quantity],RM_PM_Quantity[Date],AJ$1,RM_PM_Quantity[Location],$D3,RM_PM_Quantity[Section],$C3,RM_PM_Quantity[RM Name],$E3)+IF($D3="MIND/Pre-Production",SUMIFS(RM_PM_Quantity[Quantity],RM_PM_Quantity[Date],AJ$1,RM_PM_Quantity[Location],"MIDC/Pre-Production",RM_PM_Quantity[Section],$C3,RM_PM_Quantity[RM Name],$E3),0)</f>
        <v>0</v>
      </c>
      <c r="AK3" s="84">
        <f>SUMIFS(RM_PM_Quantity[Quantity],RM_PM_Quantity[Date],AK$1,RM_PM_Quantity[Location],$D3,RM_PM_Quantity[Section],$C3,RM_PM_Quantity[RM Name],$E3)+IF($D3="MIND/Pre-Production",SUMIFS(RM_PM_Quantity[Quantity],RM_PM_Quantity[Date],AK$1,RM_PM_Quantity[Location],"MIDC/Pre-Production",RM_PM_Quantity[Section],$C3,RM_PM_Quantity[RM Name],$E3),0)</f>
        <v>0</v>
      </c>
      <c r="AL3" s="84">
        <f>SUMIFS(RM_PM_Quantity[Quantity],RM_PM_Quantity[Date],AL$1,RM_PM_Quantity[Location],$D3,RM_PM_Quantity[Section],$C3,RM_PM_Quantity[RM Name],$E3)+IF($D3="MIND/Pre-Production",SUMIFS(RM_PM_Quantity[Quantity],RM_PM_Quantity[Date],AL$1,RM_PM_Quantity[Location],"MIDC/Pre-Production",RM_PM_Quantity[Section],$C3,RM_PM_Quantity[RM Name],$E3),0)</f>
        <v>0</v>
      </c>
      <c r="AM3" s="84">
        <f>SUMIFS(RM_PM_Quantity[Quantity],RM_PM_Quantity[Date],AM$1,RM_PM_Quantity[Location],$D3,RM_PM_Quantity[Section],$C3,RM_PM_Quantity[RM Name],$E3)+IF($D3="MIND/Pre-Production",SUMIFS(RM_PM_Quantity[Quantity],RM_PM_Quantity[Date],AM$1,RM_PM_Quantity[Location],"MIDC/Pre-Production",RM_PM_Quantity[Section],$C3,RM_PM_Quantity[RM Name],$E3),0)</f>
        <v>0</v>
      </c>
      <c r="AN3" s="84">
        <f>SUMIFS(RM_PM_Quantity[Quantity],RM_PM_Quantity[Date],AN$1,RM_PM_Quantity[Location],$D3,RM_PM_Quantity[Section],$C3,RM_PM_Quantity[RM Name],$E3)+IF($D3="MIND/Pre-Production",SUMIFS(RM_PM_Quantity[Quantity],RM_PM_Quantity[Date],AN$1,RM_PM_Quantity[Location],"MIDC/Pre-Production",RM_PM_Quantity[Section],$C3,RM_PM_Quantity[RM Name],$E3),0)</f>
        <v>0</v>
      </c>
      <c r="AO3" s="84">
        <f>SUMIFS(RM_PM_Quantity[Quantity],RM_PM_Quantity[Date],AO$1,RM_PM_Quantity[Location],$D3,RM_PM_Quantity[Section],$C3,RM_PM_Quantity[RM Name],$E3)+IF($D3="MIND/Pre-Production",SUMIFS(RM_PM_Quantity[Quantity],RM_PM_Quantity[Date],AO$1,RM_PM_Quantity[Location],"MIDC/Pre-Production",RM_PM_Quantity[Section],$C3,RM_PM_Quantity[RM Name],$E3),0)</f>
        <v>0</v>
      </c>
      <c r="AP3" s="84">
        <f>SUMIFS(RM_PM_Quantity[Quantity],RM_PM_Quantity[Date],AP$1,RM_PM_Quantity[Location],$D3,RM_PM_Quantity[Section],$C3,RM_PM_Quantity[RM Name],$E3)+IF($D3="MIND/Pre-Production",SUMIFS(RM_PM_Quantity[Quantity],RM_PM_Quantity[Date],AP$1,RM_PM_Quantity[Location],"MIDC/Pre-Production",RM_PM_Quantity[Section],$C3,RM_PM_Quantity[RM Name],$E3),0)</f>
        <v>0</v>
      </c>
      <c r="AQ3" s="84">
        <f>SUMIFS(RM_PM_Quantity[Quantity],RM_PM_Quantity[Date],AQ$1,RM_PM_Quantity[Location],$D3,RM_PM_Quantity[Section],$C3,RM_PM_Quantity[RM Name],$E3)+IF($D3="MIND/Pre-Production",SUMIFS(RM_PM_Quantity[Quantity],RM_PM_Quantity[Date],AQ$1,RM_PM_Quantity[Location],"MIDC/Pre-Production",RM_PM_Quantity[Section],$C3,RM_PM_Quantity[RM Name],$E3),0)</f>
        <v>0</v>
      </c>
      <c r="AR3" s="84">
        <f>SUMIFS(RM_PM_Quantity[Quantity],RM_PM_Quantity[Date],AR$1,RM_PM_Quantity[Location],$D3,RM_PM_Quantity[Section],$C3,RM_PM_Quantity[RM Name],$E3)+IF($D3="MIND/Pre-Production",SUMIFS(RM_PM_Quantity[Quantity],RM_PM_Quantity[Date],AR$1,RM_PM_Quantity[Location],"MIDC/Pre-Production",RM_PM_Quantity[Section],$C3,RM_PM_Quantity[RM Name],$E3),0)</f>
        <v>0</v>
      </c>
      <c r="AS3" s="84">
        <f>SUMIFS(RM_PM_Quantity[Quantity],RM_PM_Quantity[Date],AS$1,RM_PM_Quantity[Location],$D3,RM_PM_Quantity[Section],$C3,RM_PM_Quantity[RM Name],$E3)+IF($D3="MIND/Pre-Production",SUMIFS(RM_PM_Quantity[Quantity],RM_PM_Quantity[Date],AS$1,RM_PM_Quantity[Location],"MIDC/Pre-Production",RM_PM_Quantity[Section],$C3,RM_PM_Quantity[RM Name],$E3),0)</f>
        <v>0</v>
      </c>
      <c r="AT3" s="84">
        <f>SUMIFS(RM_PM_Quantity[Quantity],RM_PM_Quantity[Date],AT$1,RM_PM_Quantity[Location],$D3,RM_PM_Quantity[Section],$C3,RM_PM_Quantity[RM Name],$E3)+IF($D3="MIND/Pre-Production",SUMIFS(RM_PM_Quantity[Quantity],RM_PM_Quantity[Date],AT$1,RM_PM_Quantity[Location],"MIDC/Pre-Production",RM_PM_Quantity[Section],$C3,RM_PM_Quantity[RM Name],$E3),0)</f>
        <v>0</v>
      </c>
      <c r="AU3" s="84">
        <f>SUMIFS(RM_PM_Quantity[Quantity],RM_PM_Quantity[Date],AU$1,RM_PM_Quantity[Location],$D3,RM_PM_Quantity[Section],$C3,RM_PM_Quantity[RM Name],$E3)+IF($D3="MIND/Pre-Production",SUMIFS(RM_PM_Quantity[Quantity],RM_PM_Quantity[Date],AU$1,RM_PM_Quantity[Location],"MIDC/Pre-Production",RM_PM_Quantity[Section],$C3,RM_PM_Quantity[RM Name],$E3),0)</f>
        <v>0</v>
      </c>
      <c r="AV3" s="84">
        <f>SUMIFS(RM_PM_Quantity[Quantity],RM_PM_Quantity[Date],AV$1,RM_PM_Quantity[Location],$D3,RM_PM_Quantity[Section],$C3,RM_PM_Quantity[RM Name],$E3)+IF($D3="MIND/Pre-Production",SUMIFS(RM_PM_Quantity[Quantity],RM_PM_Quantity[Date],AV$1,RM_PM_Quantity[Location],"MIDC/Pre-Production",RM_PM_Quantity[Section],$C3,RM_PM_Quantity[RM Name],$E3),0)</f>
        <v>0</v>
      </c>
      <c r="AW3" s="84">
        <f>SUMIFS(RM_PM_Quantity[Quantity],RM_PM_Quantity[Date],AW$1,RM_PM_Quantity[Location],$D3,RM_PM_Quantity[Section],$C3,RM_PM_Quantity[RM Name],$E3)+IF($D3="MIND/Pre-Production",SUMIFS(RM_PM_Quantity[Quantity],RM_PM_Quantity[Date],AW$1,RM_PM_Quantity[Location],"MIDC/Pre-Production",RM_PM_Quantity[Section],$C3,RM_PM_Quantity[RM Name],$E3),0)</f>
        <v>0</v>
      </c>
      <c r="AX3" s="84">
        <f>SUMIFS(RM_PM_Quantity[Quantity],RM_PM_Quantity[Date],AX$1,RM_PM_Quantity[Location],$D3,RM_PM_Quantity[Section],$C3,RM_PM_Quantity[RM Name],$E3)+IF($D3="MIND/Pre-Production",SUMIFS(RM_PM_Quantity[Quantity],RM_PM_Quantity[Date],AX$1,RM_PM_Quantity[Location],"MIDC/Pre-Production",RM_PM_Quantity[Section],$C3,RM_PM_Quantity[RM Name],$E3),0)</f>
        <v>0</v>
      </c>
      <c r="AY3" s="84">
        <f>SUMIFS(RM_PM_Quantity[Quantity],RM_PM_Quantity[Date],AY$1,RM_PM_Quantity[Location],$D3,RM_PM_Quantity[Section],$C3,RM_PM_Quantity[RM Name],$E3)+IF($D3="MIND/Pre-Production",SUMIFS(RM_PM_Quantity[Quantity],RM_PM_Quantity[Date],AY$1,RM_PM_Quantity[Location],"MIDC/Pre-Production",RM_PM_Quantity[Section],$C3,RM_PM_Quantity[RM Name],$E3),0)</f>
        <v>0</v>
      </c>
      <c r="AZ3" s="84">
        <f>SUMIFS(RM_PM_Quantity[Quantity],RM_PM_Quantity[Date],AZ$1,RM_PM_Quantity[Location],$D3,RM_PM_Quantity[Section],$C3,RM_PM_Quantity[RM Name],$E3)+IF($D3="MIND/Pre-Production",SUMIFS(RM_PM_Quantity[Quantity],RM_PM_Quantity[Date],AZ$1,RM_PM_Quantity[Location],"MIDC/Pre-Production",RM_PM_Quantity[Section],$C3,RM_PM_Quantity[RM Name],$E3),0)</f>
        <v>0</v>
      </c>
      <c r="BA3" s="84">
        <f>SUMIFS(RM_PM_Quantity[Quantity],RM_PM_Quantity[Date],BA$1,RM_PM_Quantity[Location],$D3,RM_PM_Quantity[Section],$C3,RM_PM_Quantity[RM Name],$E3)+IF($D3="MIND/Pre-Production",SUMIFS(RM_PM_Quantity[Quantity],RM_PM_Quantity[Date],BA$1,RM_PM_Quantity[Location],"MIDC/Pre-Production",RM_PM_Quantity[Section],$C3,RM_PM_Quantity[RM Name],$E3),0)</f>
        <v>0</v>
      </c>
      <c r="BB3" s="84">
        <f>SUMIFS(RM_PM_Quantity[Quantity],RM_PM_Quantity[Date],BB$1,RM_PM_Quantity[Location],$D3,RM_PM_Quantity[Section],$C3,RM_PM_Quantity[RM Name],$E3)+IF($D3="MIND/Pre-Production",SUMIFS(RM_PM_Quantity[Quantity],RM_PM_Quantity[Date],BB$1,RM_PM_Quantity[Location],"MIDC/Pre-Production",RM_PM_Quantity[Section],$C3,RM_PM_Quantity[RM Name],$E3),0)</f>
        <v>0</v>
      </c>
      <c r="BC3" s="84">
        <f>SUMIFS(RM_PM_Quantity[Quantity],RM_PM_Quantity[Date],BC$1,RM_PM_Quantity[Location],$D3,RM_PM_Quantity[Section],$C3,RM_PM_Quantity[RM Name],$E3)+IF($D3="MIND/Pre-Production",SUMIFS(RM_PM_Quantity[Quantity],RM_PM_Quantity[Date],BC$1,RM_PM_Quantity[Location],"MIDC/Pre-Production",RM_PM_Quantity[Section],$C3,RM_PM_Quantity[RM Name],$E3),0)</f>
        <v>0</v>
      </c>
      <c r="BD3" s="84">
        <f>SUMIFS(RM_PM_Quantity[Quantity],RM_PM_Quantity[Date],BD$1,RM_PM_Quantity[Location],$D3,RM_PM_Quantity[Section],$C3,RM_PM_Quantity[RM Name],$E3)+IF($D3="MIND/Pre-Production",SUMIFS(RM_PM_Quantity[Quantity],RM_PM_Quantity[Date],BD$1,RM_PM_Quantity[Location],"MIDC/Pre-Production",RM_PM_Quantity[Section],$C3,RM_PM_Quantity[RM Name],$E3),0)</f>
        <v>0</v>
      </c>
      <c r="BE3" s="84">
        <f>SUMIFS(RM_PM_Quantity[Quantity],RM_PM_Quantity[Date],BE$1,RM_PM_Quantity[Location],$D3,RM_PM_Quantity[Section],$C3,RM_PM_Quantity[RM Name],$E3)+IF($D3="MIND/Pre-Production",SUMIFS(RM_PM_Quantity[Quantity],RM_PM_Quantity[Date],BE$1,RM_PM_Quantity[Location],"MIDC/Pre-Production",RM_PM_Quantity[Section],$C3,RM_PM_Quantity[RM Name],$E3),0)</f>
        <v>0</v>
      </c>
      <c r="BF3" s="84">
        <f>SUMIFS(RM_PM_Quantity[Quantity],RM_PM_Quantity[Date],BF$1,RM_PM_Quantity[Location],$D3,RM_PM_Quantity[Section],$C3,RM_PM_Quantity[RM Name],$E3)+IF($D3="MIND/Pre-Production",SUMIFS(RM_PM_Quantity[Quantity],RM_PM_Quantity[Date],BF$1,RM_PM_Quantity[Location],"MIDC/Pre-Production",RM_PM_Quantity[Section],$C3,RM_PM_Quantity[RM Name],$E3),0)</f>
        <v>0</v>
      </c>
      <c r="BG3" s="84">
        <f>SUMIFS(RM_PM_Quantity[Quantity],RM_PM_Quantity[Date],BG$1,RM_PM_Quantity[Location],$D3,RM_PM_Quantity[Section],$C3,RM_PM_Quantity[RM Name],$E3)+IF($D3="MIND/Pre-Production",SUMIFS(RM_PM_Quantity[Quantity],RM_PM_Quantity[Date],BG$1,RM_PM_Quantity[Location],"MIDC/Pre-Production",RM_PM_Quantity[Section],$C3,RM_PM_Quantity[RM Name],$E3),0)</f>
        <v>0</v>
      </c>
      <c r="BH3" s="84">
        <f>SUMIFS(RM_PM_Quantity[Quantity],RM_PM_Quantity[Date],BH$1,RM_PM_Quantity[Location],$D3,RM_PM_Quantity[Section],$C3,RM_PM_Quantity[RM Name],$E3)+IF($D3="MIND/Pre-Production",SUMIFS(RM_PM_Quantity[Quantity],RM_PM_Quantity[Date],BH$1,RM_PM_Quantity[Location],"MIDC/Pre-Production",RM_PM_Quantity[Section],$C3,RM_PM_Quantity[RM Name],$E3),0)</f>
        <v>0</v>
      </c>
      <c r="BI3" s="84">
        <f>SUMIFS(RM_PM_Quantity[Quantity],RM_PM_Quantity[Date],BI$1,RM_PM_Quantity[Location],$D3,RM_PM_Quantity[Section],$C3,RM_PM_Quantity[RM Name],$E3)+IF($D3="MIND/Pre-Production",SUMIFS(RM_PM_Quantity[Quantity],RM_PM_Quantity[Date],BI$1,RM_PM_Quantity[Location],"MIDC/Pre-Production",RM_PM_Quantity[Section],$C3,RM_PM_Quantity[RM Name],$E3),0)</f>
        <v>0</v>
      </c>
      <c r="BJ3" s="84">
        <f>SUMIFS(RM_PM_Quantity[Quantity],RM_PM_Quantity[Date],BJ$1,RM_PM_Quantity[Location],$D3,RM_PM_Quantity[Section],$C3,RM_PM_Quantity[RM Name],$E3)+IF($D3="MIND/Pre-Production",SUMIFS(RM_PM_Quantity[Quantity],RM_PM_Quantity[Date],BJ$1,RM_PM_Quantity[Location],"MIDC/Pre-Production",RM_PM_Quantity[Section],$C3,RM_PM_Quantity[RM Name],$E3),0)</f>
        <v>0</v>
      </c>
      <c r="BK3" s="84">
        <f>SUMIFS(RM_PM_Quantity[Quantity],RM_PM_Quantity[Date],BK$1,RM_PM_Quantity[Location],$D3,RM_PM_Quantity[Section],$C3,RM_PM_Quantity[RM Name],$E3)+IF($D3="MIND/Pre-Production",SUMIFS(RM_PM_Quantity[Quantity],RM_PM_Quantity[Date],BK$1,RM_PM_Quantity[Location],"MIDC/Pre-Production",RM_PM_Quantity[Section],$C3,RM_PM_Quantity[RM Name],$E3),0)</f>
        <v>0</v>
      </c>
      <c r="BL3" s="84">
        <f>SUMIFS(RM_PM_Quantity[Quantity],RM_PM_Quantity[Date],BL$1,RM_PM_Quantity[Location],$D3,RM_PM_Quantity[Section],$C3,RM_PM_Quantity[RM Name],$E3)+IF($D3="MIND/Pre-Production",SUMIFS(RM_PM_Quantity[Quantity],RM_PM_Quantity[Date],BL$1,RM_PM_Quantity[Location],"MIDC/Pre-Production",RM_PM_Quantity[Section],$C3,RM_PM_Quantity[RM Name],$E3),0)</f>
        <v>0</v>
      </c>
      <c r="BM3" s="84">
        <f>SUMIFS(RM_PM_Quantity[Quantity],RM_PM_Quantity[Date],BM$1,RM_PM_Quantity[Location],$D3,RM_PM_Quantity[Section],$C3,RM_PM_Quantity[RM Name],$E3)+IF($D3="MIND/Pre-Production",SUMIFS(RM_PM_Quantity[Quantity],RM_PM_Quantity[Date],BM$1,RM_PM_Quantity[Location],"MIDC/Pre-Production",RM_PM_Quantity[Section],$C3,RM_PM_Quantity[RM Name],$E3),0)</f>
        <v>0</v>
      </c>
      <c r="BN3" s="84">
        <f>SUMIFS(RM_PM_Quantity[Quantity],RM_PM_Quantity[Date],BN$1,RM_PM_Quantity[Location],$D3,RM_PM_Quantity[Section],$C3,RM_PM_Quantity[RM Name],$E3)+IF($D3="MIND/Pre-Production",SUMIFS(RM_PM_Quantity[Quantity],RM_PM_Quantity[Date],BN$1,RM_PM_Quantity[Location],"MIDC/Pre-Production",RM_PM_Quantity[Section],$C3,RM_PM_Quantity[RM Name],$E3),0)</f>
        <v>0</v>
      </c>
      <c r="BO3" s="84">
        <f>SUMIFS(RM_PM_Quantity[Quantity],RM_PM_Quantity[Date],BO$1,RM_PM_Quantity[Location],$D3,RM_PM_Quantity[Section],$C3,RM_PM_Quantity[RM Name],$E3)+IF($D3="MIND/Pre-Production",SUMIFS(RM_PM_Quantity[Quantity],RM_PM_Quantity[Date],BO$1,RM_PM_Quantity[Location],"MIDC/Pre-Production",RM_PM_Quantity[Section],$C3,RM_PM_Quantity[RM Name],$E3),0)</f>
        <v>0</v>
      </c>
      <c r="BP3" s="84">
        <f>SUMIFS(RM_PM_Quantity[Quantity],RM_PM_Quantity[Date],BP$1,RM_PM_Quantity[Location],$D3,RM_PM_Quantity[Section],$C3,RM_PM_Quantity[RM Name],$E3)+IF($D3="MIND/Pre-Production",SUMIFS(RM_PM_Quantity[Quantity],RM_PM_Quantity[Date],BP$1,RM_PM_Quantity[Location],"MIDC/Pre-Production",RM_PM_Quantity[Section],$C3,RM_PM_Quantity[RM Name],$E3),0)</f>
        <v>0</v>
      </c>
      <c r="BQ3" s="84">
        <f>SUMIFS(RM_PM_Quantity[Quantity],RM_PM_Quantity[Date],BQ$1,RM_PM_Quantity[Location],$D3,RM_PM_Quantity[Section],$C3,RM_PM_Quantity[RM Name],$E3)+IF($D3="MIND/Pre-Production",SUMIFS(RM_PM_Quantity[Quantity],RM_PM_Quantity[Date],BQ$1,RM_PM_Quantity[Location],"MIDC/Pre-Production",RM_PM_Quantity[Section],$C3,RM_PM_Quantity[RM Name],$E3),0)</f>
        <v>0</v>
      </c>
      <c r="BR3" s="84">
        <f>SUMIFS(RM_PM_Quantity[Quantity],RM_PM_Quantity[Date],BR$1,RM_PM_Quantity[Location],$D3,RM_PM_Quantity[Section],$C3,RM_PM_Quantity[RM Name],$E3)+IF($D3="MIND/Pre-Production",SUMIFS(RM_PM_Quantity[Quantity],RM_PM_Quantity[Date],BR$1,RM_PM_Quantity[Location],"MIDC/Pre-Production",RM_PM_Quantity[Section],$C3,RM_PM_Quantity[RM Name],$E3),0)</f>
        <v>0</v>
      </c>
      <c r="BS3" s="84">
        <f>SUMIFS(RM_PM_Quantity[Quantity],RM_PM_Quantity[Date],BS$1,RM_PM_Quantity[Location],$D3,RM_PM_Quantity[Section],$C3,RM_PM_Quantity[RM Name],$E3)+IF($D3="MIND/Pre-Production",SUMIFS(RM_PM_Quantity[Quantity],RM_PM_Quantity[Date],BS$1,RM_PM_Quantity[Location],"MIDC/Pre-Production",RM_PM_Quantity[Section],$C3,RM_PM_Quantity[RM Name],$E3),0)</f>
        <v>0</v>
      </c>
      <c r="BT3" s="84">
        <f>SUMIFS(RM_PM_Quantity[ID],RM_PM_Quantity[Location],BT$1,RM_PM_Quantity[Section],$D3,RM_PM_Quantity[RM Name],$C3,RM_PM_Quantity[Quantity],$E3)+IF($D3="MIND/Pre-Production",SUMIFS(RM_PM_Quantity[ID],RM_PM_Quantity[Location],BT$1,RM_PM_Quantity[Section],"MIDC/Pre-Production",RM_PM_Quantity[RM Name],$C3,RM_PM_Quantity[Quantity],$E3),0)</f>
        <v>0</v>
      </c>
      <c r="BU3" s="84">
        <f>SUMIFS(RM_PM_Quantity[Name of Supervisor],RM_PM_Quantity[Section],BU$1,RM_PM_Quantity[RM Name],$D3,RM_PM_Quantity[Quantity],$C3,RM_PM_Quantity[ID],$E3)+IF($D3="MIND/Pre-Production",SUMIFS(RM_PM_Quantity[Name of Supervisor],RM_PM_Quantity[Section],BU$1,RM_PM_Quantity[RM Name],"MIDC/Pre-Production",RM_PM_Quantity[Quantity],$C3,RM_PM_Quantity[ID],$E3),0)</f>
        <v>0</v>
      </c>
      <c r="BV3" s="84">
        <f>SUMIFS(RM_PM_Quantity[Date],RM_PM_Quantity[RM Name],BV$1,RM_PM_Quantity[Quantity],$D3,RM_PM_Quantity[ID],$C3,RM_PM_Quantity[Name of Supervisor],$E3)+IF($D3="MIND/Pre-Production",SUMIFS(RM_PM_Quantity[Date],RM_PM_Quantity[RM Name],BV$1,RM_PM_Quantity[Quantity],"MIDC/Pre-Production",RM_PM_Quantity[ID],$C3,RM_PM_Quantity[Name of Supervisor],$E3),0)</f>
        <v>0</v>
      </c>
      <c r="BW3" s="84">
        <f>SUMIFS(RM_PM_Quantity[Location],RM_PM_Quantity[Quantity],BW$1,RM_PM_Quantity[ID],$D3,RM_PM_Quantity[Name of Supervisor],$C3,RM_PM_Quantity[Date],$E3)+IF($D3="MIND/Pre-Production",SUMIFS(RM_PM_Quantity[Location],RM_PM_Quantity[Quantity],BW$1,RM_PM_Quantity[ID],"MIDC/Pre-Production",RM_PM_Quantity[Name of Supervisor],$C3,RM_PM_Quantity[Date],$E3),0)</f>
        <v>0</v>
      </c>
      <c r="BX3" s="84">
        <f>SUMIFS(RM_PM_Quantity[Section],RM_PM_Quantity[ID],BX$1,RM_PM_Quantity[Name of Supervisor],$D3,RM_PM_Quantity[Date],$C3,RM_PM_Quantity[Location],$E3)+IF($D3="MIND/Pre-Production",SUMIFS(RM_PM_Quantity[Section],RM_PM_Quantity[ID],BX$1,RM_PM_Quantity[Name of Supervisor],"MIDC/Pre-Production",RM_PM_Quantity[Date],$C3,RM_PM_Quantity[Location],$E3),0)</f>
        <v>0</v>
      </c>
      <c r="BY3" s="84">
        <f>SUMIFS(RM_PM_Quantity[RM Name],RM_PM_Quantity[Name of Supervisor],BY$1,RM_PM_Quantity[Date],$D3,RM_PM_Quantity[Location],$C3,RM_PM_Quantity[Section],$E3)+IF($D3="MIND/Pre-Production",SUMIFS(RM_PM_Quantity[RM Name],RM_PM_Quantity[Name of Supervisor],BY$1,RM_PM_Quantity[Date],"MIDC/Pre-Production",RM_PM_Quantity[Location],$C3,RM_PM_Quantity[Section],$E3),0)</f>
        <v>0</v>
      </c>
    </row>
    <row r="4" spans="1:77" ht="45.75" customHeight="1">
      <c r="A4" s="79">
        <v>3</v>
      </c>
      <c r="B4" s="87" t="s">
        <v>58</v>
      </c>
      <c r="C4" s="80" t="s">
        <v>53</v>
      </c>
      <c r="D4" s="81" t="s">
        <v>54</v>
      </c>
      <c r="E4" s="82" t="s">
        <v>59</v>
      </c>
      <c r="F4" s="83">
        <f>IFERROR(_xlfn.XLOOKUP(B4,'[1]RM Tracker'!B:B,'[1]RM Tracker'!E:E),"0")</f>
        <v>0</v>
      </c>
      <c r="G4" s="85">
        <f t="shared" si="2"/>
        <v>0</v>
      </c>
      <c r="H4" s="85">
        <f t="shared" si="0"/>
        <v>0</v>
      </c>
      <c r="I4" s="91">
        <f t="shared" si="1"/>
        <v>0</v>
      </c>
      <c r="J4" s="84">
        <f>SUMIFS(RM_PM_Quantity[Quantity],RM_PM_Quantity[Date],J$1,RM_PM_Quantity[Location],$D4,RM_PM_Quantity[Section],$C4,RM_PM_Quantity[RM Name],$E4)+IF($D4="MIND/Pre-Production",SUMIFS(RM_PM_Quantity[Quantity],RM_PM_Quantity[Date],J$1,RM_PM_Quantity[Location],"MIDC/Pre-Production",RM_PM_Quantity[Section],$C4,RM_PM_Quantity[RM Name],$E4),0)</f>
        <v>0</v>
      </c>
      <c r="K4" s="84">
        <f>SUMIFS(RM_PM_Quantity[Quantity],RM_PM_Quantity[Date],K$1,RM_PM_Quantity[Location],$D4,RM_PM_Quantity[Section],$C4,RM_PM_Quantity[RM Name],$E4)+IF($D4="MIND/Pre-Production",SUMIFS(RM_PM_Quantity[Quantity],RM_PM_Quantity[Date],K$1,RM_PM_Quantity[Location],"MIDC/Pre-Production",RM_PM_Quantity[Section],$C4,RM_PM_Quantity[RM Name],$E4),0)</f>
        <v>0</v>
      </c>
      <c r="L4" s="84">
        <f>SUMIFS(RM_PM_Quantity[Quantity],RM_PM_Quantity[Date],L$1,RM_PM_Quantity[Location],$D4,RM_PM_Quantity[Section],$C4,RM_PM_Quantity[RM Name],$E4)+IF($D4="MIND/Pre-Production",SUMIFS(RM_PM_Quantity[Quantity],RM_PM_Quantity[Date],L$1,RM_PM_Quantity[Location],"MIDC/Pre-Production",RM_PM_Quantity[Section],$C4,RM_PM_Quantity[RM Name],$E4),0)</f>
        <v>0</v>
      </c>
      <c r="M4" s="84">
        <f>SUMIFS(RM_PM_Quantity[Quantity],RM_PM_Quantity[Date],M$1,RM_PM_Quantity[Location],$D4,RM_PM_Quantity[Section],$C4,RM_PM_Quantity[RM Name],$E4)+IF($D4="MIND/Pre-Production",SUMIFS(RM_PM_Quantity[Quantity],RM_PM_Quantity[Date],M$1,RM_PM_Quantity[Location],"MIDC/Pre-Production",RM_PM_Quantity[Section],$C4,RM_PM_Quantity[RM Name],$E4),0)</f>
        <v>0</v>
      </c>
      <c r="N4" s="84">
        <f>SUMIFS(RM_PM_Quantity[Quantity],RM_PM_Quantity[Date],N$1,RM_PM_Quantity[Location],$D4,RM_PM_Quantity[Section],$C4,RM_PM_Quantity[RM Name],$E4)+IF($D4="MIND/Pre-Production",SUMIFS(RM_PM_Quantity[Quantity],RM_PM_Quantity[Date],N$1,RM_PM_Quantity[Location],"MIDC/Pre-Production",RM_PM_Quantity[Section],$C4,RM_PM_Quantity[RM Name],$E4),0)</f>
        <v>0</v>
      </c>
      <c r="O4" s="84">
        <f>SUMIFS(RM_PM_Quantity[Quantity],RM_PM_Quantity[Date],O$1,RM_PM_Quantity[Location],$D4,RM_PM_Quantity[Section],$C4,RM_PM_Quantity[RM Name],$E4)+IF($D4="MIND/Pre-Production",SUMIFS(RM_PM_Quantity[Quantity],RM_PM_Quantity[Date],O$1,RM_PM_Quantity[Location],"MIDC/Pre-Production",RM_PM_Quantity[Section],$C4,RM_PM_Quantity[RM Name],$E4),0)</f>
        <v>0</v>
      </c>
      <c r="P4" s="84">
        <f>SUMIFS(RM_PM_Quantity[Quantity],RM_PM_Quantity[Date],P$1,RM_PM_Quantity[Location],$D4,RM_PM_Quantity[Section],$C4,RM_PM_Quantity[RM Name],$E4)+IF($D4="MIND/Pre-Production",SUMIFS(RM_PM_Quantity[Quantity],RM_PM_Quantity[Date],P$1,RM_PM_Quantity[Location],"MIDC/Pre-Production",RM_PM_Quantity[Section],$C4,RM_PM_Quantity[RM Name],$E4),0)</f>
        <v>0</v>
      </c>
      <c r="Q4" s="84">
        <f>SUMIFS(RM_PM_Quantity[Quantity],RM_PM_Quantity[Date],Q$1,RM_PM_Quantity[Location],$D4,RM_PM_Quantity[Section],$C4,RM_PM_Quantity[RM Name],$E4)+IF($D4="MIND/Pre-Production",SUMIFS(RM_PM_Quantity[Quantity],RM_PM_Quantity[Date],Q$1,RM_PM_Quantity[Location],"MIDC/Pre-Production",RM_PM_Quantity[Section],$C4,RM_PM_Quantity[RM Name],$E4),0)</f>
        <v>0</v>
      </c>
      <c r="R4" s="84">
        <f>SUMIFS(RM_PM_Quantity[Quantity],RM_PM_Quantity[Date],R$1,RM_PM_Quantity[Location],$D4,RM_PM_Quantity[Section],$C4,RM_PM_Quantity[RM Name],$E4)+IF($D4="MIND/Pre-Production",SUMIFS(RM_PM_Quantity[Quantity],RM_PM_Quantity[Date],R$1,RM_PM_Quantity[Location],"MIDC/Pre-Production",RM_PM_Quantity[Section],$C4,RM_PM_Quantity[RM Name],$E4),0)</f>
        <v>0</v>
      </c>
      <c r="S4" s="84">
        <f>SUMIFS(RM_PM_Quantity[Quantity],RM_PM_Quantity[Date],S$1,RM_PM_Quantity[Location],$D4,RM_PM_Quantity[Section],$C4,RM_PM_Quantity[RM Name],$E4)+IF($D4="MIND/Pre-Production",SUMIFS(RM_PM_Quantity[Quantity],RM_PM_Quantity[Date],S$1,RM_PM_Quantity[Location],"MIDC/Pre-Production",RM_PM_Quantity[Section],$C4,RM_PM_Quantity[RM Name],$E4),0)</f>
        <v>0</v>
      </c>
      <c r="T4" s="84">
        <f>SUMIFS(RM_PM_Quantity[Quantity],RM_PM_Quantity[Date],T$1,RM_PM_Quantity[Location],$D4,RM_PM_Quantity[Section],$C4,RM_PM_Quantity[RM Name],$E4)+IF($D4="MIND/Pre-Production",SUMIFS(RM_PM_Quantity[Quantity],RM_PM_Quantity[Date],T$1,RM_PM_Quantity[Location],"MIDC/Pre-Production",RM_PM_Quantity[Section],$C4,RM_PM_Quantity[RM Name],$E4),0)</f>
        <v>0</v>
      </c>
      <c r="U4" s="84">
        <f>SUMIFS(RM_PM_Quantity[Quantity],RM_PM_Quantity[Date],U$1,RM_PM_Quantity[Location],$D4,RM_PM_Quantity[Section],$C4,RM_PM_Quantity[RM Name],$E4)+IF($D4="MIND/Pre-Production",SUMIFS(RM_PM_Quantity[Quantity],RM_PM_Quantity[Date],U$1,RM_PM_Quantity[Location],"MIDC/Pre-Production",RM_PM_Quantity[Section],$C4,RM_PM_Quantity[RM Name],$E4),0)</f>
        <v>0</v>
      </c>
      <c r="V4" s="84">
        <f>SUMIFS(RM_PM_Quantity[Quantity],RM_PM_Quantity[Date],V$1,RM_PM_Quantity[Location],$D4,RM_PM_Quantity[Section],$C4,RM_PM_Quantity[RM Name],$E4)+IF($D4="MIND/Pre-Production",SUMIFS(RM_PM_Quantity[Quantity],RM_PM_Quantity[Date],V$1,RM_PM_Quantity[Location],"MIDC/Pre-Production",RM_PM_Quantity[Section],$C4,RM_PM_Quantity[RM Name],$E4),0)</f>
        <v>0</v>
      </c>
      <c r="W4" s="84">
        <f>SUMIFS(RM_PM_Quantity[Quantity],RM_PM_Quantity[Date],W$1,RM_PM_Quantity[Location],$D4,RM_PM_Quantity[Section],$C4,RM_PM_Quantity[RM Name],$E4)+IF($D4="MIND/Pre-Production",SUMIFS(RM_PM_Quantity[Quantity],RM_PM_Quantity[Date],W$1,RM_PM_Quantity[Location],"MIDC/Pre-Production",RM_PM_Quantity[Section],$C4,RM_PM_Quantity[RM Name],$E4),0)</f>
        <v>0</v>
      </c>
      <c r="X4" s="84">
        <f>SUMIFS(RM_PM_Quantity[Quantity],RM_PM_Quantity[Date],X$1,RM_PM_Quantity[Location],$D4,RM_PM_Quantity[Section],$C4,RM_PM_Quantity[RM Name],$E4)+IF($D4="MIND/Pre-Production",SUMIFS(RM_PM_Quantity[Quantity],RM_PM_Quantity[Date],X$1,RM_PM_Quantity[Location],"MIDC/Pre-Production",RM_PM_Quantity[Section],$C4,RM_PM_Quantity[RM Name],$E4),0)</f>
        <v>0</v>
      </c>
      <c r="Y4" s="84">
        <f>SUMIFS(RM_PM_Quantity[Quantity],RM_PM_Quantity[Date],Y$1,RM_PM_Quantity[Location],$D4,RM_PM_Quantity[Section],$C4,RM_PM_Quantity[RM Name],$E4)+IF($D4="MIND/Pre-Production",SUMIFS(RM_PM_Quantity[Quantity],RM_PM_Quantity[Date],Y$1,RM_PM_Quantity[Location],"MIDC/Pre-Production",RM_PM_Quantity[Section],$C4,RM_PM_Quantity[RM Name],$E4),0)</f>
        <v>0</v>
      </c>
      <c r="Z4" s="84">
        <f>SUMIFS(RM_PM_Quantity[Quantity],RM_PM_Quantity[Date],Z$1,RM_PM_Quantity[Location],$D4,RM_PM_Quantity[Section],$C4,RM_PM_Quantity[RM Name],$E4)+IF($D4="MIND/Pre-Production",SUMIFS(RM_PM_Quantity[Quantity],RM_PM_Quantity[Date],Z$1,RM_PM_Quantity[Location],"MIDC/Pre-Production",RM_PM_Quantity[Section],$C4,RM_PM_Quantity[RM Name],$E4),0)</f>
        <v>0</v>
      </c>
      <c r="AA4" s="84">
        <f>SUMIFS(RM_PM_Quantity[Quantity],RM_PM_Quantity[Date],AA$1,RM_PM_Quantity[Location],$D4,RM_PM_Quantity[Section],$C4,RM_PM_Quantity[RM Name],$E4)+IF($D4="MIND/Pre-Production",SUMIFS(RM_PM_Quantity[Quantity],RM_PM_Quantity[Date],AA$1,RM_PM_Quantity[Location],"MIDC/Pre-Production",RM_PM_Quantity[Section],$C4,RM_PM_Quantity[RM Name],$E4),0)</f>
        <v>0</v>
      </c>
      <c r="AB4" s="84">
        <f>SUMIFS(RM_PM_Quantity[Quantity],RM_PM_Quantity[Date],AB$1,RM_PM_Quantity[Location],$D4,RM_PM_Quantity[Section],$C4,RM_PM_Quantity[RM Name],$E4)+IF($D4="MIND/Pre-Production",SUMIFS(RM_PM_Quantity[Quantity],RM_PM_Quantity[Date],AB$1,RM_PM_Quantity[Location],"MIDC/Pre-Production",RM_PM_Quantity[Section],$C4,RM_PM_Quantity[RM Name],$E4),0)</f>
        <v>300</v>
      </c>
      <c r="AC4" s="84">
        <f>SUMIFS(RM_PM_Quantity[Quantity],RM_PM_Quantity[Date],AC$1,RM_PM_Quantity[Location],$D4,RM_PM_Quantity[Section],$C4,RM_PM_Quantity[RM Name],$E4)+IF($D4="MIND/Pre-Production",SUMIFS(RM_PM_Quantity[Quantity],RM_PM_Quantity[Date],AC$1,RM_PM_Quantity[Location],"MIDC/Pre-Production",RM_PM_Quantity[Section],$C4,RM_PM_Quantity[RM Name],$E4),0)</f>
        <v>0</v>
      </c>
      <c r="AD4" s="84">
        <f>SUMIFS(RM_PM_Quantity[Quantity],RM_PM_Quantity[Date],AD$1,RM_PM_Quantity[Location],$D4,RM_PM_Quantity[Section],$C4,RM_PM_Quantity[RM Name],$E4)+IF($D4="MIND/Pre-Production",SUMIFS(RM_PM_Quantity[Quantity],RM_PM_Quantity[Date],AD$1,RM_PM_Quantity[Location],"MIDC/Pre-Production",RM_PM_Quantity[Section],$C4,RM_PM_Quantity[RM Name],$E4),0)</f>
        <v>0</v>
      </c>
      <c r="AE4" s="84">
        <f>SUMIFS(RM_PM_Quantity[Quantity],RM_PM_Quantity[Date],AE$1,RM_PM_Quantity[Location],$D4,RM_PM_Quantity[Section],$C4,RM_PM_Quantity[RM Name],$E4)+IF($D4="MIND/Pre-Production",SUMIFS(RM_PM_Quantity[Quantity],RM_PM_Quantity[Date],AE$1,RM_PM_Quantity[Location],"MIDC/Pre-Production",RM_PM_Quantity[Section],$C4,RM_PM_Quantity[RM Name],$E4),0)</f>
        <v>0</v>
      </c>
      <c r="AF4" s="84">
        <f>SUMIFS(RM_PM_Quantity[Quantity],RM_PM_Quantity[Date],AF$1,RM_PM_Quantity[Location],$D4,RM_PM_Quantity[Section],$C4,RM_PM_Quantity[RM Name],$E4)+IF($D4="MIND/Pre-Production",SUMIFS(RM_PM_Quantity[Quantity],RM_PM_Quantity[Date],AF$1,RM_PM_Quantity[Location],"MIDC/Pre-Production",RM_PM_Quantity[Section],$C4,RM_PM_Quantity[RM Name],$E4),0)</f>
        <v>0</v>
      </c>
      <c r="AG4" s="84">
        <f>SUMIFS(RM_PM_Quantity[Quantity],RM_PM_Quantity[Date],AG$1,RM_PM_Quantity[Location],$D4,RM_PM_Quantity[Section],$C4,RM_PM_Quantity[RM Name],$E4)+IF($D4="MIND/Pre-Production",SUMIFS(RM_PM_Quantity[Quantity],RM_PM_Quantity[Date],AG$1,RM_PM_Quantity[Location],"MIDC/Pre-Production",RM_PM_Quantity[Section],$C4,RM_PM_Quantity[RM Name],$E4),0)</f>
        <v>0</v>
      </c>
      <c r="AH4" s="84">
        <f>SUMIFS(RM_PM_Quantity[Quantity],RM_PM_Quantity[Date],AH$1,RM_PM_Quantity[Location],$D4,RM_PM_Quantity[Section],$C4,RM_PM_Quantity[RM Name],$E4)+IF($D4="MIND/Pre-Production",SUMIFS(RM_PM_Quantity[Quantity],RM_PM_Quantity[Date],AH$1,RM_PM_Quantity[Location],"MIDC/Pre-Production",RM_PM_Quantity[Section],$C4,RM_PM_Quantity[RM Name],$E4),0)</f>
        <v>0</v>
      </c>
      <c r="AI4" s="84">
        <f>SUMIFS(RM_PM_Quantity[Quantity],RM_PM_Quantity[Date],AI$1,RM_PM_Quantity[Location],$D4,RM_PM_Quantity[Section],$C4,RM_PM_Quantity[RM Name],$E4)+IF($D4="MIND/Pre-Production",SUMIFS(RM_PM_Quantity[Quantity],RM_PM_Quantity[Date],AI$1,RM_PM_Quantity[Location],"MIDC/Pre-Production",RM_PM_Quantity[Section],$C4,RM_PM_Quantity[RM Name],$E4),0)</f>
        <v>0</v>
      </c>
      <c r="AJ4" s="84">
        <f>SUMIFS(RM_PM_Quantity[Quantity],RM_PM_Quantity[Date],AJ$1,RM_PM_Quantity[Location],$D4,RM_PM_Quantity[Section],$C4,RM_PM_Quantity[RM Name],$E4)+IF($D4="MIND/Pre-Production",SUMIFS(RM_PM_Quantity[Quantity],RM_PM_Quantity[Date],AJ$1,RM_PM_Quantity[Location],"MIDC/Pre-Production",RM_PM_Quantity[Section],$C4,RM_PM_Quantity[RM Name],$E4),0)</f>
        <v>50</v>
      </c>
      <c r="AK4" s="84">
        <f>SUMIFS(RM_PM_Quantity[Quantity],RM_PM_Quantity[Date],AK$1,RM_PM_Quantity[Location],$D4,RM_PM_Quantity[Section],$C4,RM_PM_Quantity[RM Name],$E4)+IF($D4="MIND/Pre-Production",SUMIFS(RM_PM_Quantity[Quantity],RM_PM_Quantity[Date],AK$1,RM_PM_Quantity[Location],"MIDC/Pre-Production",RM_PM_Quantity[Section],$C4,RM_PM_Quantity[RM Name],$E4),0)</f>
        <v>0</v>
      </c>
      <c r="AL4" s="84">
        <f>SUMIFS(RM_PM_Quantity[Quantity],RM_PM_Quantity[Date],AL$1,RM_PM_Quantity[Location],$D4,RM_PM_Quantity[Section],$C4,RM_PM_Quantity[RM Name],$E4)+IF($D4="MIND/Pre-Production",SUMIFS(RM_PM_Quantity[Quantity],RM_PM_Quantity[Date],AL$1,RM_PM_Quantity[Location],"MIDC/Pre-Production",RM_PM_Quantity[Section],$C4,RM_PM_Quantity[RM Name],$E4),0)</f>
        <v>0</v>
      </c>
      <c r="AM4" s="84">
        <f>SUMIFS(RM_PM_Quantity[Quantity],RM_PM_Quantity[Date],AM$1,RM_PM_Quantity[Location],$D4,RM_PM_Quantity[Section],$C4,RM_PM_Quantity[RM Name],$E4)+IF($D4="MIND/Pre-Production",SUMIFS(RM_PM_Quantity[Quantity],RM_PM_Quantity[Date],AM$1,RM_PM_Quantity[Location],"MIDC/Pre-Production",RM_PM_Quantity[Section],$C4,RM_PM_Quantity[RM Name],$E4),0)</f>
        <v>0</v>
      </c>
      <c r="AN4" s="84">
        <f>SUMIFS(RM_PM_Quantity[Quantity],RM_PM_Quantity[Date],AN$1,RM_PM_Quantity[Location],$D4,RM_PM_Quantity[Section],$C4,RM_PM_Quantity[RM Name],$E4)+IF($D4="MIND/Pre-Production",SUMIFS(RM_PM_Quantity[Quantity],RM_PM_Quantity[Date],AN$1,RM_PM_Quantity[Location],"MIDC/Pre-Production",RM_PM_Quantity[Section],$C4,RM_PM_Quantity[RM Name],$E4),0)</f>
        <v>0</v>
      </c>
      <c r="AO4" s="84">
        <f>SUMIFS(RM_PM_Quantity[Quantity],RM_PM_Quantity[Date],AO$1,RM_PM_Quantity[Location],$D4,RM_PM_Quantity[Section],$C4,RM_PM_Quantity[RM Name],$E4)+IF($D4="MIND/Pre-Production",SUMIFS(RM_PM_Quantity[Quantity],RM_PM_Quantity[Date],AO$1,RM_PM_Quantity[Location],"MIDC/Pre-Production",RM_PM_Quantity[Section],$C4,RM_PM_Quantity[RM Name],$E4),0)</f>
        <v>0</v>
      </c>
      <c r="AP4" s="84">
        <f>SUMIFS(RM_PM_Quantity[Quantity],RM_PM_Quantity[Date],AP$1,RM_PM_Quantity[Location],$D4,RM_PM_Quantity[Section],$C4,RM_PM_Quantity[RM Name],$E4)+IF($D4="MIND/Pre-Production",SUMIFS(RM_PM_Quantity[Quantity],RM_PM_Quantity[Date],AP$1,RM_PM_Quantity[Location],"MIDC/Pre-Production",RM_PM_Quantity[Section],$C4,RM_PM_Quantity[RM Name],$E4),0)</f>
        <v>0</v>
      </c>
      <c r="AQ4" s="84">
        <f>SUMIFS(RM_PM_Quantity[Quantity],RM_PM_Quantity[Date],AQ$1,RM_PM_Quantity[Location],$D4,RM_PM_Quantity[Section],$C4,RM_PM_Quantity[RM Name],$E4)+IF($D4="MIND/Pre-Production",SUMIFS(RM_PM_Quantity[Quantity],RM_PM_Quantity[Date],AQ$1,RM_PM_Quantity[Location],"MIDC/Pre-Production",RM_PM_Quantity[Section],$C4,RM_PM_Quantity[RM Name],$E4),0)</f>
        <v>0</v>
      </c>
      <c r="AR4" s="84">
        <f>SUMIFS(RM_PM_Quantity[Quantity],RM_PM_Quantity[Date],AR$1,RM_PM_Quantity[Location],$D4,RM_PM_Quantity[Section],$C4,RM_PM_Quantity[RM Name],$E4)+IF($D4="MIND/Pre-Production",SUMIFS(RM_PM_Quantity[Quantity],RM_PM_Quantity[Date],AR$1,RM_PM_Quantity[Location],"MIDC/Pre-Production",RM_PM_Quantity[Section],$C4,RM_PM_Quantity[RM Name],$E4),0)</f>
        <v>0</v>
      </c>
      <c r="AS4" s="84">
        <f>SUMIFS(RM_PM_Quantity[Quantity],RM_PM_Quantity[Date],AS$1,RM_PM_Quantity[Location],$D4,RM_PM_Quantity[Section],$C4,RM_PM_Quantity[RM Name],$E4)+IF($D4="MIND/Pre-Production",SUMIFS(RM_PM_Quantity[Quantity],RM_PM_Quantity[Date],AS$1,RM_PM_Quantity[Location],"MIDC/Pre-Production",RM_PM_Quantity[Section],$C4,RM_PM_Quantity[RM Name],$E4),0)</f>
        <v>0</v>
      </c>
      <c r="AT4" s="84">
        <f>SUMIFS(RM_PM_Quantity[Quantity],RM_PM_Quantity[Date],AT$1,RM_PM_Quantity[Location],$D4,RM_PM_Quantity[Section],$C4,RM_PM_Quantity[RM Name],$E4)+IF($D4="MIND/Pre-Production",SUMIFS(RM_PM_Quantity[Quantity],RM_PM_Quantity[Date],AT$1,RM_PM_Quantity[Location],"MIDC/Pre-Production",RM_PM_Quantity[Section],$C4,RM_PM_Quantity[RM Name],$E4),0)</f>
        <v>0</v>
      </c>
      <c r="AU4" s="84">
        <f>SUMIFS(RM_PM_Quantity[Quantity],RM_PM_Quantity[Date],AU$1,RM_PM_Quantity[Location],$D4,RM_PM_Quantity[Section],$C4,RM_PM_Quantity[RM Name],$E4)+IF($D4="MIND/Pre-Production",SUMIFS(RM_PM_Quantity[Quantity],RM_PM_Quantity[Date],AU$1,RM_PM_Quantity[Location],"MIDC/Pre-Production",RM_PM_Quantity[Section],$C4,RM_PM_Quantity[RM Name],$E4),0)</f>
        <v>0</v>
      </c>
      <c r="AV4" s="84">
        <f>SUMIFS(RM_PM_Quantity[Quantity],RM_PM_Quantity[Date],AV$1,RM_PM_Quantity[Location],$D4,RM_PM_Quantity[Section],$C4,RM_PM_Quantity[RM Name],$E4)+IF($D4="MIND/Pre-Production",SUMIFS(RM_PM_Quantity[Quantity],RM_PM_Quantity[Date],AV$1,RM_PM_Quantity[Location],"MIDC/Pre-Production",RM_PM_Quantity[Section],$C4,RM_PM_Quantity[RM Name],$E4),0)</f>
        <v>0</v>
      </c>
      <c r="AW4" s="84">
        <f>SUMIFS(RM_PM_Quantity[Quantity],RM_PM_Quantity[Date],AW$1,RM_PM_Quantity[Location],$D4,RM_PM_Quantity[Section],$C4,RM_PM_Quantity[RM Name],$E4)+IF($D4="MIND/Pre-Production",SUMIFS(RM_PM_Quantity[Quantity],RM_PM_Quantity[Date],AW$1,RM_PM_Quantity[Location],"MIDC/Pre-Production",RM_PM_Quantity[Section],$C4,RM_PM_Quantity[RM Name],$E4),0)</f>
        <v>0</v>
      </c>
      <c r="AX4" s="84">
        <f>SUMIFS(RM_PM_Quantity[Quantity],RM_PM_Quantity[Date],AX$1,RM_PM_Quantity[Location],$D4,RM_PM_Quantity[Section],$C4,RM_PM_Quantity[RM Name],$E4)+IF($D4="MIND/Pre-Production",SUMIFS(RM_PM_Quantity[Quantity],RM_PM_Quantity[Date],AX$1,RM_PM_Quantity[Location],"MIDC/Pre-Production",RM_PM_Quantity[Section],$C4,RM_PM_Quantity[RM Name],$E4),0)</f>
        <v>0</v>
      </c>
      <c r="AY4" s="84">
        <f>SUMIFS(RM_PM_Quantity[Quantity],RM_PM_Quantity[Date],AY$1,RM_PM_Quantity[Location],$D4,RM_PM_Quantity[Section],$C4,RM_PM_Quantity[RM Name],$E4)+IF($D4="MIND/Pre-Production",SUMIFS(RM_PM_Quantity[Quantity],RM_PM_Quantity[Date],AY$1,RM_PM_Quantity[Location],"MIDC/Pre-Production",RM_PM_Quantity[Section],$C4,RM_PM_Quantity[RM Name],$E4),0)</f>
        <v>0</v>
      </c>
      <c r="AZ4" s="84">
        <f>SUMIFS(RM_PM_Quantity[Quantity],RM_PM_Quantity[Date],AZ$1,RM_PM_Quantity[Location],$D4,RM_PM_Quantity[Section],$C4,RM_PM_Quantity[RM Name],$E4)+IF($D4="MIND/Pre-Production",SUMIFS(RM_PM_Quantity[Quantity],RM_PM_Quantity[Date],AZ$1,RM_PM_Quantity[Location],"MIDC/Pre-Production",RM_PM_Quantity[Section],$C4,RM_PM_Quantity[RM Name],$E4),0)</f>
        <v>0</v>
      </c>
      <c r="BA4" s="84">
        <f>SUMIFS(RM_PM_Quantity[Quantity],RM_PM_Quantity[Date],BA$1,RM_PM_Quantity[Location],$D4,RM_PM_Quantity[Section],$C4,RM_PM_Quantity[RM Name],$E4)+IF($D4="MIND/Pre-Production",SUMIFS(RM_PM_Quantity[Quantity],RM_PM_Quantity[Date],BA$1,RM_PM_Quantity[Location],"MIDC/Pre-Production",RM_PM_Quantity[Section],$C4,RM_PM_Quantity[RM Name],$E4),0)</f>
        <v>0</v>
      </c>
      <c r="BB4" s="84">
        <f>SUMIFS(RM_PM_Quantity[Quantity],RM_PM_Quantity[Date],BB$1,RM_PM_Quantity[Location],$D4,RM_PM_Quantity[Section],$C4,RM_PM_Quantity[RM Name],$E4)+IF($D4="MIND/Pre-Production",SUMIFS(RM_PM_Quantity[Quantity],RM_PM_Quantity[Date],BB$1,RM_PM_Quantity[Location],"MIDC/Pre-Production",RM_PM_Quantity[Section],$C4,RM_PM_Quantity[RM Name],$E4),0)</f>
        <v>0</v>
      </c>
      <c r="BC4" s="84">
        <f>SUMIFS(RM_PM_Quantity[Quantity],RM_PM_Quantity[Date],BC$1,RM_PM_Quantity[Location],$D4,RM_PM_Quantity[Section],$C4,RM_PM_Quantity[RM Name],$E4)+IF($D4="MIND/Pre-Production",SUMIFS(RM_PM_Quantity[Quantity],RM_PM_Quantity[Date],BC$1,RM_PM_Quantity[Location],"MIDC/Pre-Production",RM_PM_Quantity[Section],$C4,RM_PM_Quantity[RM Name],$E4),0)</f>
        <v>0</v>
      </c>
      <c r="BD4" s="84">
        <f>SUMIFS(RM_PM_Quantity[Quantity],RM_PM_Quantity[Date],BD$1,RM_PM_Quantity[Location],$D4,RM_PM_Quantity[Section],$C4,RM_PM_Quantity[RM Name],$E4)+IF($D4="MIND/Pre-Production",SUMIFS(RM_PM_Quantity[Quantity],RM_PM_Quantity[Date],BD$1,RM_PM_Quantity[Location],"MIDC/Pre-Production",RM_PM_Quantity[Section],$C4,RM_PM_Quantity[RM Name],$E4),0)</f>
        <v>0</v>
      </c>
      <c r="BE4" s="84">
        <f>SUMIFS(RM_PM_Quantity[Quantity],RM_PM_Quantity[Date],BE$1,RM_PM_Quantity[Location],$D4,RM_PM_Quantity[Section],$C4,RM_PM_Quantity[RM Name],$E4)+IF($D4="MIND/Pre-Production",SUMIFS(RM_PM_Quantity[Quantity],RM_PM_Quantity[Date],BE$1,RM_PM_Quantity[Location],"MIDC/Pre-Production",RM_PM_Quantity[Section],$C4,RM_PM_Quantity[RM Name],$E4),0)</f>
        <v>0</v>
      </c>
      <c r="BF4" s="84">
        <f>SUMIFS(RM_PM_Quantity[Quantity],RM_PM_Quantity[Date],BF$1,RM_PM_Quantity[Location],$D4,RM_PM_Quantity[Section],$C4,RM_PM_Quantity[RM Name],$E4)+IF($D4="MIND/Pre-Production",SUMIFS(RM_PM_Quantity[Quantity],RM_PM_Quantity[Date],BF$1,RM_PM_Quantity[Location],"MIDC/Pre-Production",RM_PM_Quantity[Section],$C4,RM_PM_Quantity[RM Name],$E4),0)</f>
        <v>0</v>
      </c>
      <c r="BG4" s="84">
        <f>SUMIFS(RM_PM_Quantity[Quantity],RM_PM_Quantity[Date],BG$1,RM_PM_Quantity[Location],$D4,RM_PM_Quantity[Section],$C4,RM_PM_Quantity[RM Name],$E4)+IF($D4="MIND/Pre-Production",SUMIFS(RM_PM_Quantity[Quantity],RM_PM_Quantity[Date],BG$1,RM_PM_Quantity[Location],"MIDC/Pre-Production",RM_PM_Quantity[Section],$C4,RM_PM_Quantity[RM Name],$E4),0)</f>
        <v>0</v>
      </c>
      <c r="BH4" s="84">
        <f>SUMIFS(RM_PM_Quantity[Quantity],RM_PM_Quantity[Date],BH$1,RM_PM_Quantity[Location],$D4,RM_PM_Quantity[Section],$C4,RM_PM_Quantity[RM Name],$E4)+IF($D4="MIND/Pre-Production",SUMIFS(RM_PM_Quantity[Quantity],RM_PM_Quantity[Date],BH$1,RM_PM_Quantity[Location],"MIDC/Pre-Production",RM_PM_Quantity[Section],$C4,RM_PM_Quantity[RM Name],$E4),0)</f>
        <v>0</v>
      </c>
      <c r="BI4" s="84">
        <f>SUMIFS(RM_PM_Quantity[Quantity],RM_PM_Quantity[Date],BI$1,RM_PM_Quantity[Location],$D4,RM_PM_Quantity[Section],$C4,RM_PM_Quantity[RM Name],$E4)+IF($D4="MIND/Pre-Production",SUMIFS(RM_PM_Quantity[Quantity],RM_PM_Quantity[Date],BI$1,RM_PM_Quantity[Location],"MIDC/Pre-Production",RM_PM_Quantity[Section],$C4,RM_PM_Quantity[RM Name],$E4),0)</f>
        <v>0</v>
      </c>
      <c r="BJ4" s="84">
        <f>SUMIFS(RM_PM_Quantity[Quantity],RM_PM_Quantity[Date],BJ$1,RM_PM_Quantity[Location],$D4,RM_PM_Quantity[Section],$C4,RM_PM_Quantity[RM Name],$E4)+IF($D4="MIND/Pre-Production",SUMIFS(RM_PM_Quantity[Quantity],RM_PM_Quantity[Date],BJ$1,RM_PM_Quantity[Location],"MIDC/Pre-Production",RM_PM_Quantity[Section],$C4,RM_PM_Quantity[RM Name],$E4),0)</f>
        <v>0</v>
      </c>
      <c r="BK4" s="84">
        <f>SUMIFS(RM_PM_Quantity[Quantity],RM_PM_Quantity[Date],BK$1,RM_PM_Quantity[Location],$D4,RM_PM_Quantity[Section],$C4,RM_PM_Quantity[RM Name],$E4)+IF($D4="MIND/Pre-Production",SUMIFS(RM_PM_Quantity[Quantity],RM_PM_Quantity[Date],BK$1,RM_PM_Quantity[Location],"MIDC/Pre-Production",RM_PM_Quantity[Section],$C4,RM_PM_Quantity[RM Name],$E4),0)</f>
        <v>0</v>
      </c>
      <c r="BL4" s="84">
        <f>SUMIFS(RM_PM_Quantity[Quantity],RM_PM_Quantity[Date],BL$1,RM_PM_Quantity[Location],$D4,RM_PM_Quantity[Section],$C4,RM_PM_Quantity[RM Name],$E4)+IF($D4="MIND/Pre-Production",SUMIFS(RM_PM_Quantity[Quantity],RM_PM_Quantity[Date],BL$1,RM_PM_Quantity[Location],"MIDC/Pre-Production",RM_PM_Quantity[Section],$C4,RM_PM_Quantity[RM Name],$E4),0)</f>
        <v>0</v>
      </c>
      <c r="BM4" s="84">
        <f>SUMIFS(RM_PM_Quantity[Quantity],RM_PM_Quantity[Date],BM$1,RM_PM_Quantity[Location],$D4,RM_PM_Quantity[Section],$C4,RM_PM_Quantity[RM Name],$E4)+IF($D4="MIND/Pre-Production",SUMIFS(RM_PM_Quantity[Quantity],RM_PM_Quantity[Date],BM$1,RM_PM_Quantity[Location],"MIDC/Pre-Production",RM_PM_Quantity[Section],$C4,RM_PM_Quantity[RM Name],$E4),0)</f>
        <v>0</v>
      </c>
      <c r="BN4" s="84">
        <f>SUMIFS(RM_PM_Quantity[Quantity],RM_PM_Quantity[Date],BN$1,RM_PM_Quantity[Location],$D4,RM_PM_Quantity[Section],$C4,RM_PM_Quantity[RM Name],$E4)+IF($D4="MIND/Pre-Production",SUMIFS(RM_PM_Quantity[Quantity],RM_PM_Quantity[Date],BN$1,RM_PM_Quantity[Location],"MIDC/Pre-Production",RM_PM_Quantity[Section],$C4,RM_PM_Quantity[RM Name],$E4),0)</f>
        <v>0</v>
      </c>
      <c r="BO4" s="84">
        <f>SUMIFS(RM_PM_Quantity[Quantity],RM_PM_Quantity[Date],BO$1,RM_PM_Quantity[Location],$D4,RM_PM_Quantity[Section],$C4,RM_PM_Quantity[RM Name],$E4)+IF($D4="MIND/Pre-Production",SUMIFS(RM_PM_Quantity[Quantity],RM_PM_Quantity[Date],BO$1,RM_PM_Quantity[Location],"MIDC/Pre-Production",RM_PM_Quantity[Section],$C4,RM_PM_Quantity[RM Name],$E4),0)</f>
        <v>0</v>
      </c>
      <c r="BP4" s="84">
        <f>SUMIFS(RM_PM_Quantity[Quantity],RM_PM_Quantity[Date],BP$1,RM_PM_Quantity[Location],$D4,RM_PM_Quantity[Section],$C4,RM_PM_Quantity[RM Name],$E4)+IF($D4="MIND/Pre-Production",SUMIFS(RM_PM_Quantity[Quantity],RM_PM_Quantity[Date],BP$1,RM_PM_Quantity[Location],"MIDC/Pre-Production",RM_PM_Quantity[Section],$C4,RM_PM_Quantity[RM Name],$E4),0)</f>
        <v>0</v>
      </c>
      <c r="BQ4" s="84">
        <f>SUMIFS(RM_PM_Quantity[Quantity],RM_PM_Quantity[Date],BQ$1,RM_PM_Quantity[Location],$D4,RM_PM_Quantity[Section],$C4,RM_PM_Quantity[RM Name],$E4)+IF($D4="MIND/Pre-Production",SUMIFS(RM_PM_Quantity[Quantity],RM_PM_Quantity[Date],BQ$1,RM_PM_Quantity[Location],"MIDC/Pre-Production",RM_PM_Quantity[Section],$C4,RM_PM_Quantity[RM Name],$E4),0)</f>
        <v>0</v>
      </c>
      <c r="BR4" s="84">
        <f>SUMIFS(RM_PM_Quantity[Quantity],RM_PM_Quantity[Date],BR$1,RM_PM_Quantity[Location],$D4,RM_PM_Quantity[Section],$C4,RM_PM_Quantity[RM Name],$E4)+IF($D4="MIND/Pre-Production",SUMIFS(RM_PM_Quantity[Quantity],RM_PM_Quantity[Date],BR$1,RM_PM_Quantity[Location],"MIDC/Pre-Production",RM_PM_Quantity[Section],$C4,RM_PM_Quantity[RM Name],$E4),0)</f>
        <v>0</v>
      </c>
      <c r="BS4" s="84">
        <f>SUMIFS(RM_PM_Quantity[Quantity],RM_PM_Quantity[Date],BS$1,RM_PM_Quantity[Location],$D4,RM_PM_Quantity[Section],$C4,RM_PM_Quantity[RM Name],$E4)+IF($D4="MIND/Pre-Production",SUMIFS(RM_PM_Quantity[Quantity],RM_PM_Quantity[Date],BS$1,RM_PM_Quantity[Location],"MIDC/Pre-Production",RM_PM_Quantity[Section],$C4,RM_PM_Quantity[RM Name],$E4),0)</f>
        <v>0</v>
      </c>
      <c r="BT4" s="84">
        <f>SUMIFS(RM_PM_Quantity[ID],RM_PM_Quantity[Location],BT$1,RM_PM_Quantity[Section],$D4,RM_PM_Quantity[RM Name],$C4,RM_PM_Quantity[Quantity],$E4)+IF($D4="MIND/Pre-Production",SUMIFS(RM_PM_Quantity[ID],RM_PM_Quantity[Location],BT$1,RM_PM_Quantity[Section],"MIDC/Pre-Production",RM_PM_Quantity[RM Name],$C4,RM_PM_Quantity[Quantity],$E4),0)</f>
        <v>0</v>
      </c>
      <c r="BU4" s="84">
        <f>SUMIFS(RM_PM_Quantity[Name of Supervisor],RM_PM_Quantity[Section],BU$1,RM_PM_Quantity[RM Name],$D4,RM_PM_Quantity[Quantity],$C4,RM_PM_Quantity[ID],$E4)+IF($D4="MIND/Pre-Production",SUMIFS(RM_PM_Quantity[Name of Supervisor],RM_PM_Quantity[Section],BU$1,RM_PM_Quantity[RM Name],"MIDC/Pre-Production",RM_PM_Quantity[Quantity],$C4,RM_PM_Quantity[ID],$E4),0)</f>
        <v>0</v>
      </c>
      <c r="BV4" s="84">
        <f>SUMIFS(RM_PM_Quantity[Date],RM_PM_Quantity[RM Name],BV$1,RM_PM_Quantity[Quantity],$D4,RM_PM_Quantity[ID],$C4,RM_PM_Quantity[Name of Supervisor],$E4)+IF($D4="MIND/Pre-Production",SUMIFS(RM_PM_Quantity[Date],RM_PM_Quantity[RM Name],BV$1,RM_PM_Quantity[Quantity],"MIDC/Pre-Production",RM_PM_Quantity[ID],$C4,RM_PM_Quantity[Name of Supervisor],$E4),0)</f>
        <v>0</v>
      </c>
      <c r="BW4" s="84">
        <f>SUMIFS(RM_PM_Quantity[Location],RM_PM_Quantity[Quantity],BW$1,RM_PM_Quantity[ID],$D4,RM_PM_Quantity[Name of Supervisor],$C4,RM_PM_Quantity[Date],$E4)+IF($D4="MIND/Pre-Production",SUMIFS(RM_PM_Quantity[Location],RM_PM_Quantity[Quantity],BW$1,RM_PM_Quantity[ID],"MIDC/Pre-Production",RM_PM_Quantity[Name of Supervisor],$C4,RM_PM_Quantity[Date],$E4),0)</f>
        <v>0</v>
      </c>
      <c r="BX4" s="84">
        <f>SUMIFS(RM_PM_Quantity[Section],RM_PM_Quantity[ID],BX$1,RM_PM_Quantity[Name of Supervisor],$D4,RM_PM_Quantity[Date],$C4,RM_PM_Quantity[Location],$E4)+IF($D4="MIND/Pre-Production",SUMIFS(RM_PM_Quantity[Section],RM_PM_Quantity[ID],BX$1,RM_PM_Quantity[Name of Supervisor],"MIDC/Pre-Production",RM_PM_Quantity[Date],$C4,RM_PM_Quantity[Location],$E4),0)</f>
        <v>0</v>
      </c>
      <c r="BY4" s="84">
        <f>SUMIFS(RM_PM_Quantity[RM Name],RM_PM_Quantity[Name of Supervisor],BY$1,RM_PM_Quantity[Date],$D4,RM_PM_Quantity[Location],$C4,RM_PM_Quantity[Section],$E4)+IF($D4="MIND/Pre-Production",SUMIFS(RM_PM_Quantity[RM Name],RM_PM_Quantity[Name of Supervisor],BY$1,RM_PM_Quantity[Date],"MIDC/Pre-Production",RM_PM_Quantity[Location],$C4,RM_PM_Quantity[Section],$E4),0)</f>
        <v>0</v>
      </c>
    </row>
    <row r="5" spans="1:77" ht="45.75" customHeight="1">
      <c r="A5" s="79">
        <v>4</v>
      </c>
      <c r="B5" s="79" t="s">
        <v>60</v>
      </c>
      <c r="C5" s="80" t="s">
        <v>53</v>
      </c>
      <c r="D5" s="81" t="s">
        <v>54</v>
      </c>
      <c r="E5" s="82" t="s">
        <v>61</v>
      </c>
      <c r="F5" s="83">
        <f>IFERROR(_xlfn.XLOOKUP(B5,'[1]RM Tracker'!B:B,'[1]RM Tracker'!E:E),"0")</f>
        <v>249.33</v>
      </c>
      <c r="G5" s="85">
        <f t="shared" si="2"/>
        <v>0</v>
      </c>
      <c r="H5" s="85">
        <f t="shared" si="0"/>
        <v>-249.33</v>
      </c>
      <c r="I5" s="91">
        <f t="shared" si="1"/>
        <v>0</v>
      </c>
      <c r="J5" s="84">
        <f>SUMIFS(RM_PM_Quantity[Quantity],RM_PM_Quantity[Date],J$1,RM_PM_Quantity[Location],$D5,RM_PM_Quantity[Section],$C5,RM_PM_Quantity[RM Name],$E5)+IF($D5="MIND/Pre-Production",SUMIFS(RM_PM_Quantity[Quantity],RM_PM_Quantity[Date],J$1,RM_PM_Quantity[Location],"MIDC/Pre-Production",RM_PM_Quantity[Section],$C5,RM_PM_Quantity[RM Name],$E5),0)</f>
        <v>0</v>
      </c>
      <c r="K5" s="84">
        <f>SUMIFS(RM_PM_Quantity[Quantity],RM_PM_Quantity[Date],K$1,RM_PM_Quantity[Location],$D5,RM_PM_Quantity[Section],$C5,RM_PM_Quantity[RM Name],$E5)+IF($D5="MIND/Pre-Production",SUMIFS(RM_PM_Quantity[Quantity],RM_PM_Quantity[Date],K$1,RM_PM_Quantity[Location],"MIDC/Pre-Production",RM_PM_Quantity[Section],$C5,RM_PM_Quantity[RM Name],$E5),0)</f>
        <v>0</v>
      </c>
      <c r="L5" s="84">
        <f>SUMIFS(RM_PM_Quantity[Quantity],RM_PM_Quantity[Date],L$1,RM_PM_Quantity[Location],$D5,RM_PM_Quantity[Section],$C5,RM_PM_Quantity[RM Name],$E5)+IF($D5="MIND/Pre-Production",SUMIFS(RM_PM_Quantity[Quantity],RM_PM_Quantity[Date],L$1,RM_PM_Quantity[Location],"MIDC/Pre-Production",RM_PM_Quantity[Section],$C5,RM_PM_Quantity[RM Name],$E5),0)</f>
        <v>0</v>
      </c>
      <c r="M5" s="84">
        <f>SUMIFS(RM_PM_Quantity[Quantity],RM_PM_Quantity[Date],M$1,RM_PM_Quantity[Location],$D5,RM_PM_Quantity[Section],$C5,RM_PM_Quantity[RM Name],$E5)+IF($D5="MIND/Pre-Production",SUMIFS(RM_PM_Quantity[Quantity],RM_PM_Quantity[Date],M$1,RM_PM_Quantity[Location],"MIDC/Pre-Production",RM_PM_Quantity[Section],$C5,RM_PM_Quantity[RM Name],$E5),0)</f>
        <v>0</v>
      </c>
      <c r="N5" s="84">
        <f>SUMIFS(RM_PM_Quantity[Quantity],RM_PM_Quantity[Date],N$1,RM_PM_Quantity[Location],$D5,RM_PM_Quantity[Section],$C5,RM_PM_Quantity[RM Name],$E5)+IF($D5="MIND/Pre-Production",SUMIFS(RM_PM_Quantity[Quantity],RM_PM_Quantity[Date],N$1,RM_PM_Quantity[Location],"MIDC/Pre-Production",RM_PM_Quantity[Section],$C5,RM_PM_Quantity[RM Name],$E5),0)</f>
        <v>0</v>
      </c>
      <c r="O5" s="84">
        <f>SUMIFS(RM_PM_Quantity[Quantity],RM_PM_Quantity[Date],O$1,RM_PM_Quantity[Location],$D5,RM_PM_Quantity[Section],$C5,RM_PM_Quantity[RM Name],$E5)+IF($D5="MIND/Pre-Production",SUMIFS(RM_PM_Quantity[Quantity],RM_PM_Quantity[Date],O$1,RM_PM_Quantity[Location],"MIDC/Pre-Production",RM_PM_Quantity[Section],$C5,RM_PM_Quantity[RM Name],$E5),0)</f>
        <v>0</v>
      </c>
      <c r="P5" s="84">
        <f>SUMIFS(RM_PM_Quantity[Quantity],RM_PM_Quantity[Date],P$1,RM_PM_Quantity[Location],$D5,RM_PM_Quantity[Section],$C5,RM_PM_Quantity[RM Name],$E5)+IF($D5="MIND/Pre-Production",SUMIFS(RM_PM_Quantity[Quantity],RM_PM_Quantity[Date],P$1,RM_PM_Quantity[Location],"MIDC/Pre-Production",RM_PM_Quantity[Section],$C5,RM_PM_Quantity[RM Name],$E5),0)</f>
        <v>0</v>
      </c>
      <c r="Q5" s="84">
        <f>SUMIFS(RM_PM_Quantity[Quantity],RM_PM_Quantity[Date],Q$1,RM_PM_Quantity[Location],$D5,RM_PM_Quantity[Section],$C5,RM_PM_Quantity[RM Name],$E5)+IF($D5="MIND/Pre-Production",SUMIFS(RM_PM_Quantity[Quantity],RM_PM_Quantity[Date],Q$1,RM_PM_Quantity[Location],"MIDC/Pre-Production",RM_PM_Quantity[Section],$C5,RM_PM_Quantity[RM Name],$E5),0)</f>
        <v>0</v>
      </c>
      <c r="R5" s="84">
        <f>SUMIFS(RM_PM_Quantity[Quantity],RM_PM_Quantity[Date],R$1,RM_PM_Quantity[Location],$D5,RM_PM_Quantity[Section],$C5,RM_PM_Quantity[RM Name],$E5)+IF($D5="MIND/Pre-Production",SUMIFS(RM_PM_Quantity[Quantity],RM_PM_Quantity[Date],R$1,RM_PM_Quantity[Location],"MIDC/Pre-Production",RM_PM_Quantity[Section],$C5,RM_PM_Quantity[RM Name],$E5),0)</f>
        <v>0</v>
      </c>
      <c r="S5" s="84">
        <f>SUMIFS(RM_PM_Quantity[Quantity],RM_PM_Quantity[Date],S$1,RM_PM_Quantity[Location],$D5,RM_PM_Quantity[Section],$C5,RM_PM_Quantity[RM Name],$E5)+IF($D5="MIND/Pre-Production",SUMIFS(RM_PM_Quantity[Quantity],RM_PM_Quantity[Date],S$1,RM_PM_Quantity[Location],"MIDC/Pre-Production",RM_PM_Quantity[Section],$C5,RM_PM_Quantity[RM Name],$E5),0)</f>
        <v>0</v>
      </c>
      <c r="T5" s="84">
        <f>SUMIFS(RM_PM_Quantity[Quantity],RM_PM_Quantity[Date],T$1,RM_PM_Quantity[Location],$D5,RM_PM_Quantity[Section],$C5,RM_PM_Quantity[RM Name],$E5)+IF($D5="MIND/Pre-Production",SUMIFS(RM_PM_Quantity[Quantity],RM_PM_Quantity[Date],T$1,RM_PM_Quantity[Location],"MIDC/Pre-Production",RM_PM_Quantity[Section],$C5,RM_PM_Quantity[RM Name],$E5),0)</f>
        <v>0</v>
      </c>
      <c r="U5" s="84">
        <f>SUMIFS(RM_PM_Quantity[Quantity],RM_PM_Quantity[Date],U$1,RM_PM_Quantity[Location],$D5,RM_PM_Quantity[Section],$C5,RM_PM_Quantity[RM Name],$E5)+IF($D5="MIND/Pre-Production",SUMIFS(RM_PM_Quantity[Quantity],RM_PM_Quantity[Date],U$1,RM_PM_Quantity[Location],"MIDC/Pre-Production",RM_PM_Quantity[Section],$C5,RM_PM_Quantity[RM Name],$E5),0)</f>
        <v>0</v>
      </c>
      <c r="V5" s="84">
        <f>SUMIFS(RM_PM_Quantity[Quantity],RM_PM_Quantity[Date],V$1,RM_PM_Quantity[Location],$D5,RM_PM_Quantity[Section],$C5,RM_PM_Quantity[RM Name],$E5)+IF($D5="MIND/Pre-Production",SUMIFS(RM_PM_Quantity[Quantity],RM_PM_Quantity[Date],V$1,RM_PM_Quantity[Location],"MIDC/Pre-Production",RM_PM_Quantity[Section],$C5,RM_PM_Quantity[RM Name],$E5),0)</f>
        <v>0</v>
      </c>
      <c r="W5" s="84">
        <f>SUMIFS(RM_PM_Quantity[Quantity],RM_PM_Quantity[Date],W$1,RM_PM_Quantity[Location],$D5,RM_PM_Quantity[Section],$C5,RM_PM_Quantity[RM Name],$E5)+IF($D5="MIND/Pre-Production",SUMIFS(RM_PM_Quantity[Quantity],RM_PM_Quantity[Date],W$1,RM_PM_Quantity[Location],"MIDC/Pre-Production",RM_PM_Quantity[Section],$C5,RM_PM_Quantity[RM Name],$E5),0)</f>
        <v>0</v>
      </c>
      <c r="X5" s="84">
        <f>SUMIFS(RM_PM_Quantity[Quantity],RM_PM_Quantity[Date],X$1,RM_PM_Quantity[Location],$D5,RM_PM_Quantity[Section],$C5,RM_PM_Quantity[RM Name],$E5)+IF($D5="MIND/Pre-Production",SUMIFS(RM_PM_Quantity[Quantity],RM_PM_Quantity[Date],X$1,RM_PM_Quantity[Location],"MIDC/Pre-Production",RM_PM_Quantity[Section],$C5,RM_PM_Quantity[RM Name],$E5),0)</f>
        <v>0</v>
      </c>
      <c r="Y5" s="84">
        <f>SUMIFS(RM_PM_Quantity[Quantity],RM_PM_Quantity[Date],Y$1,RM_PM_Quantity[Location],$D5,RM_PM_Quantity[Section],$C5,RM_PM_Quantity[RM Name],$E5)+IF($D5="MIND/Pre-Production",SUMIFS(RM_PM_Quantity[Quantity],RM_PM_Quantity[Date],Y$1,RM_PM_Quantity[Location],"MIDC/Pre-Production",RM_PM_Quantity[Section],$C5,RM_PM_Quantity[RM Name],$E5),0)</f>
        <v>0</v>
      </c>
      <c r="Z5" s="84">
        <f>SUMIFS(RM_PM_Quantity[Quantity],RM_PM_Quantity[Date],Z$1,RM_PM_Quantity[Location],$D5,RM_PM_Quantity[Section],$C5,RM_PM_Quantity[RM Name],$E5)+IF($D5="MIND/Pre-Production",SUMIFS(RM_PM_Quantity[Quantity],RM_PM_Quantity[Date],Z$1,RM_PM_Quantity[Location],"MIDC/Pre-Production",RM_PM_Quantity[Section],$C5,RM_PM_Quantity[RM Name],$E5),0)</f>
        <v>0</v>
      </c>
      <c r="AA5" s="84">
        <f>SUMIFS(RM_PM_Quantity[Quantity],RM_PM_Quantity[Date],AA$1,RM_PM_Quantity[Location],$D5,RM_PM_Quantity[Section],$C5,RM_PM_Quantity[RM Name],$E5)+IF($D5="MIND/Pre-Production",SUMIFS(RM_PM_Quantity[Quantity],RM_PM_Quantity[Date],AA$1,RM_PM_Quantity[Location],"MIDC/Pre-Production",RM_PM_Quantity[Section],$C5,RM_PM_Quantity[RM Name],$E5),0)</f>
        <v>0</v>
      </c>
      <c r="AB5" s="84">
        <f>SUMIFS(RM_PM_Quantity[Quantity],RM_PM_Quantity[Date],AB$1,RM_PM_Quantity[Location],$D5,RM_PM_Quantity[Section],$C5,RM_PM_Quantity[RM Name],$E5)+IF($D5="MIND/Pre-Production",SUMIFS(RM_PM_Quantity[Quantity],RM_PM_Quantity[Date],AB$1,RM_PM_Quantity[Location],"MIDC/Pre-Production",RM_PM_Quantity[Section],$C5,RM_PM_Quantity[RM Name],$E5),0)</f>
        <v>0</v>
      </c>
      <c r="AC5" s="84">
        <f>SUMIFS(RM_PM_Quantity[Quantity],RM_PM_Quantity[Date],AC$1,RM_PM_Quantity[Location],$D5,RM_PM_Quantity[Section],$C5,RM_PM_Quantity[RM Name],$E5)+IF($D5="MIND/Pre-Production",SUMIFS(RM_PM_Quantity[Quantity],RM_PM_Quantity[Date],AC$1,RM_PM_Quantity[Location],"MIDC/Pre-Production",RM_PM_Quantity[Section],$C5,RM_PM_Quantity[RM Name],$E5),0)</f>
        <v>0</v>
      </c>
      <c r="AD5" s="84">
        <f>SUMIFS(RM_PM_Quantity[Quantity],RM_PM_Quantity[Date],AD$1,RM_PM_Quantity[Location],$D5,RM_PM_Quantity[Section],$C5,RM_PM_Quantity[RM Name],$E5)+IF($D5="MIND/Pre-Production",SUMIFS(RM_PM_Quantity[Quantity],RM_PM_Quantity[Date],AD$1,RM_PM_Quantity[Location],"MIDC/Pre-Production",RM_PM_Quantity[Section],$C5,RM_PM_Quantity[RM Name],$E5),0)</f>
        <v>0</v>
      </c>
      <c r="AE5" s="84">
        <f>SUMIFS(RM_PM_Quantity[Quantity],RM_PM_Quantity[Date],AE$1,RM_PM_Quantity[Location],$D5,RM_PM_Quantity[Section],$C5,RM_PM_Quantity[RM Name],$E5)+IF($D5="MIND/Pre-Production",SUMIFS(RM_PM_Quantity[Quantity],RM_PM_Quantity[Date],AE$1,RM_PM_Quantity[Location],"MIDC/Pre-Production",RM_PM_Quantity[Section],$C5,RM_PM_Quantity[RM Name],$E5),0)</f>
        <v>0</v>
      </c>
      <c r="AF5" s="84">
        <f>SUMIFS(RM_PM_Quantity[Quantity],RM_PM_Quantity[Date],AF$1,RM_PM_Quantity[Location],$D5,RM_PM_Quantity[Section],$C5,RM_PM_Quantity[RM Name],$E5)+IF($D5="MIND/Pre-Production",SUMIFS(RM_PM_Quantity[Quantity],RM_PM_Quantity[Date],AF$1,RM_PM_Quantity[Location],"MIDC/Pre-Production",RM_PM_Quantity[Section],$C5,RM_PM_Quantity[RM Name],$E5),0)</f>
        <v>0</v>
      </c>
      <c r="AG5" s="84">
        <f>SUMIFS(RM_PM_Quantity[Quantity],RM_PM_Quantity[Date],AG$1,RM_PM_Quantity[Location],$D5,RM_PM_Quantity[Section],$C5,RM_PM_Quantity[RM Name],$E5)+IF($D5="MIND/Pre-Production",SUMIFS(RM_PM_Quantity[Quantity],RM_PM_Quantity[Date],AG$1,RM_PM_Quantity[Location],"MIDC/Pre-Production",RM_PM_Quantity[Section],$C5,RM_PM_Quantity[RM Name],$E5),0)</f>
        <v>0</v>
      </c>
      <c r="AH5" s="84">
        <f>SUMIFS(RM_PM_Quantity[Quantity],RM_PM_Quantity[Date],AH$1,RM_PM_Quantity[Location],$D5,RM_PM_Quantity[Section],$C5,RM_PM_Quantity[RM Name],$E5)+IF($D5="MIND/Pre-Production",SUMIFS(RM_PM_Quantity[Quantity],RM_PM_Quantity[Date],AH$1,RM_PM_Quantity[Location],"MIDC/Pre-Production",RM_PM_Quantity[Section],$C5,RM_PM_Quantity[RM Name],$E5),0)</f>
        <v>0</v>
      </c>
      <c r="AI5" s="84">
        <f>SUMIFS(RM_PM_Quantity[Quantity],RM_PM_Quantity[Date],AI$1,RM_PM_Quantity[Location],$D5,RM_PM_Quantity[Section],$C5,RM_PM_Quantity[RM Name],$E5)+IF($D5="MIND/Pre-Production",SUMIFS(RM_PM_Quantity[Quantity],RM_PM_Quantity[Date],AI$1,RM_PM_Quantity[Location],"MIDC/Pre-Production",RM_PM_Quantity[Section],$C5,RM_PM_Quantity[RM Name],$E5),0)</f>
        <v>0</v>
      </c>
      <c r="AJ5" s="84">
        <f>SUMIFS(RM_PM_Quantity[Quantity],RM_PM_Quantity[Date],AJ$1,RM_PM_Quantity[Location],$D5,RM_PM_Quantity[Section],$C5,RM_PM_Quantity[RM Name],$E5)+IF($D5="MIND/Pre-Production",SUMIFS(RM_PM_Quantity[Quantity],RM_PM_Quantity[Date],AJ$1,RM_PM_Quantity[Location],"MIDC/Pre-Production",RM_PM_Quantity[Section],$C5,RM_PM_Quantity[RM Name],$E5),0)</f>
        <v>0</v>
      </c>
      <c r="AK5" s="84">
        <f>SUMIFS(RM_PM_Quantity[Quantity],RM_PM_Quantity[Date],AK$1,RM_PM_Quantity[Location],$D5,RM_PM_Quantity[Section],$C5,RM_PM_Quantity[RM Name],$E5)+IF($D5="MIND/Pre-Production",SUMIFS(RM_PM_Quantity[Quantity],RM_PM_Quantity[Date],AK$1,RM_PM_Quantity[Location],"MIDC/Pre-Production",RM_PM_Quantity[Section],$C5,RM_PM_Quantity[RM Name],$E5),0)</f>
        <v>0</v>
      </c>
      <c r="AL5" s="84">
        <f>SUMIFS(RM_PM_Quantity[Quantity],RM_PM_Quantity[Date],AL$1,RM_PM_Quantity[Location],$D5,RM_PM_Quantity[Section],$C5,RM_PM_Quantity[RM Name],$E5)+IF($D5="MIND/Pre-Production",SUMIFS(RM_PM_Quantity[Quantity],RM_PM_Quantity[Date],AL$1,RM_PM_Quantity[Location],"MIDC/Pre-Production",RM_PM_Quantity[Section],$C5,RM_PM_Quantity[RM Name],$E5),0)</f>
        <v>0</v>
      </c>
      <c r="AM5" s="84">
        <f>SUMIFS(RM_PM_Quantity[Quantity],RM_PM_Quantity[Date],AM$1,RM_PM_Quantity[Location],$D5,RM_PM_Quantity[Section],$C5,RM_PM_Quantity[RM Name],$E5)+IF($D5="MIND/Pre-Production",SUMIFS(RM_PM_Quantity[Quantity],RM_PM_Quantity[Date],AM$1,RM_PM_Quantity[Location],"MIDC/Pre-Production",RM_PM_Quantity[Section],$C5,RM_PM_Quantity[RM Name],$E5),0)</f>
        <v>0</v>
      </c>
      <c r="AN5" s="84">
        <f>SUMIFS(RM_PM_Quantity[Quantity],RM_PM_Quantity[Date],AN$1,RM_PM_Quantity[Location],$D5,RM_PM_Quantity[Section],$C5,RM_PM_Quantity[RM Name],$E5)+IF($D5="MIND/Pre-Production",SUMIFS(RM_PM_Quantity[Quantity],RM_PM_Quantity[Date],AN$1,RM_PM_Quantity[Location],"MIDC/Pre-Production",RM_PM_Quantity[Section],$C5,RM_PM_Quantity[RM Name],$E5),0)</f>
        <v>0</v>
      </c>
      <c r="AO5" s="84">
        <f>SUMIFS(RM_PM_Quantity[Quantity],RM_PM_Quantity[Date],AO$1,RM_PM_Quantity[Location],$D5,RM_PM_Quantity[Section],$C5,RM_PM_Quantity[RM Name],$E5)+IF($D5="MIND/Pre-Production",SUMIFS(RM_PM_Quantity[Quantity],RM_PM_Quantity[Date],AO$1,RM_PM_Quantity[Location],"MIDC/Pre-Production",RM_PM_Quantity[Section],$C5,RM_PM_Quantity[RM Name],$E5),0)</f>
        <v>0</v>
      </c>
      <c r="AP5" s="84">
        <f>SUMIFS(RM_PM_Quantity[Quantity],RM_PM_Quantity[Date],AP$1,RM_PM_Quantity[Location],$D5,RM_PM_Quantity[Section],$C5,RM_PM_Quantity[RM Name],$E5)+IF($D5="MIND/Pre-Production",SUMIFS(RM_PM_Quantity[Quantity],RM_PM_Quantity[Date],AP$1,RM_PM_Quantity[Location],"MIDC/Pre-Production",RM_PM_Quantity[Section],$C5,RM_PM_Quantity[RM Name],$E5),0)</f>
        <v>0</v>
      </c>
      <c r="AQ5" s="84">
        <f>SUMIFS(RM_PM_Quantity[Quantity],RM_PM_Quantity[Date],AQ$1,RM_PM_Quantity[Location],$D5,RM_PM_Quantity[Section],$C5,RM_PM_Quantity[RM Name],$E5)+IF($D5="MIND/Pre-Production",SUMIFS(RM_PM_Quantity[Quantity],RM_PM_Quantity[Date],AQ$1,RM_PM_Quantity[Location],"MIDC/Pre-Production",RM_PM_Quantity[Section],$C5,RM_PM_Quantity[RM Name],$E5),0)</f>
        <v>0</v>
      </c>
      <c r="AR5" s="84">
        <f>SUMIFS(RM_PM_Quantity[Quantity],RM_PM_Quantity[Date],AR$1,RM_PM_Quantity[Location],$D5,RM_PM_Quantity[Section],$C5,RM_PM_Quantity[RM Name],$E5)+IF($D5="MIND/Pre-Production",SUMIFS(RM_PM_Quantity[Quantity],RM_PM_Quantity[Date],AR$1,RM_PM_Quantity[Location],"MIDC/Pre-Production",RM_PM_Quantity[Section],$C5,RM_PM_Quantity[RM Name],$E5),0)</f>
        <v>0</v>
      </c>
      <c r="AS5" s="84">
        <f>SUMIFS(RM_PM_Quantity[Quantity],RM_PM_Quantity[Date],AS$1,RM_PM_Quantity[Location],$D5,RM_PM_Quantity[Section],$C5,RM_PM_Quantity[RM Name],$E5)+IF($D5="MIND/Pre-Production",SUMIFS(RM_PM_Quantity[Quantity],RM_PM_Quantity[Date],AS$1,RM_PM_Quantity[Location],"MIDC/Pre-Production",RM_PM_Quantity[Section],$C5,RM_PM_Quantity[RM Name],$E5),0)</f>
        <v>0</v>
      </c>
      <c r="AT5" s="84">
        <f>SUMIFS(RM_PM_Quantity[Quantity],RM_PM_Quantity[Date],AT$1,RM_PM_Quantity[Location],$D5,RM_PM_Quantity[Section],$C5,RM_PM_Quantity[RM Name],$E5)+IF($D5="MIND/Pre-Production",SUMIFS(RM_PM_Quantity[Quantity],RM_PM_Quantity[Date],AT$1,RM_PM_Quantity[Location],"MIDC/Pre-Production",RM_PM_Quantity[Section],$C5,RM_PM_Quantity[RM Name],$E5),0)</f>
        <v>0</v>
      </c>
      <c r="AU5" s="84">
        <f>SUMIFS(RM_PM_Quantity[Quantity],RM_PM_Quantity[Date],AU$1,RM_PM_Quantity[Location],$D5,RM_PM_Quantity[Section],$C5,RM_PM_Quantity[RM Name],$E5)+IF($D5="MIND/Pre-Production",SUMIFS(RM_PM_Quantity[Quantity],RM_PM_Quantity[Date],AU$1,RM_PM_Quantity[Location],"MIDC/Pre-Production",RM_PM_Quantity[Section],$C5,RM_PM_Quantity[RM Name],$E5),0)</f>
        <v>0</v>
      </c>
      <c r="AV5" s="84">
        <f>SUMIFS(RM_PM_Quantity[Quantity],RM_PM_Quantity[Date],AV$1,RM_PM_Quantity[Location],$D5,RM_PM_Quantity[Section],$C5,RM_PM_Quantity[RM Name],$E5)+IF($D5="MIND/Pre-Production",SUMIFS(RM_PM_Quantity[Quantity],RM_PM_Quantity[Date],AV$1,RM_PM_Quantity[Location],"MIDC/Pre-Production",RM_PM_Quantity[Section],$C5,RM_PM_Quantity[RM Name],$E5),0)</f>
        <v>0</v>
      </c>
      <c r="AW5" s="84">
        <f>SUMIFS(RM_PM_Quantity[Quantity],RM_PM_Quantity[Date],AW$1,RM_PM_Quantity[Location],$D5,RM_PM_Quantity[Section],$C5,RM_PM_Quantity[RM Name],$E5)+IF($D5="MIND/Pre-Production",SUMIFS(RM_PM_Quantity[Quantity],RM_PM_Quantity[Date],AW$1,RM_PM_Quantity[Location],"MIDC/Pre-Production",RM_PM_Quantity[Section],$C5,RM_PM_Quantity[RM Name],$E5),0)</f>
        <v>0</v>
      </c>
      <c r="AX5" s="84">
        <f>SUMIFS(RM_PM_Quantity[Quantity],RM_PM_Quantity[Date],AX$1,RM_PM_Quantity[Location],$D5,RM_PM_Quantity[Section],$C5,RM_PM_Quantity[RM Name],$E5)+IF($D5="MIND/Pre-Production",SUMIFS(RM_PM_Quantity[Quantity],RM_PM_Quantity[Date],AX$1,RM_PM_Quantity[Location],"MIDC/Pre-Production",RM_PM_Quantity[Section],$C5,RM_PM_Quantity[RM Name],$E5),0)</f>
        <v>0</v>
      </c>
      <c r="AY5" s="84">
        <f>SUMIFS(RM_PM_Quantity[Quantity],RM_PM_Quantity[Date],AY$1,RM_PM_Quantity[Location],$D5,RM_PM_Quantity[Section],$C5,RM_PM_Quantity[RM Name],$E5)+IF($D5="MIND/Pre-Production",SUMIFS(RM_PM_Quantity[Quantity],RM_PM_Quantity[Date],AY$1,RM_PM_Quantity[Location],"MIDC/Pre-Production",RM_PM_Quantity[Section],$C5,RM_PM_Quantity[RM Name],$E5),0)</f>
        <v>0</v>
      </c>
      <c r="AZ5" s="84">
        <f>SUMIFS(RM_PM_Quantity[Quantity],RM_PM_Quantity[Date],AZ$1,RM_PM_Quantity[Location],$D5,RM_PM_Quantity[Section],$C5,RM_PM_Quantity[RM Name],$E5)+IF($D5="MIND/Pre-Production",SUMIFS(RM_PM_Quantity[Quantity],RM_PM_Quantity[Date],AZ$1,RM_PM_Quantity[Location],"MIDC/Pre-Production",RM_PM_Quantity[Section],$C5,RM_PM_Quantity[RM Name],$E5),0)</f>
        <v>0</v>
      </c>
      <c r="BA5" s="84">
        <f>SUMIFS(RM_PM_Quantity[Quantity],RM_PM_Quantity[Date],BA$1,RM_PM_Quantity[Location],$D5,RM_PM_Quantity[Section],$C5,RM_PM_Quantity[RM Name],$E5)+IF($D5="MIND/Pre-Production",SUMIFS(RM_PM_Quantity[Quantity],RM_PM_Quantity[Date],BA$1,RM_PM_Quantity[Location],"MIDC/Pre-Production",RM_PM_Quantity[Section],$C5,RM_PM_Quantity[RM Name],$E5),0)</f>
        <v>0</v>
      </c>
      <c r="BB5" s="84">
        <f>SUMIFS(RM_PM_Quantity[Quantity],RM_PM_Quantity[Date],BB$1,RM_PM_Quantity[Location],$D5,RM_PM_Quantity[Section],$C5,RM_PM_Quantity[RM Name],$E5)+IF($D5="MIND/Pre-Production",SUMIFS(RM_PM_Quantity[Quantity],RM_PM_Quantity[Date],BB$1,RM_PM_Quantity[Location],"MIDC/Pre-Production",RM_PM_Quantity[Section],$C5,RM_PM_Quantity[RM Name],$E5),0)</f>
        <v>0</v>
      </c>
      <c r="BC5" s="84">
        <f>SUMIFS(RM_PM_Quantity[Quantity],RM_PM_Quantity[Date],BC$1,RM_PM_Quantity[Location],$D5,RM_PM_Quantity[Section],$C5,RM_PM_Quantity[RM Name],$E5)+IF($D5="MIND/Pre-Production",SUMIFS(RM_PM_Quantity[Quantity],RM_PM_Quantity[Date],BC$1,RM_PM_Quantity[Location],"MIDC/Pre-Production",RM_PM_Quantity[Section],$C5,RM_PM_Quantity[RM Name],$E5),0)</f>
        <v>0</v>
      </c>
      <c r="BD5" s="84">
        <f>SUMIFS(RM_PM_Quantity[Quantity],RM_PM_Quantity[Date],BD$1,RM_PM_Quantity[Location],$D5,RM_PM_Quantity[Section],$C5,RM_PM_Quantity[RM Name],$E5)+IF($D5="MIND/Pre-Production",SUMIFS(RM_PM_Quantity[Quantity],RM_PM_Quantity[Date],BD$1,RM_PM_Quantity[Location],"MIDC/Pre-Production",RM_PM_Quantity[Section],$C5,RM_PM_Quantity[RM Name],$E5),0)</f>
        <v>0</v>
      </c>
      <c r="BE5" s="84">
        <f>SUMIFS(RM_PM_Quantity[Quantity],RM_PM_Quantity[Date],BE$1,RM_PM_Quantity[Location],$D5,RM_PM_Quantity[Section],$C5,RM_PM_Quantity[RM Name],$E5)+IF($D5="MIND/Pre-Production",SUMIFS(RM_PM_Quantity[Quantity],RM_PM_Quantity[Date],BE$1,RM_PM_Quantity[Location],"MIDC/Pre-Production",RM_PM_Quantity[Section],$C5,RM_PM_Quantity[RM Name],$E5),0)</f>
        <v>0</v>
      </c>
      <c r="BF5" s="84">
        <f>SUMIFS(RM_PM_Quantity[Quantity],RM_PM_Quantity[Date],BF$1,RM_PM_Quantity[Location],$D5,RM_PM_Quantity[Section],$C5,RM_PM_Quantity[RM Name],$E5)+IF($D5="MIND/Pre-Production",SUMIFS(RM_PM_Quantity[Quantity],RM_PM_Quantity[Date],BF$1,RM_PM_Quantity[Location],"MIDC/Pre-Production",RM_PM_Quantity[Section],$C5,RM_PM_Quantity[RM Name],$E5),0)</f>
        <v>0</v>
      </c>
      <c r="BG5" s="84">
        <f>SUMIFS(RM_PM_Quantity[Quantity],RM_PM_Quantity[Date],BG$1,RM_PM_Quantity[Location],$D5,RM_PM_Quantity[Section],$C5,RM_PM_Quantity[RM Name],$E5)+IF($D5="MIND/Pre-Production",SUMIFS(RM_PM_Quantity[Quantity],RM_PM_Quantity[Date],BG$1,RM_PM_Quantity[Location],"MIDC/Pre-Production",RM_PM_Quantity[Section],$C5,RM_PM_Quantity[RM Name],$E5),0)</f>
        <v>0</v>
      </c>
      <c r="BH5" s="84">
        <f>SUMIFS(RM_PM_Quantity[Quantity],RM_PM_Quantity[Date],BH$1,RM_PM_Quantity[Location],$D5,RM_PM_Quantity[Section],$C5,RM_PM_Quantity[RM Name],$E5)+IF($D5="MIND/Pre-Production",SUMIFS(RM_PM_Quantity[Quantity],RM_PM_Quantity[Date],BH$1,RM_PM_Quantity[Location],"MIDC/Pre-Production",RM_PM_Quantity[Section],$C5,RM_PM_Quantity[RM Name],$E5),0)</f>
        <v>0</v>
      </c>
      <c r="BI5" s="84">
        <f>SUMIFS(RM_PM_Quantity[Quantity],RM_PM_Quantity[Date],BI$1,RM_PM_Quantity[Location],$D5,RM_PM_Quantity[Section],$C5,RM_PM_Quantity[RM Name],$E5)+IF($D5="MIND/Pre-Production",SUMIFS(RM_PM_Quantity[Quantity],RM_PM_Quantity[Date],BI$1,RM_PM_Quantity[Location],"MIDC/Pre-Production",RM_PM_Quantity[Section],$C5,RM_PM_Quantity[RM Name],$E5),0)</f>
        <v>0</v>
      </c>
      <c r="BJ5" s="84">
        <f>SUMIFS(RM_PM_Quantity[Quantity],RM_PM_Quantity[Date],BJ$1,RM_PM_Quantity[Location],$D5,RM_PM_Quantity[Section],$C5,RM_PM_Quantity[RM Name],$E5)+IF($D5="MIND/Pre-Production",SUMIFS(RM_PM_Quantity[Quantity],RM_PM_Quantity[Date],BJ$1,RM_PM_Quantity[Location],"MIDC/Pre-Production",RM_PM_Quantity[Section],$C5,RM_PM_Quantity[RM Name],$E5),0)</f>
        <v>0</v>
      </c>
      <c r="BK5" s="84">
        <f>SUMIFS(RM_PM_Quantity[Quantity],RM_PM_Quantity[Date],BK$1,RM_PM_Quantity[Location],$D5,RM_PM_Quantity[Section],$C5,RM_PM_Quantity[RM Name],$E5)+IF($D5="MIND/Pre-Production",SUMIFS(RM_PM_Quantity[Quantity],RM_PM_Quantity[Date],BK$1,RM_PM_Quantity[Location],"MIDC/Pre-Production",RM_PM_Quantity[Section],$C5,RM_PM_Quantity[RM Name],$E5),0)</f>
        <v>0</v>
      </c>
      <c r="BL5" s="84">
        <f>SUMIFS(RM_PM_Quantity[Quantity],RM_PM_Quantity[Date],BL$1,RM_PM_Quantity[Location],$D5,RM_PM_Quantity[Section],$C5,RM_PM_Quantity[RM Name],$E5)+IF($D5="MIND/Pre-Production",SUMIFS(RM_PM_Quantity[Quantity],RM_PM_Quantity[Date],BL$1,RM_PM_Quantity[Location],"MIDC/Pre-Production",RM_PM_Quantity[Section],$C5,RM_PM_Quantity[RM Name],$E5),0)</f>
        <v>0</v>
      </c>
      <c r="BM5" s="84">
        <f>SUMIFS(RM_PM_Quantity[Quantity],RM_PM_Quantity[Date],BM$1,RM_PM_Quantity[Location],$D5,RM_PM_Quantity[Section],$C5,RM_PM_Quantity[RM Name],$E5)+IF($D5="MIND/Pre-Production",SUMIFS(RM_PM_Quantity[Quantity],RM_PM_Quantity[Date],BM$1,RM_PM_Quantity[Location],"MIDC/Pre-Production",RM_PM_Quantity[Section],$C5,RM_PM_Quantity[RM Name],$E5),0)</f>
        <v>0</v>
      </c>
      <c r="BN5" s="84">
        <f>SUMIFS(RM_PM_Quantity[Quantity],RM_PM_Quantity[Date],BN$1,RM_PM_Quantity[Location],$D5,RM_PM_Quantity[Section],$C5,RM_PM_Quantity[RM Name],$E5)+IF($D5="MIND/Pre-Production",SUMIFS(RM_PM_Quantity[Quantity],RM_PM_Quantity[Date],BN$1,RM_PM_Quantity[Location],"MIDC/Pre-Production",RM_PM_Quantity[Section],$C5,RM_PM_Quantity[RM Name],$E5),0)</f>
        <v>0</v>
      </c>
      <c r="BO5" s="84">
        <f>SUMIFS(RM_PM_Quantity[Quantity],RM_PM_Quantity[Date],BO$1,RM_PM_Quantity[Location],$D5,RM_PM_Quantity[Section],$C5,RM_PM_Quantity[RM Name],$E5)+IF($D5="MIND/Pre-Production",SUMIFS(RM_PM_Quantity[Quantity],RM_PM_Quantity[Date],BO$1,RM_PM_Quantity[Location],"MIDC/Pre-Production",RM_PM_Quantity[Section],$C5,RM_PM_Quantity[RM Name],$E5),0)</f>
        <v>0</v>
      </c>
      <c r="BP5" s="84">
        <f>SUMIFS(RM_PM_Quantity[Quantity],RM_PM_Quantity[Date],BP$1,RM_PM_Quantity[Location],$D5,RM_PM_Quantity[Section],$C5,RM_PM_Quantity[RM Name],$E5)+IF($D5="MIND/Pre-Production",SUMIFS(RM_PM_Quantity[Quantity],RM_PM_Quantity[Date],BP$1,RM_PM_Quantity[Location],"MIDC/Pre-Production",RM_PM_Quantity[Section],$C5,RM_PM_Quantity[RM Name],$E5),0)</f>
        <v>0</v>
      </c>
      <c r="BQ5" s="84">
        <f>SUMIFS(RM_PM_Quantity[Quantity],RM_PM_Quantity[Date],BQ$1,RM_PM_Quantity[Location],$D5,RM_PM_Quantity[Section],$C5,RM_PM_Quantity[RM Name],$E5)+IF($D5="MIND/Pre-Production",SUMIFS(RM_PM_Quantity[Quantity],RM_PM_Quantity[Date],BQ$1,RM_PM_Quantity[Location],"MIDC/Pre-Production",RM_PM_Quantity[Section],$C5,RM_PM_Quantity[RM Name],$E5),0)</f>
        <v>0</v>
      </c>
      <c r="BR5" s="84">
        <f>SUMIFS(RM_PM_Quantity[Quantity],RM_PM_Quantity[Date],BR$1,RM_PM_Quantity[Location],$D5,RM_PM_Quantity[Section],$C5,RM_PM_Quantity[RM Name],$E5)+IF($D5="MIND/Pre-Production",SUMIFS(RM_PM_Quantity[Quantity],RM_PM_Quantity[Date],BR$1,RM_PM_Quantity[Location],"MIDC/Pre-Production",RM_PM_Quantity[Section],$C5,RM_PM_Quantity[RM Name],$E5),0)</f>
        <v>0</v>
      </c>
      <c r="BS5" s="84">
        <f>SUMIFS(RM_PM_Quantity[Quantity],RM_PM_Quantity[Date],BS$1,RM_PM_Quantity[Location],$D5,RM_PM_Quantity[Section],$C5,RM_PM_Quantity[RM Name],$E5)+IF($D5="MIND/Pre-Production",SUMIFS(RM_PM_Quantity[Quantity],RM_PM_Quantity[Date],BS$1,RM_PM_Quantity[Location],"MIDC/Pre-Production",RM_PM_Quantity[Section],$C5,RM_PM_Quantity[RM Name],$E5),0)</f>
        <v>0</v>
      </c>
      <c r="BT5" s="84">
        <f>SUMIFS(RM_PM_Quantity[ID],RM_PM_Quantity[Location],BT$1,RM_PM_Quantity[Section],$D5,RM_PM_Quantity[RM Name],$C5,RM_PM_Quantity[Quantity],$E5)+IF($D5="MIND/Pre-Production",SUMIFS(RM_PM_Quantity[ID],RM_PM_Quantity[Location],BT$1,RM_PM_Quantity[Section],"MIDC/Pre-Production",RM_PM_Quantity[RM Name],$C5,RM_PM_Quantity[Quantity],$E5),0)</f>
        <v>0</v>
      </c>
      <c r="BU5" s="84">
        <f>SUMIFS(RM_PM_Quantity[Name of Supervisor],RM_PM_Quantity[Section],BU$1,RM_PM_Quantity[RM Name],$D5,RM_PM_Quantity[Quantity],$C5,RM_PM_Quantity[ID],$E5)+IF($D5="MIND/Pre-Production",SUMIFS(RM_PM_Quantity[Name of Supervisor],RM_PM_Quantity[Section],BU$1,RM_PM_Quantity[RM Name],"MIDC/Pre-Production",RM_PM_Quantity[Quantity],$C5,RM_PM_Quantity[ID],$E5),0)</f>
        <v>0</v>
      </c>
      <c r="BV5" s="84">
        <f>SUMIFS(RM_PM_Quantity[Date],RM_PM_Quantity[RM Name],BV$1,RM_PM_Quantity[Quantity],$D5,RM_PM_Quantity[ID],$C5,RM_PM_Quantity[Name of Supervisor],$E5)+IF($D5="MIND/Pre-Production",SUMIFS(RM_PM_Quantity[Date],RM_PM_Quantity[RM Name],BV$1,RM_PM_Quantity[Quantity],"MIDC/Pre-Production",RM_PM_Quantity[ID],$C5,RM_PM_Quantity[Name of Supervisor],$E5),0)</f>
        <v>0</v>
      </c>
      <c r="BW5" s="84">
        <f>SUMIFS(RM_PM_Quantity[Location],RM_PM_Quantity[Quantity],BW$1,RM_PM_Quantity[ID],$D5,RM_PM_Quantity[Name of Supervisor],$C5,RM_PM_Quantity[Date],$E5)+IF($D5="MIND/Pre-Production",SUMIFS(RM_PM_Quantity[Location],RM_PM_Quantity[Quantity],BW$1,RM_PM_Quantity[ID],"MIDC/Pre-Production",RM_PM_Quantity[Name of Supervisor],$C5,RM_PM_Quantity[Date],$E5),0)</f>
        <v>0</v>
      </c>
      <c r="BX5" s="84">
        <f>SUMIFS(RM_PM_Quantity[Section],RM_PM_Quantity[ID],BX$1,RM_PM_Quantity[Name of Supervisor],$D5,RM_PM_Quantity[Date],$C5,RM_PM_Quantity[Location],$E5)+IF($D5="MIND/Pre-Production",SUMIFS(RM_PM_Quantity[Section],RM_PM_Quantity[ID],BX$1,RM_PM_Quantity[Name of Supervisor],"MIDC/Pre-Production",RM_PM_Quantity[Date],$C5,RM_PM_Quantity[Location],$E5),0)</f>
        <v>0</v>
      </c>
      <c r="BY5" s="84">
        <f>SUMIFS(RM_PM_Quantity[RM Name],RM_PM_Quantity[Name of Supervisor],BY$1,RM_PM_Quantity[Date],$D5,RM_PM_Quantity[Location],$C5,RM_PM_Quantity[Section],$E5)+IF($D5="MIND/Pre-Production",SUMIFS(RM_PM_Quantity[RM Name],RM_PM_Quantity[Name of Supervisor],BY$1,RM_PM_Quantity[Date],"MIDC/Pre-Production",RM_PM_Quantity[Location],$C5,RM_PM_Quantity[Section],$E5),0)</f>
        <v>0</v>
      </c>
    </row>
    <row r="6" spans="1:77" ht="45.75" customHeight="1">
      <c r="A6" s="79">
        <v>5</v>
      </c>
      <c r="B6" s="87" t="s">
        <v>62</v>
      </c>
      <c r="C6" s="80" t="s">
        <v>53</v>
      </c>
      <c r="D6" s="81" t="s">
        <v>54</v>
      </c>
      <c r="E6" s="82" t="s">
        <v>63</v>
      </c>
      <c r="F6" s="83">
        <f>IFERROR(_xlfn.XLOOKUP(B6,'[1]RM Tracker'!B:B,'[1]RM Tracker'!E:E),"0")</f>
        <v>236.70999999999989</v>
      </c>
      <c r="G6" s="85">
        <f t="shared" si="2"/>
        <v>0</v>
      </c>
      <c r="H6" s="85">
        <f t="shared" si="0"/>
        <v>-236.70999999999989</v>
      </c>
      <c r="I6" s="91">
        <f t="shared" si="1"/>
        <v>0</v>
      </c>
      <c r="J6" s="84">
        <f>SUMIFS(RM_PM_Quantity[Quantity],RM_PM_Quantity[Date],J$1,RM_PM_Quantity[Location],$D6,RM_PM_Quantity[Section],$C6,RM_PM_Quantity[RM Name],$E6)+IF($D6="MIND/Pre-Production",SUMIFS(RM_PM_Quantity[Quantity],RM_PM_Quantity[Date],J$1,RM_PM_Quantity[Location],"MIDC/Pre-Production",RM_PM_Quantity[Section],$C6,RM_PM_Quantity[RM Name],$E6),0)</f>
        <v>0</v>
      </c>
      <c r="K6" s="84">
        <f>SUMIFS(RM_PM_Quantity[Quantity],RM_PM_Quantity[Date],K$1,RM_PM_Quantity[Location],$D6,RM_PM_Quantity[Section],$C6,RM_PM_Quantity[RM Name],$E6)+IF($D6="MIND/Pre-Production",SUMIFS(RM_PM_Quantity[Quantity],RM_PM_Quantity[Date],K$1,RM_PM_Quantity[Location],"MIDC/Pre-Production",RM_PM_Quantity[Section],$C6,RM_PM_Quantity[RM Name],$E6),0)</f>
        <v>0</v>
      </c>
      <c r="L6" s="84">
        <f>SUMIFS(RM_PM_Quantity[Quantity],RM_PM_Quantity[Date],L$1,RM_PM_Quantity[Location],$D6,RM_PM_Quantity[Section],$C6,RM_PM_Quantity[RM Name],$E6)+IF($D6="MIND/Pre-Production",SUMIFS(RM_PM_Quantity[Quantity],RM_PM_Quantity[Date],L$1,RM_PM_Quantity[Location],"MIDC/Pre-Production",RM_PM_Quantity[Section],$C6,RM_PM_Quantity[RM Name],$E6),0)</f>
        <v>0</v>
      </c>
      <c r="M6" s="84">
        <f>SUMIFS(RM_PM_Quantity[Quantity],RM_PM_Quantity[Date],M$1,RM_PM_Quantity[Location],$D6,RM_PM_Quantity[Section],$C6,RM_PM_Quantity[RM Name],$E6)+IF($D6="MIND/Pre-Production",SUMIFS(RM_PM_Quantity[Quantity],RM_PM_Quantity[Date],M$1,RM_PM_Quantity[Location],"MIDC/Pre-Production",RM_PM_Quantity[Section],$C6,RM_PM_Quantity[RM Name],$E6),0)</f>
        <v>0</v>
      </c>
      <c r="N6" s="84">
        <f>SUMIFS(RM_PM_Quantity[Quantity],RM_PM_Quantity[Date],N$1,RM_PM_Quantity[Location],$D6,RM_PM_Quantity[Section],$C6,RM_PM_Quantity[RM Name],$E6)+IF($D6="MIND/Pre-Production",SUMIFS(RM_PM_Quantity[Quantity],RM_PM_Quantity[Date],N$1,RM_PM_Quantity[Location],"MIDC/Pre-Production",RM_PM_Quantity[Section],$C6,RM_PM_Quantity[RM Name],$E6),0)</f>
        <v>0</v>
      </c>
      <c r="O6" s="84">
        <f>SUMIFS(RM_PM_Quantity[Quantity],RM_PM_Quantity[Date],O$1,RM_PM_Quantity[Location],$D6,RM_PM_Quantity[Section],$C6,RM_PM_Quantity[RM Name],$E6)+IF($D6="MIND/Pre-Production",SUMIFS(RM_PM_Quantity[Quantity],RM_PM_Quantity[Date],O$1,RM_PM_Quantity[Location],"MIDC/Pre-Production",RM_PM_Quantity[Section],$C6,RM_PM_Quantity[RM Name],$E6),0)</f>
        <v>0</v>
      </c>
      <c r="P6" s="84">
        <f>SUMIFS(RM_PM_Quantity[Quantity],RM_PM_Quantity[Date],P$1,RM_PM_Quantity[Location],$D6,RM_PM_Quantity[Section],$C6,RM_PM_Quantity[RM Name],$E6)+IF($D6="MIND/Pre-Production",SUMIFS(RM_PM_Quantity[Quantity],RM_PM_Quantity[Date],P$1,RM_PM_Quantity[Location],"MIDC/Pre-Production",RM_PM_Quantity[Section],$C6,RM_PM_Quantity[RM Name],$E6),0)</f>
        <v>0</v>
      </c>
      <c r="Q6" s="84">
        <f>SUMIFS(RM_PM_Quantity[Quantity],RM_PM_Quantity[Date],Q$1,RM_PM_Quantity[Location],$D6,RM_PM_Quantity[Section],$C6,RM_PM_Quantity[RM Name],$E6)+IF($D6="MIND/Pre-Production",SUMIFS(RM_PM_Quantity[Quantity],RM_PM_Quantity[Date],Q$1,RM_PM_Quantity[Location],"MIDC/Pre-Production",RM_PM_Quantity[Section],$C6,RM_PM_Quantity[RM Name],$E6),0)</f>
        <v>0</v>
      </c>
      <c r="R6" s="84">
        <f>SUMIFS(RM_PM_Quantity[Quantity],RM_PM_Quantity[Date],R$1,RM_PM_Quantity[Location],$D6,RM_PM_Quantity[Section],$C6,RM_PM_Quantity[RM Name],$E6)+IF($D6="MIND/Pre-Production",SUMIFS(RM_PM_Quantity[Quantity],RM_PM_Quantity[Date],R$1,RM_PM_Quantity[Location],"MIDC/Pre-Production",RM_PM_Quantity[Section],$C6,RM_PM_Quantity[RM Name],$E6),0)</f>
        <v>0</v>
      </c>
      <c r="S6" s="84">
        <f>SUMIFS(RM_PM_Quantity[Quantity],RM_PM_Quantity[Date],S$1,RM_PM_Quantity[Location],$D6,RM_PM_Quantity[Section],$C6,RM_PM_Quantity[RM Name],$E6)+IF($D6="MIND/Pre-Production",SUMIFS(RM_PM_Quantity[Quantity],RM_PM_Quantity[Date],S$1,RM_PM_Quantity[Location],"MIDC/Pre-Production",RM_PM_Quantity[Section],$C6,RM_PM_Quantity[RM Name],$E6),0)</f>
        <v>0</v>
      </c>
      <c r="T6" s="84">
        <f>SUMIFS(RM_PM_Quantity[Quantity],RM_PM_Quantity[Date],T$1,RM_PM_Quantity[Location],$D6,RM_PM_Quantity[Section],$C6,RM_PM_Quantity[RM Name],$E6)+IF($D6="MIND/Pre-Production",SUMIFS(RM_PM_Quantity[Quantity],RM_PM_Quantity[Date],T$1,RM_PM_Quantity[Location],"MIDC/Pre-Production",RM_PM_Quantity[Section],$C6,RM_PM_Quantity[RM Name],$E6),0)</f>
        <v>0</v>
      </c>
      <c r="U6" s="84">
        <f>SUMIFS(RM_PM_Quantity[Quantity],RM_PM_Quantity[Date],U$1,RM_PM_Quantity[Location],$D6,RM_PM_Quantity[Section],$C6,RM_PM_Quantity[RM Name],$E6)+IF($D6="MIND/Pre-Production",SUMIFS(RM_PM_Quantity[Quantity],RM_PM_Quantity[Date],U$1,RM_PM_Quantity[Location],"MIDC/Pre-Production",RM_PM_Quantity[Section],$C6,RM_PM_Quantity[RM Name],$E6),0)</f>
        <v>0</v>
      </c>
      <c r="V6" s="84">
        <f>SUMIFS(RM_PM_Quantity[Quantity],RM_PM_Quantity[Date],V$1,RM_PM_Quantity[Location],$D6,RM_PM_Quantity[Section],$C6,RM_PM_Quantity[RM Name],$E6)+IF($D6="MIND/Pre-Production",SUMIFS(RM_PM_Quantity[Quantity],RM_PM_Quantity[Date],V$1,RM_PM_Quantity[Location],"MIDC/Pre-Production",RM_PM_Quantity[Section],$C6,RM_PM_Quantity[RM Name],$E6),0)</f>
        <v>0</v>
      </c>
      <c r="W6" s="84">
        <f>SUMIFS(RM_PM_Quantity[Quantity],RM_PM_Quantity[Date],W$1,RM_PM_Quantity[Location],$D6,RM_PM_Quantity[Section],$C6,RM_PM_Quantity[RM Name],$E6)+IF($D6="MIND/Pre-Production",SUMIFS(RM_PM_Quantity[Quantity],RM_PM_Quantity[Date],W$1,RM_PM_Quantity[Location],"MIDC/Pre-Production",RM_PM_Quantity[Section],$C6,RM_PM_Quantity[RM Name],$E6),0)</f>
        <v>0</v>
      </c>
      <c r="X6" s="84">
        <f>SUMIFS(RM_PM_Quantity[Quantity],RM_PM_Quantity[Date],X$1,RM_PM_Quantity[Location],$D6,RM_PM_Quantity[Section],$C6,RM_PM_Quantity[RM Name],$E6)+IF($D6="MIND/Pre-Production",SUMIFS(RM_PM_Quantity[Quantity],RM_PM_Quantity[Date],X$1,RM_PM_Quantity[Location],"MIDC/Pre-Production",RM_PM_Quantity[Section],$C6,RM_PM_Quantity[RM Name],$E6),0)</f>
        <v>0</v>
      </c>
      <c r="Y6" s="84">
        <f>SUMIFS(RM_PM_Quantity[Quantity],RM_PM_Quantity[Date],Y$1,RM_PM_Quantity[Location],$D6,RM_PM_Quantity[Section],$C6,RM_PM_Quantity[RM Name],$E6)+IF($D6="MIND/Pre-Production",SUMIFS(RM_PM_Quantity[Quantity],RM_PM_Quantity[Date],Y$1,RM_PM_Quantity[Location],"MIDC/Pre-Production",RM_PM_Quantity[Section],$C6,RM_PM_Quantity[RM Name],$E6),0)</f>
        <v>0</v>
      </c>
      <c r="Z6" s="84">
        <f>SUMIFS(RM_PM_Quantity[Quantity],RM_PM_Quantity[Date],Z$1,RM_PM_Quantity[Location],$D6,RM_PM_Quantity[Section],$C6,RM_PM_Quantity[RM Name],$E6)+IF($D6="MIND/Pre-Production",SUMIFS(RM_PM_Quantity[Quantity],RM_PM_Quantity[Date],Z$1,RM_PM_Quantity[Location],"MIDC/Pre-Production",RM_PM_Quantity[Section],$C6,RM_PM_Quantity[RM Name],$E6),0)</f>
        <v>0</v>
      </c>
      <c r="AA6" s="84">
        <f>SUMIFS(RM_PM_Quantity[Quantity],RM_PM_Quantity[Date],AA$1,RM_PM_Quantity[Location],$D6,RM_PM_Quantity[Section],$C6,RM_PM_Quantity[RM Name],$E6)+IF($D6="MIND/Pre-Production",SUMIFS(RM_PM_Quantity[Quantity],RM_PM_Quantity[Date],AA$1,RM_PM_Quantity[Location],"MIDC/Pre-Production",RM_PM_Quantity[Section],$C6,RM_PM_Quantity[RM Name],$E6),0)</f>
        <v>200</v>
      </c>
      <c r="AB6" s="84">
        <f>SUMIFS(RM_PM_Quantity[Quantity],RM_PM_Quantity[Date],AB$1,RM_PM_Quantity[Location],$D6,RM_PM_Quantity[Section],$C6,RM_PM_Quantity[RM Name],$E6)+IF($D6="MIND/Pre-Production",SUMIFS(RM_PM_Quantity[Quantity],RM_PM_Quantity[Date],AB$1,RM_PM_Quantity[Location],"MIDC/Pre-Production",RM_PM_Quantity[Section],$C6,RM_PM_Quantity[RM Name],$E6),0)</f>
        <v>0</v>
      </c>
      <c r="AC6" s="84">
        <f>SUMIFS(RM_PM_Quantity[Quantity],RM_PM_Quantity[Date],AC$1,RM_PM_Quantity[Location],$D6,RM_PM_Quantity[Section],$C6,RM_PM_Quantity[RM Name],$E6)+IF($D6="MIND/Pre-Production",SUMIFS(RM_PM_Quantity[Quantity],RM_PM_Quantity[Date],AC$1,RM_PM_Quantity[Location],"MIDC/Pre-Production",RM_PM_Quantity[Section],$C6,RM_PM_Quantity[RM Name],$E6),0)</f>
        <v>0</v>
      </c>
      <c r="AD6" s="84">
        <f>SUMIFS(RM_PM_Quantity[Quantity],RM_PM_Quantity[Date],AD$1,RM_PM_Quantity[Location],$D6,RM_PM_Quantity[Section],$C6,RM_PM_Quantity[RM Name],$E6)+IF($D6="MIND/Pre-Production",SUMIFS(RM_PM_Quantity[Quantity],RM_PM_Quantity[Date],AD$1,RM_PM_Quantity[Location],"MIDC/Pre-Production",RM_PM_Quantity[Section],$C6,RM_PM_Quantity[RM Name],$E6),0)</f>
        <v>0</v>
      </c>
      <c r="AE6" s="84">
        <f>SUMIFS(RM_PM_Quantity[Quantity],RM_PM_Quantity[Date],AE$1,RM_PM_Quantity[Location],$D6,RM_PM_Quantity[Section],$C6,RM_PM_Quantity[RM Name],$E6)+IF($D6="MIND/Pre-Production",SUMIFS(RM_PM_Quantity[Quantity],RM_PM_Quantity[Date],AE$1,RM_PM_Quantity[Location],"MIDC/Pre-Production",RM_PM_Quantity[Section],$C6,RM_PM_Quantity[RM Name],$E6),0)</f>
        <v>0</v>
      </c>
      <c r="AF6" s="84">
        <f>SUMIFS(RM_PM_Quantity[Quantity],RM_PM_Quantity[Date],AF$1,RM_PM_Quantity[Location],$D6,RM_PM_Quantity[Section],$C6,RM_PM_Quantity[RM Name],$E6)+IF($D6="MIND/Pre-Production",SUMIFS(RM_PM_Quantity[Quantity],RM_PM_Quantity[Date],AF$1,RM_PM_Quantity[Location],"MIDC/Pre-Production",RM_PM_Quantity[Section],$C6,RM_PM_Quantity[RM Name],$E6),0)</f>
        <v>0</v>
      </c>
      <c r="AG6" s="84">
        <f>SUMIFS(RM_PM_Quantity[Quantity],RM_PM_Quantity[Date],AG$1,RM_PM_Quantity[Location],$D6,RM_PM_Quantity[Section],$C6,RM_PM_Quantity[RM Name],$E6)+IF($D6="MIND/Pre-Production",SUMIFS(RM_PM_Quantity[Quantity],RM_PM_Quantity[Date],AG$1,RM_PM_Quantity[Location],"MIDC/Pre-Production",RM_PM_Quantity[Section],$C6,RM_PM_Quantity[RM Name],$E6),0)</f>
        <v>0</v>
      </c>
      <c r="AH6" s="84">
        <f>SUMIFS(RM_PM_Quantity[Quantity],RM_PM_Quantity[Date],AH$1,RM_PM_Quantity[Location],$D6,RM_PM_Quantity[Section],$C6,RM_PM_Quantity[RM Name],$E6)+IF($D6="MIND/Pre-Production",SUMIFS(RM_PM_Quantity[Quantity],RM_PM_Quantity[Date],AH$1,RM_PM_Quantity[Location],"MIDC/Pre-Production",RM_PM_Quantity[Section],$C6,RM_PM_Quantity[RM Name],$E6),0)</f>
        <v>0</v>
      </c>
      <c r="AI6" s="84">
        <f>SUMIFS(RM_PM_Quantity[Quantity],RM_PM_Quantity[Date],AI$1,RM_PM_Quantity[Location],$D6,RM_PM_Quantity[Section],$C6,RM_PM_Quantity[RM Name],$E6)+IF($D6="MIND/Pre-Production",SUMIFS(RM_PM_Quantity[Quantity],RM_PM_Quantity[Date],AI$1,RM_PM_Quantity[Location],"MIDC/Pre-Production",RM_PM_Quantity[Section],$C6,RM_PM_Quantity[RM Name],$E6),0)</f>
        <v>0</v>
      </c>
      <c r="AJ6" s="84">
        <f>SUMIFS(RM_PM_Quantity[Quantity],RM_PM_Quantity[Date],AJ$1,RM_PM_Quantity[Location],$D6,RM_PM_Quantity[Section],$C6,RM_PM_Quantity[RM Name],$E6)+IF($D6="MIND/Pre-Production",SUMIFS(RM_PM_Quantity[Quantity],RM_PM_Quantity[Date],AJ$1,RM_PM_Quantity[Location],"MIDC/Pre-Production",RM_PM_Quantity[Section],$C6,RM_PM_Quantity[RM Name],$E6),0)</f>
        <v>0</v>
      </c>
      <c r="AK6" s="84">
        <f>SUMIFS(RM_PM_Quantity[Quantity],RM_PM_Quantity[Date],AK$1,RM_PM_Quantity[Location],$D6,RM_PM_Quantity[Section],$C6,RM_PM_Quantity[RM Name],$E6)+IF($D6="MIND/Pre-Production",SUMIFS(RM_PM_Quantity[Quantity],RM_PM_Quantity[Date],AK$1,RM_PM_Quantity[Location],"MIDC/Pre-Production",RM_PM_Quantity[Section],$C6,RM_PM_Quantity[RM Name],$E6),0)</f>
        <v>0</v>
      </c>
      <c r="AL6" s="84">
        <f>SUMIFS(RM_PM_Quantity[Quantity],RM_PM_Quantity[Date],AL$1,RM_PM_Quantity[Location],$D6,RM_PM_Quantity[Section],$C6,RM_PM_Quantity[RM Name],$E6)+IF($D6="MIND/Pre-Production",SUMIFS(RM_PM_Quantity[Quantity],RM_PM_Quantity[Date],AL$1,RM_PM_Quantity[Location],"MIDC/Pre-Production",RM_PM_Quantity[Section],$C6,RM_PM_Quantity[RM Name],$E6),0)</f>
        <v>0</v>
      </c>
      <c r="AM6" s="84">
        <f>SUMIFS(RM_PM_Quantity[Quantity],RM_PM_Quantity[Date],AM$1,RM_PM_Quantity[Location],$D6,RM_PM_Quantity[Section],$C6,RM_PM_Quantity[RM Name],$E6)+IF($D6="MIND/Pre-Production",SUMIFS(RM_PM_Quantity[Quantity],RM_PM_Quantity[Date],AM$1,RM_PM_Quantity[Location],"MIDC/Pre-Production",RM_PM_Quantity[Section],$C6,RM_PM_Quantity[RM Name],$E6),0)</f>
        <v>0</v>
      </c>
      <c r="AN6" s="84">
        <f>SUMIFS(RM_PM_Quantity[Quantity],RM_PM_Quantity[Date],AN$1,RM_PM_Quantity[Location],$D6,RM_PM_Quantity[Section],$C6,RM_PM_Quantity[RM Name],$E6)+IF($D6="MIND/Pre-Production",SUMIFS(RM_PM_Quantity[Quantity],RM_PM_Quantity[Date],AN$1,RM_PM_Quantity[Location],"MIDC/Pre-Production",RM_PM_Quantity[Section],$C6,RM_PM_Quantity[RM Name],$E6),0)</f>
        <v>0</v>
      </c>
      <c r="AO6" s="84">
        <f>SUMIFS(RM_PM_Quantity[Quantity],RM_PM_Quantity[Date],AO$1,RM_PM_Quantity[Location],$D6,RM_PM_Quantity[Section],$C6,RM_PM_Quantity[RM Name],$E6)+IF($D6="MIND/Pre-Production",SUMIFS(RM_PM_Quantity[Quantity],RM_PM_Quantity[Date],AO$1,RM_PM_Quantity[Location],"MIDC/Pre-Production",RM_PM_Quantity[Section],$C6,RM_PM_Quantity[RM Name],$E6),0)</f>
        <v>0</v>
      </c>
      <c r="AP6" s="84">
        <f>SUMIFS(RM_PM_Quantity[Quantity],RM_PM_Quantity[Date],AP$1,RM_PM_Quantity[Location],$D6,RM_PM_Quantity[Section],$C6,RM_PM_Quantity[RM Name],$E6)+IF($D6="MIND/Pre-Production",SUMIFS(RM_PM_Quantity[Quantity],RM_PM_Quantity[Date],AP$1,RM_PM_Quantity[Location],"MIDC/Pre-Production",RM_PM_Quantity[Section],$C6,RM_PM_Quantity[RM Name],$E6),0)</f>
        <v>0</v>
      </c>
      <c r="AQ6" s="84">
        <f>SUMIFS(RM_PM_Quantity[Quantity],RM_PM_Quantity[Date],AQ$1,RM_PM_Quantity[Location],$D6,RM_PM_Quantity[Section],$C6,RM_PM_Quantity[RM Name],$E6)+IF($D6="MIND/Pre-Production",SUMIFS(RM_PM_Quantity[Quantity],RM_PM_Quantity[Date],AQ$1,RM_PM_Quantity[Location],"MIDC/Pre-Production",RM_PM_Quantity[Section],$C6,RM_PM_Quantity[RM Name],$E6),0)</f>
        <v>0</v>
      </c>
      <c r="AR6" s="84">
        <f>SUMIFS(RM_PM_Quantity[Quantity],RM_PM_Quantity[Date],AR$1,RM_PM_Quantity[Location],$D6,RM_PM_Quantity[Section],$C6,RM_PM_Quantity[RM Name],$E6)+IF($D6="MIND/Pre-Production",SUMIFS(RM_PM_Quantity[Quantity],RM_PM_Quantity[Date],AR$1,RM_PM_Quantity[Location],"MIDC/Pre-Production",RM_PM_Quantity[Section],$C6,RM_PM_Quantity[RM Name],$E6),0)</f>
        <v>0</v>
      </c>
      <c r="AS6" s="84">
        <f>SUMIFS(RM_PM_Quantity[Quantity],RM_PM_Quantity[Date],AS$1,RM_PM_Quantity[Location],$D6,RM_PM_Quantity[Section],$C6,RM_PM_Quantity[RM Name],$E6)+IF($D6="MIND/Pre-Production",SUMIFS(RM_PM_Quantity[Quantity],RM_PM_Quantity[Date],AS$1,RM_PM_Quantity[Location],"MIDC/Pre-Production",RM_PM_Quantity[Section],$C6,RM_PM_Quantity[RM Name],$E6),0)</f>
        <v>0</v>
      </c>
      <c r="AT6" s="84">
        <f>SUMIFS(RM_PM_Quantity[Quantity],RM_PM_Quantity[Date],AT$1,RM_PM_Quantity[Location],$D6,RM_PM_Quantity[Section],$C6,RM_PM_Quantity[RM Name],$E6)+IF($D6="MIND/Pre-Production",SUMIFS(RM_PM_Quantity[Quantity],RM_PM_Quantity[Date],AT$1,RM_PM_Quantity[Location],"MIDC/Pre-Production",RM_PM_Quantity[Section],$C6,RM_PM_Quantity[RM Name],$E6),0)</f>
        <v>200</v>
      </c>
      <c r="AU6" s="84">
        <f>SUMIFS(RM_PM_Quantity[Quantity],RM_PM_Quantity[Date],AU$1,RM_PM_Quantity[Location],$D6,RM_PM_Quantity[Section],$C6,RM_PM_Quantity[RM Name],$E6)+IF($D6="MIND/Pre-Production",SUMIFS(RM_PM_Quantity[Quantity],RM_PM_Quantity[Date],AU$1,RM_PM_Quantity[Location],"MIDC/Pre-Production",RM_PM_Quantity[Section],$C6,RM_PM_Quantity[RM Name],$E6),0)</f>
        <v>0</v>
      </c>
      <c r="AV6" s="84">
        <f>SUMIFS(RM_PM_Quantity[Quantity],RM_PM_Quantity[Date],AV$1,RM_PM_Quantity[Location],$D6,RM_PM_Quantity[Section],$C6,RM_PM_Quantity[RM Name],$E6)+IF($D6="MIND/Pre-Production",SUMIFS(RM_PM_Quantity[Quantity],RM_PM_Quantity[Date],AV$1,RM_PM_Quantity[Location],"MIDC/Pre-Production",RM_PM_Quantity[Section],$C6,RM_PM_Quantity[RM Name],$E6),0)</f>
        <v>0</v>
      </c>
      <c r="AW6" s="84">
        <f>SUMIFS(RM_PM_Quantity[Quantity],RM_PM_Quantity[Date],AW$1,RM_PM_Quantity[Location],$D6,RM_PM_Quantity[Section],$C6,RM_PM_Quantity[RM Name],$E6)+IF($D6="MIND/Pre-Production",SUMIFS(RM_PM_Quantity[Quantity],RM_PM_Quantity[Date],AW$1,RM_PM_Quantity[Location],"MIDC/Pre-Production",RM_PM_Quantity[Section],$C6,RM_PM_Quantity[RM Name],$E6),0)</f>
        <v>0</v>
      </c>
      <c r="AX6" s="84">
        <f>SUMIFS(RM_PM_Quantity[Quantity],RM_PM_Quantity[Date],AX$1,RM_PM_Quantity[Location],$D6,RM_PM_Quantity[Section],$C6,RM_PM_Quantity[RM Name],$E6)+IF($D6="MIND/Pre-Production",SUMIFS(RM_PM_Quantity[Quantity],RM_PM_Quantity[Date],AX$1,RM_PM_Quantity[Location],"MIDC/Pre-Production",RM_PM_Quantity[Section],$C6,RM_PM_Quantity[RM Name],$E6),0)</f>
        <v>0</v>
      </c>
      <c r="AY6" s="84">
        <f>SUMIFS(RM_PM_Quantity[Quantity],RM_PM_Quantity[Date],AY$1,RM_PM_Quantity[Location],$D6,RM_PM_Quantity[Section],$C6,RM_PM_Quantity[RM Name],$E6)+IF($D6="MIND/Pre-Production",SUMIFS(RM_PM_Quantity[Quantity],RM_PM_Quantity[Date],AY$1,RM_PM_Quantity[Location],"MIDC/Pre-Production",RM_PM_Quantity[Section],$C6,RM_PM_Quantity[RM Name],$E6),0)</f>
        <v>0</v>
      </c>
      <c r="AZ6" s="84">
        <f>SUMIFS(RM_PM_Quantity[Quantity],RM_PM_Quantity[Date],AZ$1,RM_PM_Quantity[Location],$D6,RM_PM_Quantity[Section],$C6,RM_PM_Quantity[RM Name],$E6)+IF($D6="MIND/Pre-Production",SUMIFS(RM_PM_Quantity[Quantity],RM_PM_Quantity[Date],AZ$1,RM_PM_Quantity[Location],"MIDC/Pre-Production",RM_PM_Quantity[Section],$C6,RM_PM_Quantity[RM Name],$E6),0)</f>
        <v>0</v>
      </c>
      <c r="BA6" s="84">
        <f>SUMIFS(RM_PM_Quantity[Quantity],RM_PM_Quantity[Date],BA$1,RM_PM_Quantity[Location],$D6,RM_PM_Quantity[Section],$C6,RM_PM_Quantity[RM Name],$E6)+IF($D6="MIND/Pre-Production",SUMIFS(RM_PM_Quantity[Quantity],RM_PM_Quantity[Date],BA$1,RM_PM_Quantity[Location],"MIDC/Pre-Production",RM_PM_Quantity[Section],$C6,RM_PM_Quantity[RM Name],$E6),0)</f>
        <v>0</v>
      </c>
      <c r="BB6" s="84">
        <f>SUMIFS(RM_PM_Quantity[Quantity],RM_PM_Quantity[Date],BB$1,RM_PM_Quantity[Location],$D6,RM_PM_Quantity[Section],$C6,RM_PM_Quantity[RM Name],$E6)+IF($D6="MIND/Pre-Production",SUMIFS(RM_PM_Quantity[Quantity],RM_PM_Quantity[Date],BB$1,RM_PM_Quantity[Location],"MIDC/Pre-Production",RM_PM_Quantity[Section],$C6,RM_PM_Quantity[RM Name],$E6),0)</f>
        <v>0</v>
      </c>
      <c r="BC6" s="84">
        <f>SUMIFS(RM_PM_Quantity[Quantity],RM_PM_Quantity[Date],BC$1,RM_PM_Quantity[Location],$D6,RM_PM_Quantity[Section],$C6,RM_PM_Quantity[RM Name],$E6)+IF($D6="MIND/Pre-Production",SUMIFS(RM_PM_Quantity[Quantity],RM_PM_Quantity[Date],BC$1,RM_PM_Quantity[Location],"MIDC/Pre-Production",RM_PM_Quantity[Section],$C6,RM_PM_Quantity[RM Name],$E6),0)</f>
        <v>0</v>
      </c>
      <c r="BD6" s="84">
        <f>SUMIFS(RM_PM_Quantity[Quantity],RM_PM_Quantity[Date],BD$1,RM_PM_Quantity[Location],$D6,RM_PM_Quantity[Section],$C6,RM_PM_Quantity[RM Name],$E6)+IF($D6="MIND/Pre-Production",SUMIFS(RM_PM_Quantity[Quantity],RM_PM_Quantity[Date],BD$1,RM_PM_Quantity[Location],"MIDC/Pre-Production",RM_PM_Quantity[Section],$C6,RM_PM_Quantity[RM Name],$E6),0)</f>
        <v>0</v>
      </c>
      <c r="BE6" s="84">
        <f>SUMIFS(RM_PM_Quantity[Quantity],RM_PM_Quantity[Date],BE$1,RM_PM_Quantity[Location],$D6,RM_PM_Quantity[Section],$C6,RM_PM_Quantity[RM Name],$E6)+IF($D6="MIND/Pre-Production",SUMIFS(RM_PM_Quantity[Quantity],RM_PM_Quantity[Date],BE$1,RM_PM_Quantity[Location],"MIDC/Pre-Production",RM_PM_Quantity[Section],$C6,RM_PM_Quantity[RM Name],$E6),0)</f>
        <v>0</v>
      </c>
      <c r="BF6" s="84">
        <f>SUMIFS(RM_PM_Quantity[Quantity],RM_PM_Quantity[Date],BF$1,RM_PM_Quantity[Location],$D6,RM_PM_Quantity[Section],$C6,RM_PM_Quantity[RM Name],$E6)+IF($D6="MIND/Pre-Production",SUMIFS(RM_PM_Quantity[Quantity],RM_PM_Quantity[Date],BF$1,RM_PM_Quantity[Location],"MIDC/Pre-Production",RM_PM_Quantity[Section],$C6,RM_PM_Quantity[RM Name],$E6),0)</f>
        <v>0</v>
      </c>
      <c r="BG6" s="84">
        <f>SUMIFS(RM_PM_Quantity[Quantity],RM_PM_Quantity[Date],BG$1,RM_PM_Quantity[Location],$D6,RM_PM_Quantity[Section],$C6,RM_PM_Quantity[RM Name],$E6)+IF($D6="MIND/Pre-Production",SUMIFS(RM_PM_Quantity[Quantity],RM_PM_Quantity[Date],BG$1,RM_PM_Quantity[Location],"MIDC/Pre-Production",RM_PM_Quantity[Section],$C6,RM_PM_Quantity[RM Name],$E6),0)</f>
        <v>0</v>
      </c>
      <c r="BH6" s="84">
        <f>SUMIFS(RM_PM_Quantity[Quantity],RM_PM_Quantity[Date],BH$1,RM_PM_Quantity[Location],$D6,RM_PM_Quantity[Section],$C6,RM_PM_Quantity[RM Name],$E6)+IF($D6="MIND/Pre-Production",SUMIFS(RM_PM_Quantity[Quantity],RM_PM_Quantity[Date],BH$1,RM_PM_Quantity[Location],"MIDC/Pre-Production",RM_PM_Quantity[Section],$C6,RM_PM_Quantity[RM Name],$E6),0)</f>
        <v>0</v>
      </c>
      <c r="BI6" s="84">
        <f>SUMIFS(RM_PM_Quantity[Quantity],RM_PM_Quantity[Date],BI$1,RM_PM_Quantity[Location],$D6,RM_PM_Quantity[Section],$C6,RM_PM_Quantity[RM Name],$E6)+IF($D6="MIND/Pre-Production",SUMIFS(RM_PM_Quantity[Quantity],RM_PM_Quantity[Date],BI$1,RM_PM_Quantity[Location],"MIDC/Pre-Production",RM_PM_Quantity[Section],$C6,RM_PM_Quantity[RM Name],$E6),0)</f>
        <v>0</v>
      </c>
      <c r="BJ6" s="84">
        <f>SUMIFS(RM_PM_Quantity[Quantity],RM_PM_Quantity[Date],BJ$1,RM_PM_Quantity[Location],$D6,RM_PM_Quantity[Section],$C6,RM_PM_Quantity[RM Name],$E6)+IF($D6="MIND/Pre-Production",SUMIFS(RM_PM_Quantity[Quantity],RM_PM_Quantity[Date],BJ$1,RM_PM_Quantity[Location],"MIDC/Pre-Production",RM_PM_Quantity[Section],$C6,RM_PM_Quantity[RM Name],$E6),0)</f>
        <v>0</v>
      </c>
      <c r="BK6" s="84">
        <f>SUMIFS(RM_PM_Quantity[Quantity],RM_PM_Quantity[Date],BK$1,RM_PM_Quantity[Location],$D6,RM_PM_Quantity[Section],$C6,RM_PM_Quantity[RM Name],$E6)+IF($D6="MIND/Pre-Production",SUMIFS(RM_PM_Quantity[Quantity],RM_PM_Quantity[Date],BK$1,RM_PM_Quantity[Location],"MIDC/Pre-Production",RM_PM_Quantity[Section],$C6,RM_PM_Quantity[RM Name],$E6),0)</f>
        <v>0</v>
      </c>
      <c r="BL6" s="84">
        <f>SUMIFS(RM_PM_Quantity[Quantity],RM_PM_Quantity[Date],BL$1,RM_PM_Quantity[Location],$D6,RM_PM_Quantity[Section],$C6,RM_PM_Quantity[RM Name],$E6)+IF($D6="MIND/Pre-Production",SUMIFS(RM_PM_Quantity[Quantity],RM_PM_Quantity[Date],BL$1,RM_PM_Quantity[Location],"MIDC/Pre-Production",RM_PM_Quantity[Section],$C6,RM_PM_Quantity[RM Name],$E6),0)</f>
        <v>0</v>
      </c>
      <c r="BM6" s="84">
        <f>SUMIFS(RM_PM_Quantity[Quantity],RM_PM_Quantity[Date],BM$1,RM_PM_Quantity[Location],$D6,RM_PM_Quantity[Section],$C6,RM_PM_Quantity[RM Name],$E6)+IF($D6="MIND/Pre-Production",SUMIFS(RM_PM_Quantity[Quantity],RM_PM_Quantity[Date],BM$1,RM_PM_Quantity[Location],"MIDC/Pre-Production",RM_PM_Quantity[Section],$C6,RM_PM_Quantity[RM Name],$E6),0)</f>
        <v>0</v>
      </c>
      <c r="BN6" s="84">
        <f>SUMIFS(RM_PM_Quantity[Quantity],RM_PM_Quantity[Date],BN$1,RM_PM_Quantity[Location],$D6,RM_PM_Quantity[Section],$C6,RM_PM_Quantity[RM Name],$E6)+IF($D6="MIND/Pre-Production",SUMIFS(RM_PM_Quantity[Quantity],RM_PM_Quantity[Date],BN$1,RM_PM_Quantity[Location],"MIDC/Pre-Production",RM_PM_Quantity[Section],$C6,RM_PM_Quantity[RM Name],$E6),0)</f>
        <v>0</v>
      </c>
      <c r="BO6" s="84">
        <f>SUMIFS(RM_PM_Quantity[Quantity],RM_PM_Quantity[Date],BO$1,RM_PM_Quantity[Location],$D6,RM_PM_Quantity[Section],$C6,RM_PM_Quantity[RM Name],$E6)+IF($D6="MIND/Pre-Production",SUMIFS(RM_PM_Quantity[Quantity],RM_PM_Quantity[Date],BO$1,RM_PM_Quantity[Location],"MIDC/Pre-Production",RM_PM_Quantity[Section],$C6,RM_PM_Quantity[RM Name],$E6),0)</f>
        <v>0</v>
      </c>
      <c r="BP6" s="84">
        <f>SUMIFS(RM_PM_Quantity[Quantity],RM_PM_Quantity[Date],BP$1,RM_PM_Quantity[Location],$D6,RM_PM_Quantity[Section],$C6,RM_PM_Quantity[RM Name],$E6)+IF($D6="MIND/Pre-Production",SUMIFS(RM_PM_Quantity[Quantity],RM_PM_Quantity[Date],BP$1,RM_PM_Quantity[Location],"MIDC/Pre-Production",RM_PM_Quantity[Section],$C6,RM_PM_Quantity[RM Name],$E6),0)</f>
        <v>0</v>
      </c>
      <c r="BQ6" s="84">
        <f>SUMIFS(RM_PM_Quantity[Quantity],RM_PM_Quantity[Date],BQ$1,RM_PM_Quantity[Location],$D6,RM_PM_Quantity[Section],$C6,RM_PM_Quantity[RM Name],$E6)+IF($D6="MIND/Pre-Production",SUMIFS(RM_PM_Quantity[Quantity],RM_PM_Quantity[Date],BQ$1,RM_PM_Quantity[Location],"MIDC/Pre-Production",RM_PM_Quantity[Section],$C6,RM_PM_Quantity[RM Name],$E6),0)</f>
        <v>0</v>
      </c>
      <c r="BR6" s="84">
        <f>SUMIFS(RM_PM_Quantity[Quantity],RM_PM_Quantity[Date],BR$1,RM_PM_Quantity[Location],$D6,RM_PM_Quantity[Section],$C6,RM_PM_Quantity[RM Name],$E6)+IF($D6="MIND/Pre-Production",SUMIFS(RM_PM_Quantity[Quantity],RM_PM_Quantity[Date],BR$1,RM_PM_Quantity[Location],"MIDC/Pre-Production",RM_PM_Quantity[Section],$C6,RM_PM_Quantity[RM Name],$E6),0)</f>
        <v>0</v>
      </c>
      <c r="BS6" s="84">
        <f>SUMIFS(RM_PM_Quantity[Quantity],RM_PM_Quantity[Date],BS$1,RM_PM_Quantity[Location],$D6,RM_PM_Quantity[Section],$C6,RM_PM_Quantity[RM Name],$E6)+IF($D6="MIND/Pre-Production",SUMIFS(RM_PM_Quantity[Quantity],RM_PM_Quantity[Date],BS$1,RM_PM_Quantity[Location],"MIDC/Pre-Production",RM_PM_Quantity[Section],$C6,RM_PM_Quantity[RM Name],$E6),0)</f>
        <v>0</v>
      </c>
      <c r="BT6" s="84">
        <f>SUMIFS(RM_PM_Quantity[ID],RM_PM_Quantity[Location],BT$1,RM_PM_Quantity[Section],$D6,RM_PM_Quantity[RM Name],$C6,RM_PM_Quantity[Quantity],$E6)+IF($D6="MIND/Pre-Production",SUMIFS(RM_PM_Quantity[ID],RM_PM_Quantity[Location],BT$1,RM_PM_Quantity[Section],"MIDC/Pre-Production",RM_PM_Quantity[RM Name],$C6,RM_PM_Quantity[Quantity],$E6),0)</f>
        <v>0</v>
      </c>
      <c r="BU6" s="84">
        <f>SUMIFS(RM_PM_Quantity[Name of Supervisor],RM_PM_Quantity[Section],BU$1,RM_PM_Quantity[RM Name],$D6,RM_PM_Quantity[Quantity],$C6,RM_PM_Quantity[ID],$E6)+IF($D6="MIND/Pre-Production",SUMIFS(RM_PM_Quantity[Name of Supervisor],RM_PM_Quantity[Section],BU$1,RM_PM_Quantity[RM Name],"MIDC/Pre-Production",RM_PM_Quantity[Quantity],$C6,RM_PM_Quantity[ID],$E6),0)</f>
        <v>0</v>
      </c>
      <c r="BV6" s="84">
        <f>SUMIFS(RM_PM_Quantity[Date],RM_PM_Quantity[RM Name],BV$1,RM_PM_Quantity[Quantity],$D6,RM_PM_Quantity[ID],$C6,RM_PM_Quantity[Name of Supervisor],$E6)+IF($D6="MIND/Pre-Production",SUMIFS(RM_PM_Quantity[Date],RM_PM_Quantity[RM Name],BV$1,RM_PM_Quantity[Quantity],"MIDC/Pre-Production",RM_PM_Quantity[ID],$C6,RM_PM_Quantity[Name of Supervisor],$E6),0)</f>
        <v>0</v>
      </c>
      <c r="BW6" s="84">
        <f>SUMIFS(RM_PM_Quantity[Location],RM_PM_Quantity[Quantity],BW$1,RM_PM_Quantity[ID],$D6,RM_PM_Quantity[Name of Supervisor],$C6,RM_PM_Quantity[Date],$E6)+IF($D6="MIND/Pre-Production",SUMIFS(RM_PM_Quantity[Location],RM_PM_Quantity[Quantity],BW$1,RM_PM_Quantity[ID],"MIDC/Pre-Production",RM_PM_Quantity[Name of Supervisor],$C6,RM_PM_Quantity[Date],$E6),0)</f>
        <v>0</v>
      </c>
      <c r="BX6" s="84">
        <f>SUMIFS(RM_PM_Quantity[Section],RM_PM_Quantity[ID],BX$1,RM_PM_Quantity[Name of Supervisor],$D6,RM_PM_Quantity[Date],$C6,RM_PM_Quantity[Location],$E6)+IF($D6="MIND/Pre-Production",SUMIFS(RM_PM_Quantity[Section],RM_PM_Quantity[ID],BX$1,RM_PM_Quantity[Name of Supervisor],"MIDC/Pre-Production",RM_PM_Quantity[Date],$C6,RM_PM_Quantity[Location],$E6),0)</f>
        <v>0</v>
      </c>
      <c r="BY6" s="84">
        <f>SUMIFS(RM_PM_Quantity[RM Name],RM_PM_Quantity[Name of Supervisor],BY$1,RM_PM_Quantity[Date],$D6,RM_PM_Quantity[Location],$C6,RM_PM_Quantity[Section],$E6)+IF($D6="MIND/Pre-Production",SUMIFS(RM_PM_Quantity[RM Name],RM_PM_Quantity[Name of Supervisor],BY$1,RM_PM_Quantity[Date],"MIDC/Pre-Production",RM_PM_Quantity[Location],$C6,RM_PM_Quantity[Section],$E6),0)</f>
        <v>0</v>
      </c>
    </row>
    <row r="7" spans="1:77" ht="45.75" customHeight="1">
      <c r="A7" s="79">
        <v>6</v>
      </c>
      <c r="B7" s="79" t="s">
        <v>64</v>
      </c>
      <c r="C7" s="80" t="s">
        <v>65</v>
      </c>
      <c r="D7" s="81" t="s">
        <v>54</v>
      </c>
      <c r="E7" s="82" t="s">
        <v>65</v>
      </c>
      <c r="F7" s="83">
        <f>IFERROR(_xlfn.XLOOKUP(B7,'[1]RM Tracker'!B:B,'[1]RM Tracker'!E:E),"0")</f>
        <v>6.2570000000000006</v>
      </c>
      <c r="G7" s="85">
        <f t="shared" si="2"/>
        <v>0</v>
      </c>
      <c r="H7" s="85">
        <f t="shared" si="0"/>
        <v>-6.2570000000000006</v>
      </c>
      <c r="I7" s="91">
        <f t="shared" si="1"/>
        <v>0</v>
      </c>
      <c r="J7" s="84">
        <f>SUMIFS(RM_PM_Quantity[Quantity],RM_PM_Quantity[Date],J$1,RM_PM_Quantity[Location],$D7,RM_PM_Quantity[Section],$C7,RM_PM_Quantity[RM Name],$E7)+IF($D7="MIND/Pre-Production",SUMIFS(RM_PM_Quantity[Quantity],RM_PM_Quantity[Date],J$1,RM_PM_Quantity[Location],"MIDC/Pre-Production",RM_PM_Quantity[Section],$C7,RM_PM_Quantity[RM Name],$E7),0)</f>
        <v>0</v>
      </c>
      <c r="K7" s="84">
        <f>SUMIFS(RM_PM_Quantity[Quantity],RM_PM_Quantity[Date],K$1,RM_PM_Quantity[Location],$D7,RM_PM_Quantity[Section],$C7,RM_PM_Quantity[RM Name],$E7)+IF($D7="MIND/Pre-Production",SUMIFS(RM_PM_Quantity[Quantity],RM_PM_Quantity[Date],K$1,RM_PM_Quantity[Location],"MIDC/Pre-Production",RM_PM_Quantity[Section],$C7,RM_PM_Quantity[RM Name],$E7),0)</f>
        <v>0</v>
      </c>
      <c r="L7" s="84">
        <f>SUMIFS(RM_PM_Quantity[Quantity],RM_PM_Quantity[Date],L$1,RM_PM_Quantity[Location],$D7,RM_PM_Quantity[Section],$C7,RM_PM_Quantity[RM Name],$E7)+IF($D7="MIND/Pre-Production",SUMIFS(RM_PM_Quantity[Quantity],RM_PM_Quantity[Date],L$1,RM_PM_Quantity[Location],"MIDC/Pre-Production",RM_PM_Quantity[Section],$C7,RM_PM_Quantity[RM Name],$E7),0)</f>
        <v>0</v>
      </c>
      <c r="M7" s="84">
        <f>SUMIFS(RM_PM_Quantity[Quantity],RM_PM_Quantity[Date],M$1,RM_PM_Quantity[Location],$D7,RM_PM_Quantity[Section],$C7,RM_PM_Quantity[RM Name],$E7)+IF($D7="MIND/Pre-Production",SUMIFS(RM_PM_Quantity[Quantity],RM_PM_Quantity[Date],M$1,RM_PM_Quantity[Location],"MIDC/Pre-Production",RM_PM_Quantity[Section],$C7,RM_PM_Quantity[RM Name],$E7),0)</f>
        <v>0</v>
      </c>
      <c r="N7" s="84">
        <f>SUMIFS(RM_PM_Quantity[Quantity],RM_PM_Quantity[Date],N$1,RM_PM_Quantity[Location],$D7,RM_PM_Quantity[Section],$C7,RM_PM_Quantity[RM Name],$E7)+IF($D7="MIND/Pre-Production",SUMIFS(RM_PM_Quantity[Quantity],RM_PM_Quantity[Date],N$1,RM_PM_Quantity[Location],"MIDC/Pre-Production",RM_PM_Quantity[Section],$C7,RM_PM_Quantity[RM Name],$E7),0)</f>
        <v>0</v>
      </c>
      <c r="O7" s="84">
        <f>SUMIFS(RM_PM_Quantity[Quantity],RM_PM_Quantity[Date],O$1,RM_PM_Quantity[Location],$D7,RM_PM_Quantity[Section],$C7,RM_PM_Quantity[RM Name],$E7)+IF($D7="MIND/Pre-Production",SUMIFS(RM_PM_Quantity[Quantity],RM_PM_Quantity[Date],O$1,RM_PM_Quantity[Location],"MIDC/Pre-Production",RM_PM_Quantity[Section],$C7,RM_PM_Quantity[RM Name],$E7),0)</f>
        <v>0</v>
      </c>
      <c r="P7" s="84">
        <f>SUMIFS(RM_PM_Quantity[Quantity],RM_PM_Quantity[Date],P$1,RM_PM_Quantity[Location],$D7,RM_PM_Quantity[Section],$C7,RM_PM_Quantity[RM Name],$E7)+IF($D7="MIND/Pre-Production",SUMIFS(RM_PM_Quantity[Quantity],RM_PM_Quantity[Date],P$1,RM_PM_Quantity[Location],"MIDC/Pre-Production",RM_PM_Quantity[Section],$C7,RM_PM_Quantity[RM Name],$E7),0)</f>
        <v>0</v>
      </c>
      <c r="Q7" s="84">
        <f>SUMIFS(RM_PM_Quantity[Quantity],RM_PM_Quantity[Date],Q$1,RM_PM_Quantity[Location],$D7,RM_PM_Quantity[Section],$C7,RM_PM_Quantity[RM Name],$E7)+IF($D7="MIND/Pre-Production",SUMIFS(RM_PM_Quantity[Quantity],RM_PM_Quantity[Date],Q$1,RM_PM_Quantity[Location],"MIDC/Pre-Production",RM_PM_Quantity[Section],$C7,RM_PM_Quantity[RM Name],$E7),0)</f>
        <v>0</v>
      </c>
      <c r="R7" s="84">
        <f>SUMIFS(RM_PM_Quantity[Quantity],RM_PM_Quantity[Date],R$1,RM_PM_Quantity[Location],$D7,RM_PM_Quantity[Section],$C7,RM_PM_Quantity[RM Name],$E7)+IF($D7="MIND/Pre-Production",SUMIFS(RM_PM_Quantity[Quantity],RM_PM_Quantity[Date],R$1,RM_PM_Quantity[Location],"MIDC/Pre-Production",RM_PM_Quantity[Section],$C7,RM_PM_Quantity[RM Name],$E7),0)</f>
        <v>0</v>
      </c>
      <c r="S7" s="84">
        <f>SUMIFS(RM_PM_Quantity[Quantity],RM_PM_Quantity[Date],S$1,RM_PM_Quantity[Location],$D7,RM_PM_Quantity[Section],$C7,RM_PM_Quantity[RM Name],$E7)+IF($D7="MIND/Pre-Production",SUMIFS(RM_PM_Quantity[Quantity],RM_PM_Quantity[Date],S$1,RM_PM_Quantity[Location],"MIDC/Pre-Production",RM_PM_Quantity[Section],$C7,RM_PM_Quantity[RM Name],$E7),0)</f>
        <v>0</v>
      </c>
      <c r="T7" s="84">
        <f>SUMIFS(RM_PM_Quantity[Quantity],RM_PM_Quantity[Date],T$1,RM_PM_Quantity[Location],$D7,RM_PM_Quantity[Section],$C7,RM_PM_Quantity[RM Name],$E7)+IF($D7="MIND/Pre-Production",SUMIFS(RM_PM_Quantity[Quantity],RM_PM_Quantity[Date],T$1,RM_PM_Quantity[Location],"MIDC/Pre-Production",RM_PM_Quantity[Section],$C7,RM_PM_Quantity[RM Name],$E7),0)</f>
        <v>0</v>
      </c>
      <c r="U7" s="84">
        <f>SUMIFS(RM_PM_Quantity[Quantity],RM_PM_Quantity[Date],U$1,RM_PM_Quantity[Location],$D7,RM_PM_Quantity[Section],$C7,RM_PM_Quantity[RM Name],$E7)+IF($D7="MIND/Pre-Production",SUMIFS(RM_PM_Quantity[Quantity],RM_PM_Quantity[Date],U$1,RM_PM_Quantity[Location],"MIDC/Pre-Production",RM_PM_Quantity[Section],$C7,RM_PM_Quantity[RM Name],$E7),0)</f>
        <v>0</v>
      </c>
      <c r="V7" s="84">
        <f>SUMIFS(RM_PM_Quantity[Quantity],RM_PM_Quantity[Date],V$1,RM_PM_Quantity[Location],$D7,RM_PM_Quantity[Section],$C7,RM_PM_Quantity[RM Name],$E7)+IF($D7="MIND/Pre-Production",SUMIFS(RM_PM_Quantity[Quantity],RM_PM_Quantity[Date],V$1,RM_PM_Quantity[Location],"MIDC/Pre-Production",RM_PM_Quantity[Section],$C7,RM_PM_Quantity[RM Name],$E7),0)</f>
        <v>0</v>
      </c>
      <c r="W7" s="84">
        <f>SUMIFS(RM_PM_Quantity[Quantity],RM_PM_Quantity[Date],W$1,RM_PM_Quantity[Location],$D7,RM_PM_Quantity[Section],$C7,RM_PM_Quantity[RM Name],$E7)+IF($D7="MIND/Pre-Production",SUMIFS(RM_PM_Quantity[Quantity],RM_PM_Quantity[Date],W$1,RM_PM_Quantity[Location],"MIDC/Pre-Production",RM_PM_Quantity[Section],$C7,RM_PM_Quantity[RM Name],$E7),0)</f>
        <v>0</v>
      </c>
      <c r="X7" s="84">
        <f>SUMIFS(RM_PM_Quantity[Quantity],RM_PM_Quantity[Date],X$1,RM_PM_Quantity[Location],$D7,RM_PM_Quantity[Section],$C7,RM_PM_Quantity[RM Name],$E7)+IF($D7="MIND/Pre-Production",SUMIFS(RM_PM_Quantity[Quantity],RM_PM_Quantity[Date],X$1,RM_PM_Quantity[Location],"MIDC/Pre-Production",RM_PM_Quantity[Section],$C7,RM_PM_Quantity[RM Name],$E7),0)</f>
        <v>0</v>
      </c>
      <c r="Y7" s="84">
        <f>SUMIFS(RM_PM_Quantity[Quantity],RM_PM_Quantity[Date],Y$1,RM_PM_Quantity[Location],$D7,RM_PM_Quantity[Section],$C7,RM_PM_Quantity[RM Name],$E7)+IF($D7="MIND/Pre-Production",SUMIFS(RM_PM_Quantity[Quantity],RM_PM_Quantity[Date],Y$1,RM_PM_Quantity[Location],"MIDC/Pre-Production",RM_PM_Quantity[Section],$C7,RM_PM_Quantity[RM Name],$E7),0)</f>
        <v>0</v>
      </c>
      <c r="Z7" s="84">
        <f>SUMIFS(RM_PM_Quantity[Quantity],RM_PM_Quantity[Date],Z$1,RM_PM_Quantity[Location],$D7,RM_PM_Quantity[Section],$C7,RM_PM_Quantity[RM Name],$E7)+IF($D7="MIND/Pre-Production",SUMIFS(RM_PM_Quantity[Quantity],RM_PM_Quantity[Date],Z$1,RM_PM_Quantity[Location],"MIDC/Pre-Production",RM_PM_Quantity[Section],$C7,RM_PM_Quantity[RM Name],$E7),0)</f>
        <v>0</v>
      </c>
      <c r="AA7" s="84">
        <f>SUMIFS(RM_PM_Quantity[Quantity],RM_PM_Quantity[Date],AA$1,RM_PM_Quantity[Location],$D7,RM_PM_Quantity[Section],$C7,RM_PM_Quantity[RM Name],$E7)+IF($D7="MIND/Pre-Production",SUMIFS(RM_PM_Quantity[Quantity],RM_PM_Quantity[Date],AA$1,RM_PM_Quantity[Location],"MIDC/Pre-Production",RM_PM_Quantity[Section],$C7,RM_PM_Quantity[RM Name],$E7),0)</f>
        <v>0</v>
      </c>
      <c r="AB7" s="84">
        <f>SUMIFS(RM_PM_Quantity[Quantity],RM_PM_Quantity[Date],AB$1,RM_PM_Quantity[Location],$D7,RM_PM_Quantity[Section],$C7,RM_PM_Quantity[RM Name],$E7)+IF($D7="MIND/Pre-Production",SUMIFS(RM_PM_Quantity[Quantity],RM_PM_Quantity[Date],AB$1,RM_PM_Quantity[Location],"MIDC/Pre-Production",RM_PM_Quantity[Section],$C7,RM_PM_Quantity[RM Name],$E7),0)</f>
        <v>0</v>
      </c>
      <c r="AC7" s="84">
        <f>SUMIFS(RM_PM_Quantity[Quantity],RM_PM_Quantity[Date],AC$1,RM_PM_Quantity[Location],$D7,RM_PM_Quantity[Section],$C7,RM_PM_Quantity[RM Name],$E7)+IF($D7="MIND/Pre-Production",SUMIFS(RM_PM_Quantity[Quantity],RM_PM_Quantity[Date],AC$1,RM_PM_Quantity[Location],"MIDC/Pre-Production",RM_PM_Quantity[Section],$C7,RM_PM_Quantity[RM Name],$E7),0)</f>
        <v>0</v>
      </c>
      <c r="AD7" s="84">
        <f>SUMIFS(RM_PM_Quantity[Quantity],RM_PM_Quantity[Date],AD$1,RM_PM_Quantity[Location],$D7,RM_PM_Quantity[Section],$C7,RM_PM_Quantity[RM Name],$E7)+IF($D7="MIND/Pre-Production",SUMIFS(RM_PM_Quantity[Quantity],RM_PM_Quantity[Date],AD$1,RM_PM_Quantity[Location],"MIDC/Pre-Production",RM_PM_Quantity[Section],$C7,RM_PM_Quantity[RM Name],$E7),0)</f>
        <v>500</v>
      </c>
      <c r="AE7" s="84">
        <f>SUMIFS(RM_PM_Quantity[Quantity],RM_PM_Quantity[Date],AE$1,RM_PM_Quantity[Location],$D7,RM_PM_Quantity[Section],$C7,RM_PM_Quantity[RM Name],$E7)+IF($D7="MIND/Pre-Production",SUMIFS(RM_PM_Quantity[Quantity],RM_PM_Quantity[Date],AE$1,RM_PM_Quantity[Location],"MIDC/Pre-Production",RM_PM_Quantity[Section],$C7,RM_PM_Quantity[RM Name],$E7),0)</f>
        <v>0</v>
      </c>
      <c r="AF7" s="84">
        <f>SUMIFS(RM_PM_Quantity[Quantity],RM_PM_Quantity[Date],AF$1,RM_PM_Quantity[Location],$D7,RM_PM_Quantity[Section],$C7,RM_PM_Quantity[RM Name],$E7)+IF($D7="MIND/Pre-Production",SUMIFS(RM_PM_Quantity[Quantity],RM_PM_Quantity[Date],AF$1,RM_PM_Quantity[Location],"MIDC/Pre-Production",RM_PM_Quantity[Section],$C7,RM_PM_Quantity[RM Name],$E7),0)</f>
        <v>2000</v>
      </c>
      <c r="AG7" s="84">
        <f>SUMIFS(RM_PM_Quantity[Quantity],RM_PM_Quantity[Date],AG$1,RM_PM_Quantity[Location],$D7,RM_PM_Quantity[Section],$C7,RM_PM_Quantity[RM Name],$E7)+IF($D7="MIND/Pre-Production",SUMIFS(RM_PM_Quantity[Quantity],RM_PM_Quantity[Date],AG$1,RM_PM_Quantity[Location],"MIDC/Pre-Production",RM_PM_Quantity[Section],$C7,RM_PM_Quantity[RM Name],$E7),0)</f>
        <v>0</v>
      </c>
      <c r="AH7" s="84">
        <f>SUMIFS(RM_PM_Quantity[Quantity],RM_PM_Quantity[Date],AH$1,RM_PM_Quantity[Location],$D7,RM_PM_Quantity[Section],$C7,RM_PM_Quantity[RM Name],$E7)+IF($D7="MIND/Pre-Production",SUMIFS(RM_PM_Quantity[Quantity],RM_PM_Quantity[Date],AH$1,RM_PM_Quantity[Location],"MIDC/Pre-Production",RM_PM_Quantity[Section],$C7,RM_PM_Quantity[RM Name],$E7),0)</f>
        <v>0</v>
      </c>
      <c r="AI7" s="84">
        <f>SUMIFS(RM_PM_Quantity[Quantity],RM_PM_Quantity[Date],AI$1,RM_PM_Quantity[Location],$D7,RM_PM_Quantity[Section],$C7,RM_PM_Quantity[RM Name],$E7)+IF($D7="MIND/Pre-Production",SUMIFS(RM_PM_Quantity[Quantity],RM_PM_Quantity[Date],AI$1,RM_PM_Quantity[Location],"MIDC/Pre-Production",RM_PM_Quantity[Section],$C7,RM_PM_Quantity[RM Name],$E7),0)</f>
        <v>0</v>
      </c>
      <c r="AJ7" s="84">
        <f>SUMIFS(RM_PM_Quantity[Quantity],RM_PM_Quantity[Date],AJ$1,RM_PM_Quantity[Location],$D7,RM_PM_Quantity[Section],$C7,RM_PM_Quantity[RM Name],$E7)+IF($D7="MIND/Pre-Production",SUMIFS(RM_PM_Quantity[Quantity],RM_PM_Quantity[Date],AJ$1,RM_PM_Quantity[Location],"MIDC/Pre-Production",RM_PM_Quantity[Section],$C7,RM_PM_Quantity[RM Name],$E7),0)</f>
        <v>960</v>
      </c>
      <c r="AK7" s="84">
        <f>SUMIFS(RM_PM_Quantity[Quantity],RM_PM_Quantity[Date],AK$1,RM_PM_Quantity[Location],$D7,RM_PM_Quantity[Section],$C7,RM_PM_Quantity[RM Name],$E7)+IF($D7="MIND/Pre-Production",SUMIFS(RM_PM_Quantity[Quantity],RM_PM_Quantity[Date],AK$1,RM_PM_Quantity[Location],"MIDC/Pre-Production",RM_PM_Quantity[Section],$C7,RM_PM_Quantity[RM Name],$E7),0)</f>
        <v>0</v>
      </c>
      <c r="AL7" s="84">
        <f>SUMIFS(RM_PM_Quantity[Quantity],RM_PM_Quantity[Date],AL$1,RM_PM_Quantity[Location],$D7,RM_PM_Quantity[Section],$C7,RM_PM_Quantity[RM Name],$E7)+IF($D7="MIND/Pre-Production",SUMIFS(RM_PM_Quantity[Quantity],RM_PM_Quantity[Date],AL$1,RM_PM_Quantity[Location],"MIDC/Pre-Production",RM_PM_Quantity[Section],$C7,RM_PM_Quantity[RM Name],$E7),0)</f>
        <v>0</v>
      </c>
      <c r="AM7" s="84">
        <f>SUMIFS(RM_PM_Quantity[Quantity],RM_PM_Quantity[Date],AM$1,RM_PM_Quantity[Location],$D7,RM_PM_Quantity[Section],$C7,RM_PM_Quantity[RM Name],$E7)+IF($D7="MIND/Pre-Production",SUMIFS(RM_PM_Quantity[Quantity],RM_PM_Quantity[Date],AM$1,RM_PM_Quantity[Location],"MIDC/Pre-Production",RM_PM_Quantity[Section],$C7,RM_PM_Quantity[RM Name],$E7),0)</f>
        <v>3000</v>
      </c>
      <c r="AN7" s="84">
        <f>SUMIFS(RM_PM_Quantity[Quantity],RM_PM_Quantity[Date],AN$1,RM_PM_Quantity[Location],$D7,RM_PM_Quantity[Section],$C7,RM_PM_Quantity[RM Name],$E7)+IF($D7="MIND/Pre-Production",SUMIFS(RM_PM_Quantity[Quantity],RM_PM_Quantity[Date],AN$1,RM_PM_Quantity[Location],"MIDC/Pre-Production",RM_PM_Quantity[Section],$C7,RM_PM_Quantity[RM Name],$E7),0)</f>
        <v>0</v>
      </c>
      <c r="AO7" s="84">
        <f>SUMIFS(RM_PM_Quantity[Quantity],RM_PM_Quantity[Date],AO$1,RM_PM_Quantity[Location],$D7,RM_PM_Quantity[Section],$C7,RM_PM_Quantity[RM Name],$E7)+IF($D7="MIND/Pre-Production",SUMIFS(RM_PM_Quantity[Quantity],RM_PM_Quantity[Date],AO$1,RM_PM_Quantity[Location],"MIDC/Pre-Production",RM_PM_Quantity[Section],$C7,RM_PM_Quantity[RM Name],$E7),0)</f>
        <v>0</v>
      </c>
      <c r="AP7" s="84">
        <f>SUMIFS(RM_PM_Quantity[Quantity],RM_PM_Quantity[Date],AP$1,RM_PM_Quantity[Location],$D7,RM_PM_Quantity[Section],$C7,RM_PM_Quantity[RM Name],$E7)+IF($D7="MIND/Pre-Production",SUMIFS(RM_PM_Quantity[Quantity],RM_PM_Quantity[Date],AP$1,RM_PM_Quantity[Location],"MIDC/Pre-Production",RM_PM_Quantity[Section],$C7,RM_PM_Quantity[RM Name],$E7),0)</f>
        <v>0</v>
      </c>
      <c r="AQ7" s="84">
        <f>SUMIFS(RM_PM_Quantity[Quantity],RM_PM_Quantity[Date],AQ$1,RM_PM_Quantity[Location],$D7,RM_PM_Quantity[Section],$C7,RM_PM_Quantity[RM Name],$E7)+IF($D7="MIND/Pre-Production",SUMIFS(RM_PM_Quantity[Quantity],RM_PM_Quantity[Date],AQ$1,RM_PM_Quantity[Location],"MIDC/Pre-Production",RM_PM_Quantity[Section],$C7,RM_PM_Quantity[RM Name],$E7),0)</f>
        <v>0</v>
      </c>
      <c r="AR7" s="84">
        <f>SUMIFS(RM_PM_Quantity[Quantity],RM_PM_Quantity[Date],AR$1,RM_PM_Quantity[Location],$D7,RM_PM_Quantity[Section],$C7,RM_PM_Quantity[RM Name],$E7)+IF($D7="MIND/Pre-Production",SUMIFS(RM_PM_Quantity[Quantity],RM_PM_Quantity[Date],AR$1,RM_PM_Quantity[Location],"MIDC/Pre-Production",RM_PM_Quantity[Section],$C7,RM_PM_Quantity[RM Name],$E7),0)</f>
        <v>0</v>
      </c>
      <c r="AS7" s="84">
        <f>SUMIFS(RM_PM_Quantity[Quantity],RM_PM_Quantity[Date],AS$1,RM_PM_Quantity[Location],$D7,RM_PM_Quantity[Section],$C7,RM_PM_Quantity[RM Name],$E7)+IF($D7="MIND/Pre-Production",SUMIFS(RM_PM_Quantity[Quantity],RM_PM_Quantity[Date],AS$1,RM_PM_Quantity[Location],"MIDC/Pre-Production",RM_PM_Quantity[Section],$C7,RM_PM_Quantity[RM Name],$E7),0)</f>
        <v>0</v>
      </c>
      <c r="AT7" s="84">
        <f>SUMIFS(RM_PM_Quantity[Quantity],RM_PM_Quantity[Date],AT$1,RM_PM_Quantity[Location],$D7,RM_PM_Quantity[Section],$C7,RM_PM_Quantity[RM Name],$E7)+IF($D7="MIND/Pre-Production",SUMIFS(RM_PM_Quantity[Quantity],RM_PM_Quantity[Date],AT$1,RM_PM_Quantity[Location],"MIDC/Pre-Production",RM_PM_Quantity[Section],$C7,RM_PM_Quantity[RM Name],$E7),0)</f>
        <v>0</v>
      </c>
      <c r="AU7" s="84">
        <f>SUMIFS(RM_PM_Quantity[Quantity],RM_PM_Quantity[Date],AU$1,RM_PM_Quantity[Location],$D7,RM_PM_Quantity[Section],$C7,RM_PM_Quantity[RM Name],$E7)+IF($D7="MIND/Pre-Production",SUMIFS(RM_PM_Quantity[Quantity],RM_PM_Quantity[Date],AU$1,RM_PM_Quantity[Location],"MIDC/Pre-Production",RM_PM_Quantity[Section],$C7,RM_PM_Quantity[RM Name],$E7),0)</f>
        <v>2000</v>
      </c>
      <c r="AV7" s="84">
        <f>SUMIFS(RM_PM_Quantity[Quantity],RM_PM_Quantity[Date],AV$1,RM_PM_Quantity[Location],$D7,RM_PM_Quantity[Section],$C7,RM_PM_Quantity[RM Name],$E7)+IF($D7="MIND/Pre-Production",SUMIFS(RM_PM_Quantity[Quantity],RM_PM_Quantity[Date],AV$1,RM_PM_Quantity[Location],"MIDC/Pre-Production",RM_PM_Quantity[Section],$C7,RM_PM_Quantity[RM Name],$E7),0)</f>
        <v>0</v>
      </c>
      <c r="AW7" s="84">
        <f>SUMIFS(RM_PM_Quantity[Quantity],RM_PM_Quantity[Date],AW$1,RM_PM_Quantity[Location],$D7,RM_PM_Quantity[Section],$C7,RM_PM_Quantity[RM Name],$E7)+IF($D7="MIND/Pre-Production",SUMIFS(RM_PM_Quantity[Quantity],RM_PM_Quantity[Date],AW$1,RM_PM_Quantity[Location],"MIDC/Pre-Production",RM_PM_Quantity[Section],$C7,RM_PM_Quantity[RM Name],$E7),0)</f>
        <v>0</v>
      </c>
      <c r="AX7" s="84">
        <f>SUMIFS(RM_PM_Quantity[Quantity],RM_PM_Quantity[Date],AX$1,RM_PM_Quantity[Location],$D7,RM_PM_Quantity[Section],$C7,RM_PM_Quantity[RM Name],$E7)+IF($D7="MIND/Pre-Production",SUMIFS(RM_PM_Quantity[Quantity],RM_PM_Quantity[Date],AX$1,RM_PM_Quantity[Location],"MIDC/Pre-Production",RM_PM_Quantity[Section],$C7,RM_PM_Quantity[RM Name],$E7),0)</f>
        <v>0</v>
      </c>
      <c r="AY7" s="84">
        <f>SUMIFS(RM_PM_Quantity[Quantity],RM_PM_Quantity[Date],AY$1,RM_PM_Quantity[Location],$D7,RM_PM_Quantity[Section],$C7,RM_PM_Quantity[RM Name],$E7)+IF($D7="MIND/Pre-Production",SUMIFS(RM_PM_Quantity[Quantity],RM_PM_Quantity[Date],AY$1,RM_PM_Quantity[Location],"MIDC/Pre-Production",RM_PM_Quantity[Section],$C7,RM_PM_Quantity[RM Name],$E7),0)</f>
        <v>0</v>
      </c>
      <c r="AZ7" s="84">
        <f>SUMIFS(RM_PM_Quantity[Quantity],RM_PM_Quantity[Date],AZ$1,RM_PM_Quantity[Location],$D7,RM_PM_Quantity[Section],$C7,RM_PM_Quantity[RM Name],$E7)+IF($D7="MIND/Pre-Production",SUMIFS(RM_PM_Quantity[Quantity],RM_PM_Quantity[Date],AZ$1,RM_PM_Quantity[Location],"MIDC/Pre-Production",RM_PM_Quantity[Section],$C7,RM_PM_Quantity[RM Name],$E7),0)</f>
        <v>0</v>
      </c>
      <c r="BA7" s="84">
        <f>SUMIFS(RM_PM_Quantity[Quantity],RM_PM_Quantity[Date],BA$1,RM_PM_Quantity[Location],$D7,RM_PM_Quantity[Section],$C7,RM_PM_Quantity[RM Name],$E7)+IF($D7="MIND/Pre-Production",SUMIFS(RM_PM_Quantity[Quantity],RM_PM_Quantity[Date],BA$1,RM_PM_Quantity[Location],"MIDC/Pre-Production",RM_PM_Quantity[Section],$C7,RM_PM_Quantity[RM Name],$E7),0)</f>
        <v>0</v>
      </c>
      <c r="BB7" s="84">
        <f>SUMIFS(RM_PM_Quantity[Quantity],RM_PM_Quantity[Date],BB$1,RM_PM_Quantity[Location],$D7,RM_PM_Quantity[Section],$C7,RM_PM_Quantity[RM Name],$E7)+IF($D7="MIND/Pre-Production",SUMIFS(RM_PM_Quantity[Quantity],RM_PM_Quantity[Date],BB$1,RM_PM_Quantity[Location],"MIDC/Pre-Production",RM_PM_Quantity[Section],$C7,RM_PM_Quantity[RM Name],$E7),0)</f>
        <v>0</v>
      </c>
      <c r="BC7" s="84">
        <f>SUMIFS(RM_PM_Quantity[Quantity],RM_PM_Quantity[Date],BC$1,RM_PM_Quantity[Location],$D7,RM_PM_Quantity[Section],$C7,RM_PM_Quantity[RM Name],$E7)+IF($D7="MIND/Pre-Production",SUMIFS(RM_PM_Quantity[Quantity],RM_PM_Quantity[Date],BC$1,RM_PM_Quantity[Location],"MIDC/Pre-Production",RM_PM_Quantity[Section],$C7,RM_PM_Quantity[RM Name],$E7),0)</f>
        <v>0</v>
      </c>
      <c r="BD7" s="84">
        <f>SUMIFS(RM_PM_Quantity[Quantity],RM_PM_Quantity[Date],BD$1,RM_PM_Quantity[Location],$D7,RM_PM_Quantity[Section],$C7,RM_PM_Quantity[RM Name],$E7)+IF($D7="MIND/Pre-Production",SUMIFS(RM_PM_Quantity[Quantity],RM_PM_Quantity[Date],BD$1,RM_PM_Quantity[Location],"MIDC/Pre-Production",RM_PM_Quantity[Section],$C7,RM_PM_Quantity[RM Name],$E7),0)</f>
        <v>0</v>
      </c>
      <c r="BE7" s="84">
        <f>SUMIFS(RM_PM_Quantity[Quantity],RM_PM_Quantity[Date],BE$1,RM_PM_Quantity[Location],$D7,RM_PM_Quantity[Section],$C7,RM_PM_Quantity[RM Name],$E7)+IF($D7="MIND/Pre-Production",SUMIFS(RM_PM_Quantity[Quantity],RM_PM_Quantity[Date],BE$1,RM_PM_Quantity[Location],"MIDC/Pre-Production",RM_PM_Quantity[Section],$C7,RM_PM_Quantity[RM Name],$E7),0)</f>
        <v>0</v>
      </c>
      <c r="BF7" s="84">
        <f>SUMIFS(RM_PM_Quantity[Quantity],RM_PM_Quantity[Date],BF$1,RM_PM_Quantity[Location],$D7,RM_PM_Quantity[Section],$C7,RM_PM_Quantity[RM Name],$E7)+IF($D7="MIND/Pre-Production",SUMIFS(RM_PM_Quantity[Quantity],RM_PM_Quantity[Date],BF$1,RM_PM_Quantity[Location],"MIDC/Pre-Production",RM_PM_Quantity[Section],$C7,RM_PM_Quantity[RM Name],$E7),0)</f>
        <v>0</v>
      </c>
      <c r="BG7" s="84">
        <f>SUMIFS(RM_PM_Quantity[Quantity],RM_PM_Quantity[Date],BG$1,RM_PM_Quantity[Location],$D7,RM_PM_Quantity[Section],$C7,RM_PM_Quantity[RM Name],$E7)+IF($D7="MIND/Pre-Production",SUMIFS(RM_PM_Quantity[Quantity],RM_PM_Quantity[Date],BG$1,RM_PM_Quantity[Location],"MIDC/Pre-Production",RM_PM_Quantity[Section],$C7,RM_PM_Quantity[RM Name],$E7),0)</f>
        <v>0</v>
      </c>
      <c r="BH7" s="84">
        <f>SUMIFS(RM_PM_Quantity[Quantity],RM_PM_Quantity[Date],BH$1,RM_PM_Quantity[Location],$D7,RM_PM_Quantity[Section],$C7,RM_PM_Quantity[RM Name],$E7)+IF($D7="MIND/Pre-Production",SUMIFS(RM_PM_Quantity[Quantity],RM_PM_Quantity[Date],BH$1,RM_PM_Quantity[Location],"MIDC/Pre-Production",RM_PM_Quantity[Section],$C7,RM_PM_Quantity[RM Name],$E7),0)</f>
        <v>0</v>
      </c>
      <c r="BI7" s="84">
        <f>SUMIFS(RM_PM_Quantity[Quantity],RM_PM_Quantity[Date],BI$1,RM_PM_Quantity[Location],$D7,RM_PM_Quantity[Section],$C7,RM_PM_Quantity[RM Name],$E7)+IF($D7="MIND/Pre-Production",SUMIFS(RM_PM_Quantity[Quantity],RM_PM_Quantity[Date],BI$1,RM_PM_Quantity[Location],"MIDC/Pre-Production",RM_PM_Quantity[Section],$C7,RM_PM_Quantity[RM Name],$E7),0)</f>
        <v>0</v>
      </c>
      <c r="BJ7" s="84">
        <f>SUMIFS(RM_PM_Quantity[Quantity],RM_PM_Quantity[Date],BJ$1,RM_PM_Quantity[Location],$D7,RM_PM_Quantity[Section],$C7,RM_PM_Quantity[RM Name],$E7)+IF($D7="MIND/Pre-Production",SUMIFS(RM_PM_Quantity[Quantity],RM_PM_Quantity[Date],BJ$1,RM_PM_Quantity[Location],"MIDC/Pre-Production",RM_PM_Quantity[Section],$C7,RM_PM_Quantity[RM Name],$E7),0)</f>
        <v>0</v>
      </c>
      <c r="BK7" s="84">
        <f>SUMIFS(RM_PM_Quantity[Quantity],RM_PM_Quantity[Date],BK$1,RM_PM_Quantity[Location],$D7,RM_PM_Quantity[Section],$C7,RM_PM_Quantity[RM Name],$E7)+IF($D7="MIND/Pre-Production",SUMIFS(RM_PM_Quantity[Quantity],RM_PM_Quantity[Date],BK$1,RM_PM_Quantity[Location],"MIDC/Pre-Production",RM_PM_Quantity[Section],$C7,RM_PM_Quantity[RM Name],$E7),0)</f>
        <v>0</v>
      </c>
      <c r="BL7" s="84">
        <f>SUMIFS(RM_PM_Quantity[Quantity],RM_PM_Quantity[Date],BL$1,RM_PM_Quantity[Location],$D7,RM_PM_Quantity[Section],$C7,RM_PM_Quantity[RM Name],$E7)+IF($D7="MIND/Pre-Production",SUMIFS(RM_PM_Quantity[Quantity],RM_PM_Quantity[Date],BL$1,RM_PM_Quantity[Location],"MIDC/Pre-Production",RM_PM_Quantity[Section],$C7,RM_PM_Quantity[RM Name],$E7),0)</f>
        <v>0</v>
      </c>
      <c r="BM7" s="84">
        <f>SUMIFS(RM_PM_Quantity[Quantity],RM_PM_Quantity[Date],BM$1,RM_PM_Quantity[Location],$D7,RM_PM_Quantity[Section],$C7,RM_PM_Quantity[RM Name],$E7)+IF($D7="MIND/Pre-Production",SUMIFS(RM_PM_Quantity[Quantity],RM_PM_Quantity[Date],BM$1,RM_PM_Quantity[Location],"MIDC/Pre-Production",RM_PM_Quantity[Section],$C7,RM_PM_Quantity[RM Name],$E7),0)</f>
        <v>0</v>
      </c>
      <c r="BN7" s="84">
        <f>SUMIFS(RM_PM_Quantity[Quantity],RM_PM_Quantity[Date],BN$1,RM_PM_Quantity[Location],$D7,RM_PM_Quantity[Section],$C7,RM_PM_Quantity[RM Name],$E7)+IF($D7="MIND/Pre-Production",SUMIFS(RM_PM_Quantity[Quantity],RM_PM_Quantity[Date],BN$1,RM_PM_Quantity[Location],"MIDC/Pre-Production",RM_PM_Quantity[Section],$C7,RM_PM_Quantity[RM Name],$E7),0)</f>
        <v>0</v>
      </c>
      <c r="BO7" s="84">
        <f>SUMIFS(RM_PM_Quantity[Quantity],RM_PM_Quantity[Date],BO$1,RM_PM_Quantity[Location],$D7,RM_PM_Quantity[Section],$C7,RM_PM_Quantity[RM Name],$E7)+IF($D7="MIND/Pre-Production",SUMIFS(RM_PM_Quantity[Quantity],RM_PM_Quantity[Date],BO$1,RM_PM_Quantity[Location],"MIDC/Pre-Production",RM_PM_Quantity[Section],$C7,RM_PM_Quantity[RM Name],$E7),0)</f>
        <v>0</v>
      </c>
      <c r="BP7" s="84">
        <f>SUMIFS(RM_PM_Quantity[Quantity],RM_PM_Quantity[Date],BP$1,RM_PM_Quantity[Location],$D7,RM_PM_Quantity[Section],$C7,RM_PM_Quantity[RM Name],$E7)+IF($D7="MIND/Pre-Production",SUMIFS(RM_PM_Quantity[Quantity],RM_PM_Quantity[Date],BP$1,RM_PM_Quantity[Location],"MIDC/Pre-Production",RM_PM_Quantity[Section],$C7,RM_PM_Quantity[RM Name],$E7),0)</f>
        <v>0</v>
      </c>
      <c r="BQ7" s="84">
        <f>SUMIFS(RM_PM_Quantity[Quantity],RM_PM_Quantity[Date],BQ$1,RM_PM_Quantity[Location],$D7,RM_PM_Quantity[Section],$C7,RM_PM_Quantity[RM Name],$E7)+IF($D7="MIND/Pre-Production",SUMIFS(RM_PM_Quantity[Quantity],RM_PM_Quantity[Date],BQ$1,RM_PM_Quantity[Location],"MIDC/Pre-Production",RM_PM_Quantity[Section],$C7,RM_PM_Quantity[RM Name],$E7),0)</f>
        <v>0</v>
      </c>
      <c r="BR7" s="84">
        <f>SUMIFS(RM_PM_Quantity[Quantity],RM_PM_Quantity[Date],BR$1,RM_PM_Quantity[Location],$D7,RM_PM_Quantity[Section],$C7,RM_PM_Quantity[RM Name],$E7)+IF($D7="MIND/Pre-Production",SUMIFS(RM_PM_Quantity[Quantity],RM_PM_Quantity[Date],BR$1,RM_PM_Quantity[Location],"MIDC/Pre-Production",RM_PM_Quantity[Section],$C7,RM_PM_Quantity[RM Name],$E7),0)</f>
        <v>0</v>
      </c>
      <c r="BS7" s="84">
        <f>SUMIFS(RM_PM_Quantity[Quantity],RM_PM_Quantity[Date],BS$1,RM_PM_Quantity[Location],$D7,RM_PM_Quantity[Section],$C7,RM_PM_Quantity[RM Name],$E7)+IF($D7="MIND/Pre-Production",SUMIFS(RM_PM_Quantity[Quantity],RM_PM_Quantity[Date],BS$1,RM_PM_Quantity[Location],"MIDC/Pre-Production",RM_PM_Quantity[Section],$C7,RM_PM_Quantity[RM Name],$E7),0)</f>
        <v>0</v>
      </c>
      <c r="BT7" s="84">
        <f>SUMIFS(RM_PM_Quantity[ID],RM_PM_Quantity[Location],BT$1,RM_PM_Quantity[Section],$D7,RM_PM_Quantity[RM Name],$C7,RM_PM_Quantity[Quantity],$E7)+IF($D7="MIND/Pre-Production",SUMIFS(RM_PM_Quantity[ID],RM_PM_Quantity[Location],BT$1,RM_PM_Quantity[Section],"MIDC/Pre-Production",RM_PM_Quantity[RM Name],$C7,RM_PM_Quantity[Quantity],$E7),0)</f>
        <v>0</v>
      </c>
      <c r="BU7" s="84">
        <f>SUMIFS(RM_PM_Quantity[Name of Supervisor],RM_PM_Quantity[Section],BU$1,RM_PM_Quantity[RM Name],$D7,RM_PM_Quantity[Quantity],$C7,RM_PM_Quantity[ID],$E7)+IF($D7="MIND/Pre-Production",SUMIFS(RM_PM_Quantity[Name of Supervisor],RM_PM_Quantity[Section],BU$1,RM_PM_Quantity[RM Name],"MIDC/Pre-Production",RM_PM_Quantity[Quantity],$C7,RM_PM_Quantity[ID],$E7),0)</f>
        <v>0</v>
      </c>
      <c r="BV7" s="84">
        <f>SUMIFS(RM_PM_Quantity[Date],RM_PM_Quantity[RM Name],BV$1,RM_PM_Quantity[Quantity],$D7,RM_PM_Quantity[ID],$C7,RM_PM_Quantity[Name of Supervisor],$E7)+IF($D7="MIND/Pre-Production",SUMIFS(RM_PM_Quantity[Date],RM_PM_Quantity[RM Name],BV$1,RM_PM_Quantity[Quantity],"MIDC/Pre-Production",RM_PM_Quantity[ID],$C7,RM_PM_Quantity[Name of Supervisor],$E7),0)</f>
        <v>0</v>
      </c>
      <c r="BW7" s="84">
        <f>SUMIFS(RM_PM_Quantity[Location],RM_PM_Quantity[Quantity],BW$1,RM_PM_Quantity[ID],$D7,RM_PM_Quantity[Name of Supervisor],$C7,RM_PM_Quantity[Date],$E7)+IF($D7="MIND/Pre-Production",SUMIFS(RM_PM_Quantity[Location],RM_PM_Quantity[Quantity],BW$1,RM_PM_Quantity[ID],"MIDC/Pre-Production",RM_PM_Quantity[Name of Supervisor],$C7,RM_PM_Quantity[Date],$E7),0)</f>
        <v>0</v>
      </c>
      <c r="BX7" s="84">
        <f>SUMIFS(RM_PM_Quantity[Section],RM_PM_Quantity[ID],BX$1,RM_PM_Quantity[Name of Supervisor],$D7,RM_PM_Quantity[Date],$C7,RM_PM_Quantity[Location],$E7)+IF($D7="MIND/Pre-Production",SUMIFS(RM_PM_Quantity[Section],RM_PM_Quantity[ID],BX$1,RM_PM_Quantity[Name of Supervisor],"MIDC/Pre-Production",RM_PM_Quantity[Date],$C7,RM_PM_Quantity[Location],$E7),0)</f>
        <v>0</v>
      </c>
      <c r="BY7" s="84">
        <f>SUMIFS(RM_PM_Quantity[RM Name],RM_PM_Quantity[Name of Supervisor],BY$1,RM_PM_Quantity[Date],$D7,RM_PM_Quantity[Location],$C7,RM_PM_Quantity[Section],$E7)+IF($D7="MIND/Pre-Production",SUMIFS(RM_PM_Quantity[RM Name],RM_PM_Quantity[Name of Supervisor],BY$1,RM_PM_Quantity[Date],"MIDC/Pre-Production",RM_PM_Quantity[Location],$C7,RM_PM_Quantity[Section],$E7),0)</f>
        <v>0</v>
      </c>
    </row>
    <row r="8" spans="1:77" ht="45.75" customHeight="1">
      <c r="A8" s="79">
        <v>7</v>
      </c>
      <c r="B8" s="79" t="s">
        <v>66</v>
      </c>
      <c r="C8" s="80" t="s">
        <v>67</v>
      </c>
      <c r="D8" s="81" t="s">
        <v>68</v>
      </c>
      <c r="E8" s="82" t="s">
        <v>69</v>
      </c>
      <c r="F8" s="83">
        <f>IFERROR(_xlfn.XLOOKUP(B8,'[1]RM Tracker'!B:B,'[1]RM Tracker'!E:E),"0")</f>
        <v>12332.28</v>
      </c>
      <c r="G8" s="85">
        <f t="shared" si="2"/>
        <v>0</v>
      </c>
      <c r="H8" s="85">
        <f t="shared" si="0"/>
        <v>-12332.28</v>
      </c>
      <c r="I8" s="91">
        <f t="shared" si="1"/>
        <v>0</v>
      </c>
      <c r="J8" s="84">
        <f>SUMIFS(RM_PM_Quantity[Quantity],RM_PM_Quantity[Date],J$1,RM_PM_Quantity[Location],$D8,RM_PM_Quantity[Section],$C8,RM_PM_Quantity[RM Name],$E8)+IF($D8="MIND/Pre-Production",SUMIFS(RM_PM_Quantity[Quantity],RM_PM_Quantity[Date],J$1,RM_PM_Quantity[Location],"MIDC/Pre-Production",RM_PM_Quantity[Section],$C8,RM_PM_Quantity[RM Name],$E8),0)</f>
        <v>0</v>
      </c>
      <c r="K8" s="84">
        <f>SUMIFS(RM_PM_Quantity[Quantity],RM_PM_Quantity[Date],K$1,RM_PM_Quantity[Location],$D8,RM_PM_Quantity[Section],$C8,RM_PM_Quantity[RM Name],$E8)+IF($D8="MIND/Pre-Production",SUMIFS(RM_PM_Quantity[Quantity],RM_PM_Quantity[Date],K$1,RM_PM_Quantity[Location],"MIDC/Pre-Production",RM_PM_Quantity[Section],$C8,RM_PM_Quantity[RM Name],$E8),0)</f>
        <v>0</v>
      </c>
      <c r="L8" s="84">
        <f>SUMIFS(RM_PM_Quantity[Quantity],RM_PM_Quantity[Date],L$1,RM_PM_Quantity[Location],$D8,RM_PM_Quantity[Section],$C8,RM_PM_Quantity[RM Name],$E8)+IF($D8="MIND/Pre-Production",SUMIFS(RM_PM_Quantity[Quantity],RM_PM_Quantity[Date],L$1,RM_PM_Quantity[Location],"MIDC/Pre-Production",RM_PM_Quantity[Section],$C8,RM_PM_Quantity[RM Name],$E8),0)</f>
        <v>0</v>
      </c>
      <c r="M8" s="84">
        <f>SUMIFS(RM_PM_Quantity[Quantity],RM_PM_Quantity[Date],M$1,RM_PM_Quantity[Location],$D8,RM_PM_Quantity[Section],$C8,RM_PM_Quantity[RM Name],$E8)+IF($D8="MIND/Pre-Production",SUMIFS(RM_PM_Quantity[Quantity],RM_PM_Quantity[Date],M$1,RM_PM_Quantity[Location],"MIDC/Pre-Production",RM_PM_Quantity[Section],$C8,RM_PM_Quantity[RM Name],$E8),0)</f>
        <v>0</v>
      </c>
      <c r="N8" s="84">
        <f>SUMIFS(RM_PM_Quantity[Quantity],RM_PM_Quantity[Date],N$1,RM_PM_Quantity[Location],$D8,RM_PM_Quantity[Section],$C8,RM_PM_Quantity[RM Name],$E8)+IF($D8="MIND/Pre-Production",SUMIFS(RM_PM_Quantity[Quantity],RM_PM_Quantity[Date],N$1,RM_PM_Quantity[Location],"MIDC/Pre-Production",RM_PM_Quantity[Section],$C8,RM_PM_Quantity[RM Name],$E8),0)</f>
        <v>6000</v>
      </c>
      <c r="O8" s="84">
        <f>SUMIFS(RM_PM_Quantity[Quantity],RM_PM_Quantity[Date],O$1,RM_PM_Quantity[Location],$D8,RM_PM_Quantity[Section],$C8,RM_PM_Quantity[RM Name],$E8)+IF($D8="MIND/Pre-Production",SUMIFS(RM_PM_Quantity[Quantity],RM_PM_Quantity[Date],O$1,RM_PM_Quantity[Location],"MIDC/Pre-Production",RM_PM_Quantity[Section],$C8,RM_PM_Quantity[RM Name],$E8),0)</f>
        <v>0</v>
      </c>
      <c r="P8" s="84">
        <f>SUMIFS(RM_PM_Quantity[Quantity],RM_PM_Quantity[Date],P$1,RM_PM_Quantity[Location],$D8,RM_PM_Quantity[Section],$C8,RM_PM_Quantity[RM Name],$E8)+IF($D8="MIND/Pre-Production",SUMIFS(RM_PM_Quantity[Quantity],RM_PM_Quantity[Date],P$1,RM_PM_Quantity[Location],"MIDC/Pre-Production",RM_PM_Quantity[Section],$C8,RM_PM_Quantity[RM Name],$E8),0)</f>
        <v>0</v>
      </c>
      <c r="Q8" s="84">
        <f>SUMIFS(RM_PM_Quantity[Quantity],RM_PM_Quantity[Date],Q$1,RM_PM_Quantity[Location],$D8,RM_PM_Quantity[Section],$C8,RM_PM_Quantity[RM Name],$E8)+IF($D8="MIND/Pre-Production",SUMIFS(RM_PM_Quantity[Quantity],RM_PM_Quantity[Date],Q$1,RM_PM_Quantity[Location],"MIDC/Pre-Production",RM_PM_Quantity[Section],$C8,RM_PM_Quantity[RM Name],$E8),0)</f>
        <v>0</v>
      </c>
      <c r="R8" s="84">
        <f>SUMIFS(RM_PM_Quantity[Quantity],RM_PM_Quantity[Date],R$1,RM_PM_Quantity[Location],$D8,RM_PM_Quantity[Section],$C8,RM_PM_Quantity[RM Name],$E8)+IF($D8="MIND/Pre-Production",SUMIFS(RM_PM_Quantity[Quantity],RM_PM_Quantity[Date],R$1,RM_PM_Quantity[Location],"MIDC/Pre-Production",RM_PM_Quantity[Section],$C8,RM_PM_Quantity[RM Name],$E8),0)</f>
        <v>0</v>
      </c>
      <c r="S8" s="84">
        <f>SUMIFS(RM_PM_Quantity[Quantity],RM_PM_Quantity[Date],S$1,RM_PM_Quantity[Location],$D8,RM_PM_Quantity[Section],$C8,RM_PM_Quantity[RM Name],$E8)+IF($D8="MIND/Pre-Production",SUMIFS(RM_PM_Quantity[Quantity],RM_PM_Quantity[Date],S$1,RM_PM_Quantity[Location],"MIDC/Pre-Production",RM_PM_Quantity[Section],$C8,RM_PM_Quantity[RM Name],$E8),0)</f>
        <v>0</v>
      </c>
      <c r="T8" s="84">
        <f>SUMIFS(RM_PM_Quantity[Quantity],RM_PM_Quantity[Date],T$1,RM_PM_Quantity[Location],$D8,RM_PM_Quantity[Section],$C8,RM_PM_Quantity[RM Name],$E8)+IF($D8="MIND/Pre-Production",SUMIFS(RM_PM_Quantity[Quantity],RM_PM_Quantity[Date],T$1,RM_PM_Quantity[Location],"MIDC/Pre-Production",RM_PM_Quantity[Section],$C8,RM_PM_Quantity[RM Name],$E8),0)</f>
        <v>0</v>
      </c>
      <c r="U8" s="84">
        <f>SUMIFS(RM_PM_Quantity[Quantity],RM_PM_Quantity[Date],U$1,RM_PM_Quantity[Location],$D8,RM_PM_Quantity[Section],$C8,RM_PM_Quantity[RM Name],$E8)+IF($D8="MIND/Pre-Production",SUMIFS(RM_PM_Quantity[Quantity],RM_PM_Quantity[Date],U$1,RM_PM_Quantity[Location],"MIDC/Pre-Production",RM_PM_Quantity[Section],$C8,RM_PM_Quantity[RM Name],$E8),0)</f>
        <v>0</v>
      </c>
      <c r="V8" s="84">
        <f>SUMIFS(RM_PM_Quantity[Quantity],RM_PM_Quantity[Date],V$1,RM_PM_Quantity[Location],$D8,RM_PM_Quantity[Section],$C8,RM_PM_Quantity[RM Name],$E8)+IF($D8="MIND/Pre-Production",SUMIFS(RM_PM_Quantity[Quantity],RM_PM_Quantity[Date],V$1,RM_PM_Quantity[Location],"MIDC/Pre-Production",RM_PM_Quantity[Section],$C8,RM_PM_Quantity[RM Name],$E8),0)</f>
        <v>1120</v>
      </c>
      <c r="W8" s="84">
        <f>SUMIFS(RM_PM_Quantity[Quantity],RM_PM_Quantity[Date],W$1,RM_PM_Quantity[Location],$D8,RM_PM_Quantity[Section],$C8,RM_PM_Quantity[RM Name],$E8)+IF($D8="MIND/Pre-Production",SUMIFS(RM_PM_Quantity[Quantity],RM_PM_Quantity[Date],W$1,RM_PM_Quantity[Location],"MIDC/Pre-Production",RM_PM_Quantity[Section],$C8,RM_PM_Quantity[RM Name],$E8),0)</f>
        <v>0</v>
      </c>
      <c r="X8" s="84">
        <f>SUMIFS(RM_PM_Quantity[Quantity],RM_PM_Quantity[Date],X$1,RM_PM_Quantity[Location],$D8,RM_PM_Quantity[Section],$C8,RM_PM_Quantity[RM Name],$E8)+IF($D8="MIND/Pre-Production",SUMIFS(RM_PM_Quantity[Quantity],RM_PM_Quantity[Date],X$1,RM_PM_Quantity[Location],"MIDC/Pre-Production",RM_PM_Quantity[Section],$C8,RM_PM_Quantity[RM Name],$E8),0)</f>
        <v>0</v>
      </c>
      <c r="Y8" s="84">
        <f>SUMIFS(RM_PM_Quantity[Quantity],RM_PM_Quantity[Date],Y$1,RM_PM_Quantity[Location],$D8,RM_PM_Quantity[Section],$C8,RM_PM_Quantity[RM Name],$E8)+IF($D8="MIND/Pre-Production",SUMIFS(RM_PM_Quantity[Quantity],RM_PM_Quantity[Date],Y$1,RM_PM_Quantity[Location],"MIDC/Pre-Production",RM_PM_Quantity[Section],$C8,RM_PM_Quantity[RM Name],$E8),0)</f>
        <v>0</v>
      </c>
      <c r="Z8" s="84">
        <f>SUMIFS(RM_PM_Quantity[Quantity],RM_PM_Quantity[Date],Z$1,RM_PM_Quantity[Location],$D8,RM_PM_Quantity[Section],$C8,RM_PM_Quantity[RM Name],$E8)+IF($D8="MIND/Pre-Production",SUMIFS(RM_PM_Quantity[Quantity],RM_PM_Quantity[Date],Z$1,RM_PM_Quantity[Location],"MIDC/Pre-Production",RM_PM_Quantity[Section],$C8,RM_PM_Quantity[RM Name],$E8),0)</f>
        <v>0</v>
      </c>
      <c r="AA8" s="84">
        <f>SUMIFS(RM_PM_Quantity[Quantity],RM_PM_Quantity[Date],AA$1,RM_PM_Quantity[Location],$D8,RM_PM_Quantity[Section],$C8,RM_PM_Quantity[RM Name],$E8)+IF($D8="MIND/Pre-Production",SUMIFS(RM_PM_Quantity[Quantity],RM_PM_Quantity[Date],AA$1,RM_PM_Quantity[Location],"MIDC/Pre-Production",RM_PM_Quantity[Section],$C8,RM_PM_Quantity[RM Name],$E8),0)</f>
        <v>0</v>
      </c>
      <c r="AB8" s="84">
        <f>SUMIFS(RM_PM_Quantity[Quantity],RM_PM_Quantity[Date],AB$1,RM_PM_Quantity[Location],$D8,RM_PM_Quantity[Section],$C8,RM_PM_Quantity[RM Name],$E8)+IF($D8="MIND/Pre-Production",SUMIFS(RM_PM_Quantity[Quantity],RM_PM_Quantity[Date],AB$1,RM_PM_Quantity[Location],"MIDC/Pre-Production",RM_PM_Quantity[Section],$C8,RM_PM_Quantity[RM Name],$E8),0)</f>
        <v>0</v>
      </c>
      <c r="AC8" s="84">
        <f>SUMIFS(RM_PM_Quantity[Quantity],RM_PM_Quantity[Date],AC$1,RM_PM_Quantity[Location],$D8,RM_PM_Quantity[Section],$C8,RM_PM_Quantity[RM Name],$E8)+IF($D8="MIND/Pre-Production",SUMIFS(RM_PM_Quantity[Quantity],RM_PM_Quantity[Date],AC$1,RM_PM_Quantity[Location],"MIDC/Pre-Production",RM_PM_Quantity[Section],$C8,RM_PM_Quantity[RM Name],$E8),0)</f>
        <v>2010</v>
      </c>
      <c r="AD8" s="84">
        <f>SUMIFS(RM_PM_Quantity[Quantity],RM_PM_Quantity[Date],AD$1,RM_PM_Quantity[Location],$D8,RM_PM_Quantity[Section],$C8,RM_PM_Quantity[RM Name],$E8)+IF($D8="MIND/Pre-Production",SUMIFS(RM_PM_Quantity[Quantity],RM_PM_Quantity[Date],AD$1,RM_PM_Quantity[Location],"MIDC/Pre-Production",RM_PM_Quantity[Section],$C8,RM_PM_Quantity[RM Name],$E8),0)</f>
        <v>0</v>
      </c>
      <c r="AE8" s="84">
        <f>SUMIFS(RM_PM_Quantity[Quantity],RM_PM_Quantity[Date],AE$1,RM_PM_Quantity[Location],$D8,RM_PM_Quantity[Section],$C8,RM_PM_Quantity[RM Name],$E8)+IF($D8="MIND/Pre-Production",SUMIFS(RM_PM_Quantity[Quantity],RM_PM_Quantity[Date],AE$1,RM_PM_Quantity[Location],"MIDC/Pre-Production",RM_PM_Quantity[Section],$C8,RM_PM_Quantity[RM Name],$E8),0)</f>
        <v>0</v>
      </c>
      <c r="AF8" s="84">
        <f>SUMIFS(RM_PM_Quantity[Quantity],RM_PM_Quantity[Date],AF$1,RM_PM_Quantity[Location],$D8,RM_PM_Quantity[Section],$C8,RM_PM_Quantity[RM Name],$E8)+IF($D8="MIND/Pre-Production",SUMIFS(RM_PM_Quantity[Quantity],RM_PM_Quantity[Date],AF$1,RM_PM_Quantity[Location],"MIDC/Pre-Production",RM_PM_Quantity[Section],$C8,RM_PM_Quantity[RM Name],$E8),0)</f>
        <v>0</v>
      </c>
      <c r="AG8" s="84">
        <f>SUMIFS(RM_PM_Quantity[Quantity],RM_PM_Quantity[Date],AG$1,RM_PM_Quantity[Location],$D8,RM_PM_Quantity[Section],$C8,RM_PM_Quantity[RM Name],$E8)+IF($D8="MIND/Pre-Production",SUMIFS(RM_PM_Quantity[Quantity],RM_PM_Quantity[Date],AG$1,RM_PM_Quantity[Location],"MIDC/Pre-Production",RM_PM_Quantity[Section],$C8,RM_PM_Quantity[RM Name],$E8),0)</f>
        <v>0</v>
      </c>
      <c r="AH8" s="84">
        <f>SUMIFS(RM_PM_Quantity[Quantity],RM_PM_Quantity[Date],AH$1,RM_PM_Quantity[Location],$D8,RM_PM_Quantity[Section],$C8,RM_PM_Quantity[RM Name],$E8)+IF($D8="MIND/Pre-Production",SUMIFS(RM_PM_Quantity[Quantity],RM_PM_Quantity[Date],AH$1,RM_PM_Quantity[Location],"MIDC/Pre-Production",RM_PM_Quantity[Section],$C8,RM_PM_Quantity[RM Name],$E8),0)</f>
        <v>0</v>
      </c>
      <c r="AI8" s="84">
        <f>SUMIFS(RM_PM_Quantity[Quantity],RM_PM_Quantity[Date],AI$1,RM_PM_Quantity[Location],$D8,RM_PM_Quantity[Section],$C8,RM_PM_Quantity[RM Name],$E8)+IF($D8="MIND/Pre-Production",SUMIFS(RM_PM_Quantity[Quantity],RM_PM_Quantity[Date],AI$1,RM_PM_Quantity[Location],"MIDC/Pre-Production",RM_PM_Quantity[Section],$C8,RM_PM_Quantity[RM Name],$E8),0)</f>
        <v>0</v>
      </c>
      <c r="AJ8" s="84">
        <f>SUMIFS(RM_PM_Quantity[Quantity],RM_PM_Quantity[Date],AJ$1,RM_PM_Quantity[Location],$D8,RM_PM_Quantity[Section],$C8,RM_PM_Quantity[RM Name],$E8)+IF($D8="MIND/Pre-Production",SUMIFS(RM_PM_Quantity[Quantity],RM_PM_Quantity[Date],AJ$1,RM_PM_Quantity[Location],"MIDC/Pre-Production",RM_PM_Quantity[Section],$C8,RM_PM_Quantity[RM Name],$E8),0)</f>
        <v>6000</v>
      </c>
      <c r="AK8" s="84">
        <f>SUMIFS(RM_PM_Quantity[Quantity],RM_PM_Quantity[Date],AK$1,RM_PM_Quantity[Location],$D8,RM_PM_Quantity[Section],$C8,RM_PM_Quantity[RM Name],$E8)+IF($D8="MIND/Pre-Production",SUMIFS(RM_PM_Quantity[Quantity],RM_PM_Quantity[Date],AK$1,RM_PM_Quantity[Location],"MIDC/Pre-Production",RM_PM_Quantity[Section],$C8,RM_PM_Quantity[RM Name],$E8),0)</f>
        <v>0</v>
      </c>
      <c r="AL8" s="84">
        <f>SUMIFS(RM_PM_Quantity[Quantity],RM_PM_Quantity[Date],AL$1,RM_PM_Quantity[Location],$D8,RM_PM_Quantity[Section],$C8,RM_PM_Quantity[RM Name],$E8)+IF($D8="MIND/Pre-Production",SUMIFS(RM_PM_Quantity[Quantity],RM_PM_Quantity[Date],AL$1,RM_PM_Quantity[Location],"MIDC/Pre-Production",RM_PM_Quantity[Section],$C8,RM_PM_Quantity[RM Name],$E8),0)</f>
        <v>0</v>
      </c>
      <c r="AM8" s="84">
        <f>SUMIFS(RM_PM_Quantity[Quantity],RM_PM_Quantity[Date],AM$1,RM_PM_Quantity[Location],$D8,RM_PM_Quantity[Section],$C8,RM_PM_Quantity[RM Name],$E8)+IF($D8="MIND/Pre-Production",SUMIFS(RM_PM_Quantity[Quantity],RM_PM_Quantity[Date],AM$1,RM_PM_Quantity[Location],"MIDC/Pre-Production",RM_PM_Quantity[Section],$C8,RM_PM_Quantity[RM Name],$E8),0)</f>
        <v>0</v>
      </c>
      <c r="AN8" s="84">
        <f>SUMIFS(RM_PM_Quantity[Quantity],RM_PM_Quantity[Date],AN$1,RM_PM_Quantity[Location],$D8,RM_PM_Quantity[Section],$C8,RM_PM_Quantity[RM Name],$E8)+IF($D8="MIND/Pre-Production",SUMIFS(RM_PM_Quantity[Quantity],RM_PM_Quantity[Date],AN$1,RM_PM_Quantity[Location],"MIDC/Pre-Production",RM_PM_Quantity[Section],$C8,RM_PM_Quantity[RM Name],$E8),0)</f>
        <v>4200</v>
      </c>
      <c r="AO8" s="84">
        <f>SUMIFS(RM_PM_Quantity[Quantity],RM_PM_Quantity[Date],AO$1,RM_PM_Quantity[Location],$D8,RM_PM_Quantity[Section],$C8,RM_PM_Quantity[RM Name],$E8)+IF($D8="MIND/Pre-Production",SUMIFS(RM_PM_Quantity[Quantity],RM_PM_Quantity[Date],AO$1,RM_PM_Quantity[Location],"MIDC/Pre-Production",RM_PM_Quantity[Section],$C8,RM_PM_Quantity[RM Name],$E8),0)</f>
        <v>0</v>
      </c>
      <c r="AP8" s="84">
        <f>SUMIFS(RM_PM_Quantity[Quantity],RM_PM_Quantity[Date],AP$1,RM_PM_Quantity[Location],$D8,RM_PM_Quantity[Section],$C8,RM_PM_Quantity[RM Name],$E8)+IF($D8="MIND/Pre-Production",SUMIFS(RM_PM_Quantity[Quantity],RM_PM_Quantity[Date],AP$1,RM_PM_Quantity[Location],"MIDC/Pre-Production",RM_PM_Quantity[Section],$C8,RM_PM_Quantity[RM Name],$E8),0)</f>
        <v>0</v>
      </c>
      <c r="AQ8" s="84">
        <f>SUMIFS(RM_PM_Quantity[Quantity],RM_PM_Quantity[Date],AQ$1,RM_PM_Quantity[Location],$D8,RM_PM_Quantity[Section],$C8,RM_PM_Quantity[RM Name],$E8)+IF($D8="MIND/Pre-Production",SUMIFS(RM_PM_Quantity[Quantity],RM_PM_Quantity[Date],AQ$1,RM_PM_Quantity[Location],"MIDC/Pre-Production",RM_PM_Quantity[Section],$C8,RM_PM_Quantity[RM Name],$E8),0)</f>
        <v>0</v>
      </c>
      <c r="AR8" s="84">
        <f>SUMIFS(RM_PM_Quantity[Quantity],RM_PM_Quantity[Date],AR$1,RM_PM_Quantity[Location],$D8,RM_PM_Quantity[Section],$C8,RM_PM_Quantity[RM Name],$E8)+IF($D8="MIND/Pre-Production",SUMIFS(RM_PM_Quantity[Quantity],RM_PM_Quantity[Date],AR$1,RM_PM_Quantity[Location],"MIDC/Pre-Production",RM_PM_Quantity[Section],$C8,RM_PM_Quantity[RM Name],$E8),0)</f>
        <v>0</v>
      </c>
      <c r="AS8" s="84">
        <f>SUMIFS(RM_PM_Quantity[Quantity],RM_PM_Quantity[Date],AS$1,RM_PM_Quantity[Location],$D8,RM_PM_Quantity[Section],$C8,RM_PM_Quantity[RM Name],$E8)+IF($D8="MIND/Pre-Production",SUMIFS(RM_PM_Quantity[Quantity],RM_PM_Quantity[Date],AS$1,RM_PM_Quantity[Location],"MIDC/Pre-Production",RM_PM_Quantity[Section],$C8,RM_PM_Quantity[RM Name],$E8),0)</f>
        <v>0</v>
      </c>
      <c r="AT8" s="84">
        <f>SUMIFS(RM_PM_Quantity[Quantity],RM_PM_Quantity[Date],AT$1,RM_PM_Quantity[Location],$D8,RM_PM_Quantity[Section],$C8,RM_PM_Quantity[RM Name],$E8)+IF($D8="MIND/Pre-Production",SUMIFS(RM_PM_Quantity[Quantity],RM_PM_Quantity[Date],AT$1,RM_PM_Quantity[Location],"MIDC/Pre-Production",RM_PM_Quantity[Section],$C8,RM_PM_Quantity[RM Name],$E8),0)</f>
        <v>0</v>
      </c>
      <c r="AU8" s="84">
        <f>SUMIFS(RM_PM_Quantity[Quantity],RM_PM_Quantity[Date],AU$1,RM_PM_Quantity[Location],$D8,RM_PM_Quantity[Section],$C8,RM_PM_Quantity[RM Name],$E8)+IF($D8="MIND/Pre-Production",SUMIFS(RM_PM_Quantity[Quantity],RM_PM_Quantity[Date],AU$1,RM_PM_Quantity[Location],"MIDC/Pre-Production",RM_PM_Quantity[Section],$C8,RM_PM_Quantity[RM Name],$E8),0)</f>
        <v>0</v>
      </c>
      <c r="AV8" s="84">
        <f>SUMIFS(RM_PM_Quantity[Quantity],RM_PM_Quantity[Date],AV$1,RM_PM_Quantity[Location],$D8,RM_PM_Quantity[Section],$C8,RM_PM_Quantity[RM Name],$E8)+IF($D8="MIND/Pre-Production",SUMIFS(RM_PM_Quantity[Quantity],RM_PM_Quantity[Date],AV$1,RM_PM_Quantity[Location],"MIDC/Pre-Production",RM_PM_Quantity[Section],$C8,RM_PM_Quantity[RM Name],$E8),0)</f>
        <v>0</v>
      </c>
      <c r="AW8" s="84">
        <f>SUMIFS(RM_PM_Quantity[Quantity],RM_PM_Quantity[Date],AW$1,RM_PM_Quantity[Location],$D8,RM_PM_Quantity[Section],$C8,RM_PM_Quantity[RM Name],$E8)+IF($D8="MIND/Pre-Production",SUMIFS(RM_PM_Quantity[Quantity],RM_PM_Quantity[Date],AW$1,RM_PM_Quantity[Location],"MIDC/Pre-Production",RM_PM_Quantity[Section],$C8,RM_PM_Quantity[RM Name],$E8),0)</f>
        <v>0</v>
      </c>
      <c r="AX8" s="84">
        <f>SUMIFS(RM_PM_Quantity[Quantity],RM_PM_Quantity[Date],AX$1,RM_PM_Quantity[Location],$D8,RM_PM_Quantity[Section],$C8,RM_PM_Quantity[RM Name],$E8)+IF($D8="MIND/Pre-Production",SUMIFS(RM_PM_Quantity[Quantity],RM_PM_Quantity[Date],AX$1,RM_PM_Quantity[Location],"MIDC/Pre-Production",RM_PM_Quantity[Section],$C8,RM_PM_Quantity[RM Name],$E8),0)</f>
        <v>0</v>
      </c>
      <c r="AY8" s="84">
        <f>SUMIFS(RM_PM_Quantity[Quantity],RM_PM_Quantity[Date],AY$1,RM_PM_Quantity[Location],$D8,RM_PM_Quantity[Section],$C8,RM_PM_Quantity[RM Name],$E8)+IF($D8="MIND/Pre-Production",SUMIFS(RM_PM_Quantity[Quantity],RM_PM_Quantity[Date],AY$1,RM_PM_Quantity[Location],"MIDC/Pre-Production",RM_PM_Quantity[Section],$C8,RM_PM_Quantity[RM Name],$E8),0)</f>
        <v>0</v>
      </c>
      <c r="AZ8" s="84">
        <f>SUMIFS(RM_PM_Quantity[Quantity],RM_PM_Quantity[Date],AZ$1,RM_PM_Quantity[Location],$D8,RM_PM_Quantity[Section],$C8,RM_PM_Quantity[RM Name],$E8)+IF($D8="MIND/Pre-Production",SUMIFS(RM_PM_Quantity[Quantity],RM_PM_Quantity[Date],AZ$1,RM_PM_Quantity[Location],"MIDC/Pre-Production",RM_PM_Quantity[Section],$C8,RM_PM_Quantity[RM Name],$E8),0)</f>
        <v>0</v>
      </c>
      <c r="BA8" s="84">
        <f>SUMIFS(RM_PM_Quantity[Quantity],RM_PM_Quantity[Date],BA$1,RM_PM_Quantity[Location],$D8,RM_PM_Quantity[Section],$C8,RM_PM_Quantity[RM Name],$E8)+IF($D8="MIND/Pre-Production",SUMIFS(RM_PM_Quantity[Quantity],RM_PM_Quantity[Date],BA$1,RM_PM_Quantity[Location],"MIDC/Pre-Production",RM_PM_Quantity[Section],$C8,RM_PM_Quantity[RM Name],$E8),0)</f>
        <v>0</v>
      </c>
      <c r="BB8" s="84">
        <f>SUMIFS(RM_PM_Quantity[Quantity],RM_PM_Quantity[Date],BB$1,RM_PM_Quantity[Location],$D8,RM_PM_Quantity[Section],$C8,RM_PM_Quantity[RM Name],$E8)+IF($D8="MIND/Pre-Production",SUMIFS(RM_PM_Quantity[Quantity],RM_PM_Quantity[Date],BB$1,RM_PM_Quantity[Location],"MIDC/Pre-Production",RM_PM_Quantity[Section],$C8,RM_PM_Quantity[RM Name],$E8),0)</f>
        <v>0</v>
      </c>
      <c r="BC8" s="84">
        <f>SUMIFS(RM_PM_Quantity[Quantity],RM_PM_Quantity[Date],BC$1,RM_PM_Quantity[Location],$D8,RM_PM_Quantity[Section],$C8,RM_PM_Quantity[RM Name],$E8)+IF($D8="MIND/Pre-Production",SUMIFS(RM_PM_Quantity[Quantity],RM_PM_Quantity[Date],BC$1,RM_PM_Quantity[Location],"MIDC/Pre-Production",RM_PM_Quantity[Section],$C8,RM_PM_Quantity[RM Name],$E8),0)</f>
        <v>0</v>
      </c>
      <c r="BD8" s="84">
        <f>SUMIFS(RM_PM_Quantity[Quantity],RM_PM_Quantity[Date],BD$1,RM_PM_Quantity[Location],$D8,RM_PM_Quantity[Section],$C8,RM_PM_Quantity[RM Name],$E8)+IF($D8="MIND/Pre-Production",SUMIFS(RM_PM_Quantity[Quantity],RM_PM_Quantity[Date],BD$1,RM_PM_Quantity[Location],"MIDC/Pre-Production",RM_PM_Quantity[Section],$C8,RM_PM_Quantity[RM Name],$E8),0)</f>
        <v>0</v>
      </c>
      <c r="BE8" s="84">
        <f>SUMIFS(RM_PM_Quantity[Quantity],RM_PM_Quantity[Date],BE$1,RM_PM_Quantity[Location],$D8,RM_PM_Quantity[Section],$C8,RM_PM_Quantity[RM Name],$E8)+IF($D8="MIND/Pre-Production",SUMIFS(RM_PM_Quantity[Quantity],RM_PM_Quantity[Date],BE$1,RM_PM_Quantity[Location],"MIDC/Pre-Production",RM_PM_Quantity[Section],$C8,RM_PM_Quantity[RM Name],$E8),0)</f>
        <v>0</v>
      </c>
      <c r="BF8" s="84">
        <f>SUMIFS(RM_PM_Quantity[Quantity],RM_PM_Quantity[Date],BF$1,RM_PM_Quantity[Location],$D8,RM_PM_Quantity[Section],$C8,RM_PM_Quantity[RM Name],$E8)+IF($D8="MIND/Pre-Production",SUMIFS(RM_PM_Quantity[Quantity],RM_PM_Quantity[Date],BF$1,RM_PM_Quantity[Location],"MIDC/Pre-Production",RM_PM_Quantity[Section],$C8,RM_PM_Quantity[RM Name],$E8),0)</f>
        <v>0</v>
      </c>
      <c r="BG8" s="84">
        <f>SUMIFS(RM_PM_Quantity[Quantity],RM_PM_Quantity[Date],BG$1,RM_PM_Quantity[Location],$D8,RM_PM_Quantity[Section],$C8,RM_PM_Quantity[RM Name],$E8)+IF($D8="MIND/Pre-Production",SUMIFS(RM_PM_Quantity[Quantity],RM_PM_Quantity[Date],BG$1,RM_PM_Quantity[Location],"MIDC/Pre-Production",RM_PM_Quantity[Section],$C8,RM_PM_Quantity[RM Name],$E8),0)</f>
        <v>0</v>
      </c>
      <c r="BH8" s="84">
        <f>SUMIFS(RM_PM_Quantity[Quantity],RM_PM_Quantity[Date],BH$1,RM_PM_Quantity[Location],$D8,RM_PM_Quantity[Section],$C8,RM_PM_Quantity[RM Name],$E8)+IF($D8="MIND/Pre-Production",SUMIFS(RM_PM_Quantity[Quantity],RM_PM_Quantity[Date],BH$1,RM_PM_Quantity[Location],"MIDC/Pre-Production",RM_PM_Quantity[Section],$C8,RM_PM_Quantity[RM Name],$E8),0)</f>
        <v>0</v>
      </c>
      <c r="BI8" s="84">
        <f>SUMIFS(RM_PM_Quantity[Quantity],RM_PM_Quantity[Date],BI$1,RM_PM_Quantity[Location],$D8,RM_PM_Quantity[Section],$C8,RM_PM_Quantity[RM Name],$E8)+IF($D8="MIND/Pre-Production",SUMIFS(RM_PM_Quantity[Quantity],RM_PM_Quantity[Date],BI$1,RM_PM_Quantity[Location],"MIDC/Pre-Production",RM_PM_Quantity[Section],$C8,RM_PM_Quantity[RM Name],$E8),0)</f>
        <v>0</v>
      </c>
      <c r="BJ8" s="84">
        <f>SUMIFS(RM_PM_Quantity[Quantity],RM_PM_Quantity[Date],BJ$1,RM_PM_Quantity[Location],$D8,RM_PM_Quantity[Section],$C8,RM_PM_Quantity[RM Name],$E8)+IF($D8="MIND/Pre-Production",SUMIFS(RM_PM_Quantity[Quantity],RM_PM_Quantity[Date],BJ$1,RM_PM_Quantity[Location],"MIDC/Pre-Production",RM_PM_Quantity[Section],$C8,RM_PM_Quantity[RM Name],$E8),0)</f>
        <v>0</v>
      </c>
      <c r="BK8" s="84">
        <f>SUMIFS(RM_PM_Quantity[Quantity],RM_PM_Quantity[Date],BK$1,RM_PM_Quantity[Location],$D8,RM_PM_Quantity[Section],$C8,RM_PM_Quantity[RM Name],$E8)+IF($D8="MIND/Pre-Production",SUMIFS(RM_PM_Quantity[Quantity],RM_PM_Quantity[Date],BK$1,RM_PM_Quantity[Location],"MIDC/Pre-Production",RM_PM_Quantity[Section],$C8,RM_PM_Quantity[RM Name],$E8),0)</f>
        <v>0</v>
      </c>
      <c r="BL8" s="84">
        <f>SUMIFS(RM_PM_Quantity[Quantity],RM_PM_Quantity[Date],BL$1,RM_PM_Quantity[Location],$D8,RM_PM_Quantity[Section],$C8,RM_PM_Quantity[RM Name],$E8)+IF($D8="MIND/Pre-Production",SUMIFS(RM_PM_Quantity[Quantity],RM_PM_Quantity[Date],BL$1,RM_PM_Quantity[Location],"MIDC/Pre-Production",RM_PM_Quantity[Section],$C8,RM_PM_Quantity[RM Name],$E8),0)</f>
        <v>0</v>
      </c>
      <c r="BM8" s="84">
        <f>SUMIFS(RM_PM_Quantity[Quantity],RM_PM_Quantity[Date],BM$1,RM_PM_Quantity[Location],$D8,RM_PM_Quantity[Section],$C8,RM_PM_Quantity[RM Name],$E8)+IF($D8="MIND/Pre-Production",SUMIFS(RM_PM_Quantity[Quantity],RM_PM_Quantity[Date],BM$1,RM_PM_Quantity[Location],"MIDC/Pre-Production",RM_PM_Quantity[Section],$C8,RM_PM_Quantity[RM Name],$E8),0)</f>
        <v>0</v>
      </c>
      <c r="BN8" s="84">
        <f>SUMIFS(RM_PM_Quantity[Quantity],RM_PM_Quantity[Date],BN$1,RM_PM_Quantity[Location],$D8,RM_PM_Quantity[Section],$C8,RM_PM_Quantity[RM Name],$E8)+IF($D8="MIND/Pre-Production",SUMIFS(RM_PM_Quantity[Quantity],RM_PM_Quantity[Date],BN$1,RM_PM_Quantity[Location],"MIDC/Pre-Production",RM_PM_Quantity[Section],$C8,RM_PM_Quantity[RM Name],$E8),0)</f>
        <v>0</v>
      </c>
      <c r="BO8" s="84">
        <f>SUMIFS(RM_PM_Quantity[Quantity],RM_PM_Quantity[Date],BO$1,RM_PM_Quantity[Location],$D8,RM_PM_Quantity[Section],$C8,RM_PM_Quantity[RM Name],$E8)+IF($D8="MIND/Pre-Production",SUMIFS(RM_PM_Quantity[Quantity],RM_PM_Quantity[Date],BO$1,RM_PM_Quantity[Location],"MIDC/Pre-Production",RM_PM_Quantity[Section],$C8,RM_PM_Quantity[RM Name],$E8),0)</f>
        <v>0</v>
      </c>
      <c r="BP8" s="84">
        <f>SUMIFS(RM_PM_Quantity[Quantity],RM_PM_Quantity[Date],BP$1,RM_PM_Quantity[Location],$D8,RM_PM_Quantity[Section],$C8,RM_PM_Quantity[RM Name],$E8)+IF($D8="MIND/Pre-Production",SUMIFS(RM_PM_Quantity[Quantity],RM_PM_Quantity[Date],BP$1,RM_PM_Quantity[Location],"MIDC/Pre-Production",RM_PM_Quantity[Section],$C8,RM_PM_Quantity[RM Name],$E8),0)</f>
        <v>0</v>
      </c>
      <c r="BQ8" s="84">
        <f>SUMIFS(RM_PM_Quantity[Quantity],RM_PM_Quantity[Date],BQ$1,RM_PM_Quantity[Location],$D8,RM_PM_Quantity[Section],$C8,RM_PM_Quantity[RM Name],$E8)+IF($D8="MIND/Pre-Production",SUMIFS(RM_PM_Quantity[Quantity],RM_PM_Quantity[Date],BQ$1,RM_PM_Quantity[Location],"MIDC/Pre-Production",RM_PM_Quantity[Section],$C8,RM_PM_Quantity[RM Name],$E8),0)</f>
        <v>0</v>
      </c>
      <c r="BR8" s="84">
        <f>SUMIFS(RM_PM_Quantity[Quantity],RM_PM_Quantity[Date],BR$1,RM_PM_Quantity[Location],$D8,RM_PM_Quantity[Section],$C8,RM_PM_Quantity[RM Name],$E8)+IF($D8="MIND/Pre-Production",SUMIFS(RM_PM_Quantity[Quantity],RM_PM_Quantity[Date],BR$1,RM_PM_Quantity[Location],"MIDC/Pre-Production",RM_PM_Quantity[Section],$C8,RM_PM_Quantity[RM Name],$E8),0)</f>
        <v>0</v>
      </c>
      <c r="BS8" s="84">
        <f>SUMIFS(RM_PM_Quantity[Quantity],RM_PM_Quantity[Date],BS$1,RM_PM_Quantity[Location],$D8,RM_PM_Quantity[Section],$C8,RM_PM_Quantity[RM Name],$E8)+IF($D8="MIND/Pre-Production",SUMIFS(RM_PM_Quantity[Quantity],RM_PM_Quantity[Date],BS$1,RM_PM_Quantity[Location],"MIDC/Pre-Production",RM_PM_Quantity[Section],$C8,RM_PM_Quantity[RM Name],$E8),0)</f>
        <v>0</v>
      </c>
      <c r="BT8" s="84">
        <f>SUMIFS(RM_PM_Quantity[ID],RM_PM_Quantity[Location],BT$1,RM_PM_Quantity[Section],$D8,RM_PM_Quantity[RM Name],$C8,RM_PM_Quantity[Quantity],$E8)+IF($D8="MIND/Pre-Production",SUMIFS(RM_PM_Quantity[ID],RM_PM_Quantity[Location],BT$1,RM_PM_Quantity[Section],"MIDC/Pre-Production",RM_PM_Quantity[RM Name],$C8,RM_PM_Quantity[Quantity],$E8),0)</f>
        <v>0</v>
      </c>
      <c r="BU8" s="84">
        <f>SUMIFS(RM_PM_Quantity[Name of Supervisor],RM_PM_Quantity[Section],BU$1,RM_PM_Quantity[RM Name],$D8,RM_PM_Quantity[Quantity],$C8,RM_PM_Quantity[ID],$E8)+IF($D8="MIND/Pre-Production",SUMIFS(RM_PM_Quantity[Name of Supervisor],RM_PM_Quantity[Section],BU$1,RM_PM_Quantity[RM Name],"MIDC/Pre-Production",RM_PM_Quantity[Quantity],$C8,RM_PM_Quantity[ID],$E8),0)</f>
        <v>0</v>
      </c>
      <c r="BV8" s="84">
        <f>SUMIFS(RM_PM_Quantity[Date],RM_PM_Quantity[RM Name],BV$1,RM_PM_Quantity[Quantity],$D8,RM_PM_Quantity[ID],$C8,RM_PM_Quantity[Name of Supervisor],$E8)+IF($D8="MIND/Pre-Production",SUMIFS(RM_PM_Quantity[Date],RM_PM_Quantity[RM Name],BV$1,RM_PM_Quantity[Quantity],"MIDC/Pre-Production",RM_PM_Quantity[ID],$C8,RM_PM_Quantity[Name of Supervisor],$E8),0)</f>
        <v>0</v>
      </c>
      <c r="BW8" s="84">
        <f>SUMIFS(RM_PM_Quantity[Location],RM_PM_Quantity[Quantity],BW$1,RM_PM_Quantity[ID],$D8,RM_PM_Quantity[Name of Supervisor],$C8,RM_PM_Quantity[Date],$E8)+IF($D8="MIND/Pre-Production",SUMIFS(RM_PM_Quantity[Location],RM_PM_Quantity[Quantity],BW$1,RM_PM_Quantity[ID],"MIDC/Pre-Production",RM_PM_Quantity[Name of Supervisor],$C8,RM_PM_Quantity[Date],$E8),0)</f>
        <v>0</v>
      </c>
      <c r="BX8" s="84">
        <f>SUMIFS(RM_PM_Quantity[Section],RM_PM_Quantity[ID],BX$1,RM_PM_Quantity[Name of Supervisor],$D8,RM_PM_Quantity[Date],$C8,RM_PM_Quantity[Location],$E8)+IF($D8="MIND/Pre-Production",SUMIFS(RM_PM_Quantity[Section],RM_PM_Quantity[ID],BX$1,RM_PM_Quantity[Name of Supervisor],"MIDC/Pre-Production",RM_PM_Quantity[Date],$C8,RM_PM_Quantity[Location],$E8),0)</f>
        <v>0</v>
      </c>
      <c r="BY8" s="84">
        <f>SUMIFS(RM_PM_Quantity[RM Name],RM_PM_Quantity[Name of Supervisor],BY$1,RM_PM_Quantity[Date],$D8,RM_PM_Quantity[Location],$C8,RM_PM_Quantity[Section],$E8)+IF($D8="MIND/Pre-Production",SUMIFS(RM_PM_Quantity[RM Name],RM_PM_Quantity[Name of Supervisor],BY$1,RM_PM_Quantity[Date],"MIDC/Pre-Production",RM_PM_Quantity[Location],$C8,RM_PM_Quantity[Section],$E8),0)</f>
        <v>0</v>
      </c>
    </row>
    <row r="9" spans="1:77" ht="45.75" customHeight="1">
      <c r="A9" s="79">
        <v>8</v>
      </c>
      <c r="B9" s="79" t="s">
        <v>70</v>
      </c>
      <c r="C9" s="80" t="s">
        <v>67</v>
      </c>
      <c r="D9" s="81" t="s">
        <v>68</v>
      </c>
      <c r="E9" s="82" t="s">
        <v>71</v>
      </c>
      <c r="F9" s="83">
        <f>IFERROR(_xlfn.XLOOKUP(B9,'[1]RM Tracker'!B:B,'[1]RM Tracker'!E:E),"0")</f>
        <v>800.63</v>
      </c>
      <c r="G9" s="85">
        <f t="shared" si="2"/>
        <v>0</v>
      </c>
      <c r="H9" s="85">
        <f t="shared" si="0"/>
        <v>-800.63</v>
      </c>
      <c r="I9" s="91">
        <f t="shared" si="1"/>
        <v>0</v>
      </c>
      <c r="J9" s="84">
        <f>SUMIFS(RM_PM_Quantity[Quantity],RM_PM_Quantity[Date],J$1,RM_PM_Quantity[Location],$D9,RM_PM_Quantity[Section],$C9,RM_PM_Quantity[RM Name],$E9)+IF($D9="MIND/Pre-Production",SUMIFS(RM_PM_Quantity[Quantity],RM_PM_Quantity[Date],J$1,RM_PM_Quantity[Location],"MIDC/Pre-Production",RM_PM_Quantity[Section],$C9,RM_PM_Quantity[RM Name],$E9),0)</f>
        <v>0</v>
      </c>
      <c r="K9" s="84">
        <f>SUMIFS(RM_PM_Quantity[Quantity],RM_PM_Quantity[Date],K$1,RM_PM_Quantity[Location],$D9,RM_PM_Quantity[Section],$C9,RM_PM_Quantity[RM Name],$E9)+IF($D9="MIND/Pre-Production",SUMIFS(RM_PM_Quantity[Quantity],RM_PM_Quantity[Date],K$1,RM_PM_Quantity[Location],"MIDC/Pre-Production",RM_PM_Quantity[Section],$C9,RM_PM_Quantity[RM Name],$E9),0)</f>
        <v>0</v>
      </c>
      <c r="L9" s="84">
        <f>SUMIFS(RM_PM_Quantity[Quantity],RM_PM_Quantity[Date],L$1,RM_PM_Quantity[Location],$D9,RM_PM_Quantity[Section],$C9,RM_PM_Quantity[RM Name],$E9)+IF($D9="MIND/Pre-Production",SUMIFS(RM_PM_Quantity[Quantity],RM_PM_Quantity[Date],L$1,RM_PM_Quantity[Location],"MIDC/Pre-Production",RM_PM_Quantity[Section],$C9,RM_PM_Quantity[RM Name],$E9),0)</f>
        <v>0</v>
      </c>
      <c r="M9" s="84">
        <f>SUMIFS(RM_PM_Quantity[Quantity],RM_PM_Quantity[Date],M$1,RM_PM_Quantity[Location],$D9,RM_PM_Quantity[Section],$C9,RM_PM_Quantity[RM Name],$E9)+IF($D9="MIND/Pre-Production",SUMIFS(RM_PM_Quantity[Quantity],RM_PM_Quantity[Date],M$1,RM_PM_Quantity[Location],"MIDC/Pre-Production",RM_PM_Quantity[Section],$C9,RM_PM_Quantity[RM Name],$E9),0)</f>
        <v>0</v>
      </c>
      <c r="N9" s="84">
        <f>SUMIFS(RM_PM_Quantity[Quantity],RM_PM_Quantity[Date],N$1,RM_PM_Quantity[Location],$D9,RM_PM_Quantity[Section],$C9,RM_PM_Quantity[RM Name],$E9)+IF($D9="MIND/Pre-Production",SUMIFS(RM_PM_Quantity[Quantity],RM_PM_Quantity[Date],N$1,RM_PM_Quantity[Location],"MIDC/Pre-Production",RM_PM_Quantity[Section],$C9,RM_PM_Quantity[RM Name],$E9),0)</f>
        <v>0</v>
      </c>
      <c r="O9" s="84">
        <f>SUMIFS(RM_PM_Quantity[Quantity],RM_PM_Quantity[Date],O$1,RM_PM_Quantity[Location],$D9,RM_PM_Quantity[Section],$C9,RM_PM_Quantity[RM Name],$E9)+IF($D9="MIND/Pre-Production",SUMIFS(RM_PM_Quantity[Quantity],RM_PM_Quantity[Date],O$1,RM_PM_Quantity[Location],"MIDC/Pre-Production",RM_PM_Quantity[Section],$C9,RM_PM_Quantity[RM Name],$E9),0)</f>
        <v>0</v>
      </c>
      <c r="P9" s="84">
        <f>SUMIFS(RM_PM_Quantity[Quantity],RM_PM_Quantity[Date],P$1,RM_PM_Quantity[Location],$D9,RM_PM_Quantity[Section],$C9,RM_PM_Quantity[RM Name],$E9)+IF($D9="MIND/Pre-Production",SUMIFS(RM_PM_Quantity[Quantity],RM_PM_Quantity[Date],P$1,RM_PM_Quantity[Location],"MIDC/Pre-Production",RM_PM_Quantity[Section],$C9,RM_PM_Quantity[RM Name],$E9),0)</f>
        <v>0</v>
      </c>
      <c r="Q9" s="84">
        <f>SUMIFS(RM_PM_Quantity[Quantity],RM_PM_Quantity[Date],Q$1,RM_PM_Quantity[Location],$D9,RM_PM_Quantity[Section],$C9,RM_PM_Quantity[RM Name],$E9)+IF($D9="MIND/Pre-Production",SUMIFS(RM_PM_Quantity[Quantity],RM_PM_Quantity[Date],Q$1,RM_PM_Quantity[Location],"MIDC/Pre-Production",RM_PM_Quantity[Section],$C9,RM_PM_Quantity[RM Name],$E9),0)</f>
        <v>0</v>
      </c>
      <c r="R9" s="84">
        <f>SUMIFS(RM_PM_Quantity[Quantity],RM_PM_Quantity[Date],R$1,RM_PM_Quantity[Location],$D9,RM_PM_Quantity[Section],$C9,RM_PM_Quantity[RM Name],$E9)+IF($D9="MIND/Pre-Production",SUMIFS(RM_PM_Quantity[Quantity],RM_PM_Quantity[Date],R$1,RM_PM_Quantity[Location],"MIDC/Pre-Production",RM_PM_Quantity[Section],$C9,RM_PM_Quantity[RM Name],$E9),0)</f>
        <v>0</v>
      </c>
      <c r="S9" s="84">
        <f>SUMIFS(RM_PM_Quantity[Quantity],RM_PM_Quantity[Date],S$1,RM_PM_Quantity[Location],$D9,RM_PM_Quantity[Section],$C9,RM_PM_Quantity[RM Name],$E9)+IF($D9="MIND/Pre-Production",SUMIFS(RM_PM_Quantity[Quantity],RM_PM_Quantity[Date],S$1,RM_PM_Quantity[Location],"MIDC/Pre-Production",RM_PM_Quantity[Section],$C9,RM_PM_Quantity[RM Name],$E9),0)</f>
        <v>0</v>
      </c>
      <c r="T9" s="84">
        <f>SUMIFS(RM_PM_Quantity[Quantity],RM_PM_Quantity[Date],T$1,RM_PM_Quantity[Location],$D9,RM_PM_Quantity[Section],$C9,RM_PM_Quantity[RM Name],$E9)+IF($D9="MIND/Pre-Production",SUMIFS(RM_PM_Quantity[Quantity],RM_PM_Quantity[Date],T$1,RM_PM_Quantity[Location],"MIDC/Pre-Production",RM_PM_Quantity[Section],$C9,RM_PM_Quantity[RM Name],$E9),0)</f>
        <v>0</v>
      </c>
      <c r="U9" s="84">
        <f>SUMIFS(RM_PM_Quantity[Quantity],RM_PM_Quantity[Date],U$1,RM_PM_Quantity[Location],$D9,RM_PM_Quantity[Section],$C9,RM_PM_Quantity[RM Name],$E9)+IF($D9="MIND/Pre-Production",SUMIFS(RM_PM_Quantity[Quantity],RM_PM_Quantity[Date],U$1,RM_PM_Quantity[Location],"MIDC/Pre-Production",RM_PM_Quantity[Section],$C9,RM_PM_Quantity[RM Name],$E9),0)</f>
        <v>0</v>
      </c>
      <c r="V9" s="84">
        <f>SUMIFS(RM_PM_Quantity[Quantity],RM_PM_Quantity[Date],V$1,RM_PM_Quantity[Location],$D9,RM_PM_Quantity[Section],$C9,RM_PM_Quantity[RM Name],$E9)+IF($D9="MIND/Pre-Production",SUMIFS(RM_PM_Quantity[Quantity],RM_PM_Quantity[Date],V$1,RM_PM_Quantity[Location],"MIDC/Pre-Production",RM_PM_Quantity[Section],$C9,RM_PM_Quantity[RM Name],$E9),0)</f>
        <v>0</v>
      </c>
      <c r="W9" s="84">
        <f>SUMIFS(RM_PM_Quantity[Quantity],RM_PM_Quantity[Date],W$1,RM_PM_Quantity[Location],$D9,RM_PM_Quantity[Section],$C9,RM_PM_Quantity[RM Name],$E9)+IF($D9="MIND/Pre-Production",SUMIFS(RM_PM_Quantity[Quantity],RM_PM_Quantity[Date],W$1,RM_PM_Quantity[Location],"MIDC/Pre-Production",RM_PM_Quantity[Section],$C9,RM_PM_Quantity[RM Name],$E9),0)</f>
        <v>0</v>
      </c>
      <c r="X9" s="84">
        <f>SUMIFS(RM_PM_Quantity[Quantity],RM_PM_Quantity[Date],X$1,RM_PM_Quantity[Location],$D9,RM_PM_Quantity[Section],$C9,RM_PM_Quantity[RM Name],$E9)+IF($D9="MIND/Pre-Production",SUMIFS(RM_PM_Quantity[Quantity],RM_PM_Quantity[Date],X$1,RM_PM_Quantity[Location],"MIDC/Pre-Production",RM_PM_Quantity[Section],$C9,RM_PM_Quantity[RM Name],$E9),0)</f>
        <v>0</v>
      </c>
      <c r="Y9" s="84">
        <f>SUMIFS(RM_PM_Quantity[Quantity],RM_PM_Quantity[Date],Y$1,RM_PM_Quantity[Location],$D9,RM_PM_Quantity[Section],$C9,RM_PM_Quantity[RM Name],$E9)+IF($D9="MIND/Pre-Production",SUMIFS(RM_PM_Quantity[Quantity],RM_PM_Quantity[Date],Y$1,RM_PM_Quantity[Location],"MIDC/Pre-Production",RM_PM_Quantity[Section],$C9,RM_PM_Quantity[RM Name],$E9),0)</f>
        <v>0</v>
      </c>
      <c r="Z9" s="84">
        <f>SUMIFS(RM_PM_Quantity[Quantity],RM_PM_Quantity[Date],Z$1,RM_PM_Quantity[Location],$D9,RM_PM_Quantity[Section],$C9,RM_PM_Quantity[RM Name],$E9)+IF($D9="MIND/Pre-Production",SUMIFS(RM_PM_Quantity[Quantity],RM_PM_Quantity[Date],Z$1,RM_PM_Quantity[Location],"MIDC/Pre-Production",RM_PM_Quantity[Section],$C9,RM_PM_Quantity[RM Name],$E9),0)</f>
        <v>0</v>
      </c>
      <c r="AA9" s="84">
        <f>SUMIFS(RM_PM_Quantity[Quantity],RM_PM_Quantity[Date],AA$1,RM_PM_Quantity[Location],$D9,RM_PM_Quantity[Section],$C9,RM_PM_Quantity[RM Name],$E9)+IF($D9="MIND/Pre-Production",SUMIFS(RM_PM_Quantity[Quantity],RM_PM_Quantity[Date],AA$1,RM_PM_Quantity[Location],"MIDC/Pre-Production",RM_PM_Quantity[Section],$C9,RM_PM_Quantity[RM Name],$E9),0)</f>
        <v>0</v>
      </c>
      <c r="AB9" s="84">
        <f>SUMIFS(RM_PM_Quantity[Quantity],RM_PM_Quantity[Date],AB$1,RM_PM_Quantity[Location],$D9,RM_PM_Quantity[Section],$C9,RM_PM_Quantity[RM Name],$E9)+IF($D9="MIND/Pre-Production",SUMIFS(RM_PM_Quantity[Quantity],RM_PM_Quantity[Date],AB$1,RM_PM_Quantity[Location],"MIDC/Pre-Production",RM_PM_Quantity[Section],$C9,RM_PM_Quantity[RM Name],$E9),0)</f>
        <v>0</v>
      </c>
      <c r="AC9" s="84">
        <f>SUMIFS(RM_PM_Quantity[Quantity],RM_PM_Quantity[Date],AC$1,RM_PM_Quantity[Location],$D9,RM_PM_Quantity[Section],$C9,RM_PM_Quantity[RM Name],$E9)+IF($D9="MIND/Pre-Production",SUMIFS(RM_PM_Quantity[Quantity],RM_PM_Quantity[Date],AC$1,RM_PM_Quantity[Location],"MIDC/Pre-Production",RM_PM_Quantity[Section],$C9,RM_PM_Quantity[RM Name],$E9),0)</f>
        <v>0</v>
      </c>
      <c r="AD9" s="84">
        <f>SUMIFS(RM_PM_Quantity[Quantity],RM_PM_Quantity[Date],AD$1,RM_PM_Quantity[Location],$D9,RM_PM_Quantity[Section],$C9,RM_PM_Quantity[RM Name],$E9)+IF($D9="MIND/Pre-Production",SUMIFS(RM_PM_Quantity[Quantity],RM_PM_Quantity[Date],AD$1,RM_PM_Quantity[Location],"MIDC/Pre-Production",RM_PM_Quantity[Section],$C9,RM_PM_Quantity[RM Name],$E9),0)</f>
        <v>0</v>
      </c>
      <c r="AE9" s="84">
        <f>SUMIFS(RM_PM_Quantity[Quantity],RM_PM_Quantity[Date],AE$1,RM_PM_Quantity[Location],$D9,RM_PM_Quantity[Section],$C9,RM_PM_Quantity[RM Name],$E9)+IF($D9="MIND/Pre-Production",SUMIFS(RM_PM_Quantity[Quantity],RM_PM_Quantity[Date],AE$1,RM_PM_Quantity[Location],"MIDC/Pre-Production",RM_PM_Quantity[Section],$C9,RM_PM_Quantity[RM Name],$E9),0)</f>
        <v>0</v>
      </c>
      <c r="AF9" s="84">
        <f>SUMIFS(RM_PM_Quantity[Quantity],RM_PM_Quantity[Date],AF$1,RM_PM_Quantity[Location],$D9,RM_PM_Quantity[Section],$C9,RM_PM_Quantity[RM Name],$E9)+IF($D9="MIND/Pre-Production",SUMIFS(RM_PM_Quantity[Quantity],RM_PM_Quantity[Date],AF$1,RM_PM_Quantity[Location],"MIDC/Pre-Production",RM_PM_Quantity[Section],$C9,RM_PM_Quantity[RM Name],$E9),0)</f>
        <v>0</v>
      </c>
      <c r="AG9" s="84">
        <f>SUMIFS(RM_PM_Quantity[Quantity],RM_PM_Quantity[Date],AG$1,RM_PM_Quantity[Location],$D9,RM_PM_Quantity[Section],$C9,RM_PM_Quantity[RM Name],$E9)+IF($D9="MIND/Pre-Production",SUMIFS(RM_PM_Quantity[Quantity],RM_PM_Quantity[Date],AG$1,RM_PM_Quantity[Location],"MIDC/Pre-Production",RM_PM_Quantity[Section],$C9,RM_PM_Quantity[RM Name],$E9),0)</f>
        <v>0</v>
      </c>
      <c r="AH9" s="84">
        <f>SUMIFS(RM_PM_Quantity[Quantity],RM_PM_Quantity[Date],AH$1,RM_PM_Quantity[Location],$D9,RM_PM_Quantity[Section],$C9,RM_PM_Quantity[RM Name],$E9)+IF($D9="MIND/Pre-Production",SUMIFS(RM_PM_Quantity[Quantity],RM_PM_Quantity[Date],AH$1,RM_PM_Quantity[Location],"MIDC/Pre-Production",RM_PM_Quantity[Section],$C9,RM_PM_Quantity[RM Name],$E9),0)</f>
        <v>0</v>
      </c>
      <c r="AI9" s="84">
        <f>SUMIFS(RM_PM_Quantity[Quantity],RM_PM_Quantity[Date],AI$1,RM_PM_Quantity[Location],$D9,RM_PM_Quantity[Section],$C9,RM_PM_Quantity[RM Name],$E9)+IF($D9="MIND/Pre-Production",SUMIFS(RM_PM_Quantity[Quantity],RM_PM_Quantity[Date],AI$1,RM_PM_Quantity[Location],"MIDC/Pre-Production",RM_PM_Quantity[Section],$C9,RM_PM_Quantity[RM Name],$E9),0)</f>
        <v>0</v>
      </c>
      <c r="AJ9" s="84">
        <f>SUMIFS(RM_PM_Quantity[Quantity],RM_PM_Quantity[Date],AJ$1,RM_PM_Quantity[Location],$D9,RM_PM_Quantity[Section],$C9,RM_PM_Quantity[RM Name],$E9)+IF($D9="MIND/Pre-Production",SUMIFS(RM_PM_Quantity[Quantity],RM_PM_Quantity[Date],AJ$1,RM_PM_Quantity[Location],"MIDC/Pre-Production",RM_PM_Quantity[Section],$C9,RM_PM_Quantity[RM Name],$E9),0)</f>
        <v>0</v>
      </c>
      <c r="AK9" s="84">
        <f>SUMIFS(RM_PM_Quantity[Quantity],RM_PM_Quantity[Date],AK$1,RM_PM_Quantity[Location],$D9,RM_PM_Quantity[Section],$C9,RM_PM_Quantity[RM Name],$E9)+IF($D9="MIND/Pre-Production",SUMIFS(RM_PM_Quantity[Quantity],RM_PM_Quantity[Date],AK$1,RM_PM_Quantity[Location],"MIDC/Pre-Production",RM_PM_Quantity[Section],$C9,RM_PM_Quantity[RM Name],$E9),0)</f>
        <v>0</v>
      </c>
      <c r="AL9" s="84">
        <f>SUMIFS(RM_PM_Quantity[Quantity],RM_PM_Quantity[Date],AL$1,RM_PM_Quantity[Location],$D9,RM_PM_Quantity[Section],$C9,RM_PM_Quantity[RM Name],$E9)+IF($D9="MIND/Pre-Production",SUMIFS(RM_PM_Quantity[Quantity],RM_PM_Quantity[Date],AL$1,RM_PM_Quantity[Location],"MIDC/Pre-Production",RM_PM_Quantity[Section],$C9,RM_PM_Quantity[RM Name],$E9),0)</f>
        <v>0</v>
      </c>
      <c r="AM9" s="84">
        <f>SUMIFS(RM_PM_Quantity[Quantity],RM_PM_Quantity[Date],AM$1,RM_PM_Quantity[Location],$D9,RM_PM_Quantity[Section],$C9,RM_PM_Quantity[RM Name],$E9)+IF($D9="MIND/Pre-Production",SUMIFS(RM_PM_Quantity[Quantity],RM_PM_Quantity[Date],AM$1,RM_PM_Quantity[Location],"MIDC/Pre-Production",RM_PM_Quantity[Section],$C9,RM_PM_Quantity[RM Name],$E9),0)</f>
        <v>0</v>
      </c>
      <c r="AN9" s="84">
        <f>SUMIFS(RM_PM_Quantity[Quantity],RM_PM_Quantity[Date],AN$1,RM_PM_Quantity[Location],$D9,RM_PM_Quantity[Section],$C9,RM_PM_Quantity[RM Name],$E9)+IF($D9="MIND/Pre-Production",SUMIFS(RM_PM_Quantity[Quantity],RM_PM_Quantity[Date],AN$1,RM_PM_Quantity[Location],"MIDC/Pre-Production",RM_PM_Quantity[Section],$C9,RM_PM_Quantity[RM Name],$E9),0)</f>
        <v>0</v>
      </c>
      <c r="AO9" s="84">
        <f>SUMIFS(RM_PM_Quantity[Quantity],RM_PM_Quantity[Date],AO$1,RM_PM_Quantity[Location],$D9,RM_PM_Quantity[Section],$C9,RM_PM_Quantity[RM Name],$E9)+IF($D9="MIND/Pre-Production",SUMIFS(RM_PM_Quantity[Quantity],RM_PM_Quantity[Date],AO$1,RM_PM_Quantity[Location],"MIDC/Pre-Production",RM_PM_Quantity[Section],$C9,RM_PM_Quantity[RM Name],$E9),0)</f>
        <v>0</v>
      </c>
      <c r="AP9" s="84">
        <f>SUMIFS(RM_PM_Quantity[Quantity],RM_PM_Quantity[Date],AP$1,RM_PM_Quantity[Location],$D9,RM_PM_Quantity[Section],$C9,RM_PM_Quantity[RM Name],$E9)+IF($D9="MIND/Pre-Production",SUMIFS(RM_PM_Quantity[Quantity],RM_PM_Quantity[Date],AP$1,RM_PM_Quantity[Location],"MIDC/Pre-Production",RM_PM_Quantity[Section],$C9,RM_PM_Quantity[RM Name],$E9),0)</f>
        <v>0</v>
      </c>
      <c r="AQ9" s="84">
        <f>SUMIFS(RM_PM_Quantity[Quantity],RM_PM_Quantity[Date],AQ$1,RM_PM_Quantity[Location],$D9,RM_PM_Quantity[Section],$C9,RM_PM_Quantity[RM Name],$E9)+IF($D9="MIND/Pre-Production",SUMIFS(RM_PM_Quantity[Quantity],RM_PM_Quantity[Date],AQ$1,RM_PM_Quantity[Location],"MIDC/Pre-Production",RM_PM_Quantity[Section],$C9,RM_PM_Quantity[RM Name],$E9),0)</f>
        <v>0</v>
      </c>
      <c r="AR9" s="84">
        <f>SUMIFS(RM_PM_Quantity[Quantity],RM_PM_Quantity[Date],AR$1,RM_PM_Quantity[Location],$D9,RM_PM_Quantity[Section],$C9,RM_PM_Quantity[RM Name],$E9)+IF($D9="MIND/Pre-Production",SUMIFS(RM_PM_Quantity[Quantity],RM_PM_Quantity[Date],AR$1,RM_PM_Quantity[Location],"MIDC/Pre-Production",RM_PM_Quantity[Section],$C9,RM_PM_Quantity[RM Name],$E9),0)</f>
        <v>0</v>
      </c>
      <c r="AS9" s="84">
        <f>SUMIFS(RM_PM_Quantity[Quantity],RM_PM_Quantity[Date],AS$1,RM_PM_Quantity[Location],$D9,RM_PM_Quantity[Section],$C9,RM_PM_Quantity[RM Name],$E9)+IF($D9="MIND/Pre-Production",SUMIFS(RM_PM_Quantity[Quantity],RM_PM_Quantity[Date],AS$1,RM_PM_Quantity[Location],"MIDC/Pre-Production",RM_PM_Quantity[Section],$C9,RM_PM_Quantity[RM Name],$E9),0)</f>
        <v>0</v>
      </c>
      <c r="AT9" s="84">
        <f>SUMIFS(RM_PM_Quantity[Quantity],RM_PM_Quantity[Date],AT$1,RM_PM_Quantity[Location],$D9,RM_PM_Quantity[Section],$C9,RM_PM_Quantity[RM Name],$E9)+IF($D9="MIND/Pre-Production",SUMIFS(RM_PM_Quantity[Quantity],RM_PM_Quantity[Date],AT$1,RM_PM_Quantity[Location],"MIDC/Pre-Production",RM_PM_Quantity[Section],$C9,RM_PM_Quantity[RM Name],$E9),0)</f>
        <v>0</v>
      </c>
      <c r="AU9" s="84">
        <f>SUMIFS(RM_PM_Quantity[Quantity],RM_PM_Quantity[Date],AU$1,RM_PM_Quantity[Location],$D9,RM_PM_Quantity[Section],$C9,RM_PM_Quantity[RM Name],$E9)+IF($D9="MIND/Pre-Production",SUMIFS(RM_PM_Quantity[Quantity],RM_PM_Quantity[Date],AU$1,RM_PM_Quantity[Location],"MIDC/Pre-Production",RM_PM_Quantity[Section],$C9,RM_PM_Quantity[RM Name],$E9),0)</f>
        <v>0</v>
      </c>
      <c r="AV9" s="84">
        <f>SUMIFS(RM_PM_Quantity[Quantity],RM_PM_Quantity[Date],AV$1,RM_PM_Quantity[Location],$D9,RM_PM_Quantity[Section],$C9,RM_PM_Quantity[RM Name],$E9)+IF($D9="MIND/Pre-Production",SUMIFS(RM_PM_Quantity[Quantity],RM_PM_Quantity[Date],AV$1,RM_PM_Quantity[Location],"MIDC/Pre-Production",RM_PM_Quantity[Section],$C9,RM_PM_Quantity[RM Name],$E9),0)</f>
        <v>0</v>
      </c>
      <c r="AW9" s="84">
        <f>SUMIFS(RM_PM_Quantity[Quantity],RM_PM_Quantity[Date],AW$1,RM_PM_Quantity[Location],$D9,RM_PM_Quantity[Section],$C9,RM_PM_Quantity[RM Name],$E9)+IF($D9="MIND/Pre-Production",SUMIFS(RM_PM_Quantity[Quantity],RM_PM_Quantity[Date],AW$1,RM_PM_Quantity[Location],"MIDC/Pre-Production",RM_PM_Quantity[Section],$C9,RM_PM_Quantity[RM Name],$E9),0)</f>
        <v>0</v>
      </c>
      <c r="AX9" s="84">
        <f>SUMIFS(RM_PM_Quantity[Quantity],RM_PM_Quantity[Date],AX$1,RM_PM_Quantity[Location],$D9,RM_PM_Quantity[Section],$C9,RM_PM_Quantity[RM Name],$E9)+IF($D9="MIND/Pre-Production",SUMIFS(RM_PM_Quantity[Quantity],RM_PM_Quantity[Date],AX$1,RM_PM_Quantity[Location],"MIDC/Pre-Production",RM_PM_Quantity[Section],$C9,RM_PM_Quantity[RM Name],$E9),0)</f>
        <v>0</v>
      </c>
      <c r="AY9" s="84">
        <f>SUMIFS(RM_PM_Quantity[Quantity],RM_PM_Quantity[Date],AY$1,RM_PM_Quantity[Location],$D9,RM_PM_Quantity[Section],$C9,RM_PM_Quantity[RM Name],$E9)+IF($D9="MIND/Pre-Production",SUMIFS(RM_PM_Quantity[Quantity],RM_PM_Quantity[Date],AY$1,RM_PM_Quantity[Location],"MIDC/Pre-Production",RM_PM_Quantity[Section],$C9,RM_PM_Quantity[RM Name],$E9),0)</f>
        <v>0</v>
      </c>
      <c r="AZ9" s="84">
        <f>SUMIFS(RM_PM_Quantity[Quantity],RM_PM_Quantity[Date],AZ$1,RM_PM_Quantity[Location],$D9,RM_PM_Quantity[Section],$C9,RM_PM_Quantity[RM Name],$E9)+IF($D9="MIND/Pre-Production",SUMIFS(RM_PM_Quantity[Quantity],RM_PM_Quantity[Date],AZ$1,RM_PM_Quantity[Location],"MIDC/Pre-Production",RM_PM_Quantity[Section],$C9,RM_PM_Quantity[RM Name],$E9),0)</f>
        <v>0</v>
      </c>
      <c r="BA9" s="84">
        <f>SUMIFS(RM_PM_Quantity[Quantity],RM_PM_Quantity[Date],BA$1,RM_PM_Quantity[Location],$D9,RM_PM_Quantity[Section],$C9,RM_PM_Quantity[RM Name],$E9)+IF($D9="MIND/Pre-Production",SUMIFS(RM_PM_Quantity[Quantity],RM_PM_Quantity[Date],BA$1,RM_PM_Quantity[Location],"MIDC/Pre-Production",RM_PM_Quantity[Section],$C9,RM_PM_Quantity[RM Name],$E9),0)</f>
        <v>0</v>
      </c>
      <c r="BB9" s="84">
        <f>SUMIFS(RM_PM_Quantity[Quantity],RM_PM_Quantity[Date],BB$1,RM_PM_Quantity[Location],$D9,RM_PM_Quantity[Section],$C9,RM_PM_Quantity[RM Name],$E9)+IF($D9="MIND/Pre-Production",SUMIFS(RM_PM_Quantity[Quantity],RM_PM_Quantity[Date],BB$1,RM_PM_Quantity[Location],"MIDC/Pre-Production",RM_PM_Quantity[Section],$C9,RM_PM_Quantity[RM Name],$E9),0)</f>
        <v>0</v>
      </c>
      <c r="BC9" s="84">
        <f>SUMIFS(RM_PM_Quantity[Quantity],RM_PM_Quantity[Date],BC$1,RM_PM_Quantity[Location],$D9,RM_PM_Quantity[Section],$C9,RM_PM_Quantity[RM Name],$E9)+IF($D9="MIND/Pre-Production",SUMIFS(RM_PM_Quantity[Quantity],RM_PM_Quantity[Date],BC$1,RM_PM_Quantity[Location],"MIDC/Pre-Production",RM_PM_Quantity[Section],$C9,RM_PM_Quantity[RM Name],$E9),0)</f>
        <v>0</v>
      </c>
      <c r="BD9" s="84">
        <f>SUMIFS(RM_PM_Quantity[Quantity],RM_PM_Quantity[Date],BD$1,RM_PM_Quantity[Location],$D9,RM_PM_Quantity[Section],$C9,RM_PM_Quantity[RM Name],$E9)+IF($D9="MIND/Pre-Production",SUMIFS(RM_PM_Quantity[Quantity],RM_PM_Quantity[Date],BD$1,RM_PM_Quantity[Location],"MIDC/Pre-Production",RM_PM_Quantity[Section],$C9,RM_PM_Quantity[RM Name],$E9),0)</f>
        <v>0</v>
      </c>
      <c r="BE9" s="84">
        <f>SUMIFS(RM_PM_Quantity[Quantity],RM_PM_Quantity[Date],BE$1,RM_PM_Quantity[Location],$D9,RM_PM_Quantity[Section],$C9,RM_PM_Quantity[RM Name],$E9)+IF($D9="MIND/Pre-Production",SUMIFS(RM_PM_Quantity[Quantity],RM_PM_Quantity[Date],BE$1,RM_PM_Quantity[Location],"MIDC/Pre-Production",RM_PM_Quantity[Section],$C9,RM_PM_Quantity[RM Name],$E9),0)</f>
        <v>0</v>
      </c>
      <c r="BF9" s="84">
        <f>SUMIFS(RM_PM_Quantity[Quantity],RM_PM_Quantity[Date],BF$1,RM_PM_Quantity[Location],$D9,RM_PM_Quantity[Section],$C9,RM_PM_Quantity[RM Name],$E9)+IF($D9="MIND/Pre-Production",SUMIFS(RM_PM_Quantity[Quantity],RM_PM_Quantity[Date],BF$1,RM_PM_Quantity[Location],"MIDC/Pre-Production",RM_PM_Quantity[Section],$C9,RM_PM_Quantity[RM Name],$E9),0)</f>
        <v>0</v>
      </c>
      <c r="BG9" s="84">
        <f>SUMIFS(RM_PM_Quantity[Quantity],RM_PM_Quantity[Date],BG$1,RM_PM_Quantity[Location],$D9,RM_PM_Quantity[Section],$C9,RM_PM_Quantity[RM Name],$E9)+IF($D9="MIND/Pre-Production",SUMIFS(RM_PM_Quantity[Quantity],RM_PM_Quantity[Date],BG$1,RM_PM_Quantity[Location],"MIDC/Pre-Production",RM_PM_Quantity[Section],$C9,RM_PM_Quantity[RM Name],$E9),0)</f>
        <v>0</v>
      </c>
      <c r="BH9" s="84">
        <f>SUMIFS(RM_PM_Quantity[Quantity],RM_PM_Quantity[Date],BH$1,RM_PM_Quantity[Location],$D9,RM_PM_Quantity[Section],$C9,RM_PM_Quantity[RM Name],$E9)+IF($D9="MIND/Pre-Production",SUMIFS(RM_PM_Quantity[Quantity],RM_PM_Quantity[Date],BH$1,RM_PM_Quantity[Location],"MIDC/Pre-Production",RM_PM_Quantity[Section],$C9,RM_PM_Quantity[RM Name],$E9),0)</f>
        <v>0</v>
      </c>
      <c r="BI9" s="84">
        <f>SUMIFS(RM_PM_Quantity[Quantity],RM_PM_Quantity[Date],BI$1,RM_PM_Quantity[Location],$D9,RM_PM_Quantity[Section],$C9,RM_PM_Quantity[RM Name],$E9)+IF($D9="MIND/Pre-Production",SUMIFS(RM_PM_Quantity[Quantity],RM_PM_Quantity[Date],BI$1,RM_PM_Quantity[Location],"MIDC/Pre-Production",RM_PM_Quantity[Section],$C9,RM_PM_Quantity[RM Name],$E9),0)</f>
        <v>0</v>
      </c>
      <c r="BJ9" s="84">
        <f>SUMIFS(RM_PM_Quantity[Quantity],RM_PM_Quantity[Date],BJ$1,RM_PM_Quantity[Location],$D9,RM_PM_Quantity[Section],$C9,RM_PM_Quantity[RM Name],$E9)+IF($D9="MIND/Pre-Production",SUMIFS(RM_PM_Quantity[Quantity],RM_PM_Quantity[Date],BJ$1,RM_PM_Quantity[Location],"MIDC/Pre-Production",RM_PM_Quantity[Section],$C9,RM_PM_Quantity[RM Name],$E9),0)</f>
        <v>0</v>
      </c>
      <c r="BK9" s="84">
        <f>SUMIFS(RM_PM_Quantity[Quantity],RM_PM_Quantity[Date],BK$1,RM_PM_Quantity[Location],$D9,RM_PM_Quantity[Section],$C9,RM_PM_Quantity[RM Name],$E9)+IF($D9="MIND/Pre-Production",SUMIFS(RM_PM_Quantity[Quantity],RM_PM_Quantity[Date],BK$1,RM_PM_Quantity[Location],"MIDC/Pre-Production",RM_PM_Quantity[Section],$C9,RM_PM_Quantity[RM Name],$E9),0)</f>
        <v>0</v>
      </c>
      <c r="BL9" s="84">
        <f>SUMIFS(RM_PM_Quantity[Quantity],RM_PM_Quantity[Date],BL$1,RM_PM_Quantity[Location],$D9,RM_PM_Quantity[Section],$C9,RM_PM_Quantity[RM Name],$E9)+IF($D9="MIND/Pre-Production",SUMIFS(RM_PM_Quantity[Quantity],RM_PM_Quantity[Date],BL$1,RM_PM_Quantity[Location],"MIDC/Pre-Production",RM_PM_Quantity[Section],$C9,RM_PM_Quantity[RM Name],$E9),0)</f>
        <v>0</v>
      </c>
      <c r="BM9" s="84">
        <f>SUMIFS(RM_PM_Quantity[Quantity],RM_PM_Quantity[Date],BM$1,RM_PM_Quantity[Location],$D9,RM_PM_Quantity[Section],$C9,RM_PM_Quantity[RM Name],$E9)+IF($D9="MIND/Pre-Production",SUMIFS(RM_PM_Quantity[Quantity],RM_PM_Quantity[Date],BM$1,RM_PM_Quantity[Location],"MIDC/Pre-Production",RM_PM_Quantity[Section],$C9,RM_PM_Quantity[RM Name],$E9),0)</f>
        <v>0</v>
      </c>
      <c r="BN9" s="84">
        <f>SUMIFS(RM_PM_Quantity[Quantity],RM_PM_Quantity[Date],BN$1,RM_PM_Quantity[Location],$D9,RM_PM_Quantity[Section],$C9,RM_PM_Quantity[RM Name],$E9)+IF($D9="MIND/Pre-Production",SUMIFS(RM_PM_Quantity[Quantity],RM_PM_Quantity[Date],BN$1,RM_PM_Quantity[Location],"MIDC/Pre-Production",RM_PM_Quantity[Section],$C9,RM_PM_Quantity[RM Name],$E9),0)</f>
        <v>0</v>
      </c>
      <c r="BO9" s="84">
        <f>SUMIFS(RM_PM_Quantity[Quantity],RM_PM_Quantity[Date],BO$1,RM_PM_Quantity[Location],$D9,RM_PM_Quantity[Section],$C9,RM_PM_Quantity[RM Name],$E9)+IF($D9="MIND/Pre-Production",SUMIFS(RM_PM_Quantity[Quantity],RM_PM_Quantity[Date],BO$1,RM_PM_Quantity[Location],"MIDC/Pre-Production",RM_PM_Quantity[Section],$C9,RM_PM_Quantity[RM Name],$E9),0)</f>
        <v>0</v>
      </c>
      <c r="BP9" s="84">
        <f>SUMIFS(RM_PM_Quantity[Quantity],RM_PM_Quantity[Date],BP$1,RM_PM_Quantity[Location],$D9,RM_PM_Quantity[Section],$C9,RM_PM_Quantity[RM Name],$E9)+IF($D9="MIND/Pre-Production",SUMIFS(RM_PM_Quantity[Quantity],RM_PM_Quantity[Date],BP$1,RM_PM_Quantity[Location],"MIDC/Pre-Production",RM_PM_Quantity[Section],$C9,RM_PM_Quantity[RM Name],$E9),0)</f>
        <v>0</v>
      </c>
      <c r="BQ9" s="84">
        <f>SUMIFS(RM_PM_Quantity[Quantity],RM_PM_Quantity[Date],BQ$1,RM_PM_Quantity[Location],$D9,RM_PM_Quantity[Section],$C9,RM_PM_Quantity[RM Name],$E9)+IF($D9="MIND/Pre-Production",SUMIFS(RM_PM_Quantity[Quantity],RM_PM_Quantity[Date],BQ$1,RM_PM_Quantity[Location],"MIDC/Pre-Production",RM_PM_Quantity[Section],$C9,RM_PM_Quantity[RM Name],$E9),0)</f>
        <v>0</v>
      </c>
      <c r="BR9" s="84">
        <f>SUMIFS(RM_PM_Quantity[Quantity],RM_PM_Quantity[Date],BR$1,RM_PM_Quantity[Location],$D9,RM_PM_Quantity[Section],$C9,RM_PM_Quantity[RM Name],$E9)+IF($D9="MIND/Pre-Production",SUMIFS(RM_PM_Quantity[Quantity],RM_PM_Quantity[Date],BR$1,RM_PM_Quantity[Location],"MIDC/Pre-Production",RM_PM_Quantity[Section],$C9,RM_PM_Quantity[RM Name],$E9),0)</f>
        <v>0</v>
      </c>
      <c r="BS9" s="84">
        <f>SUMIFS(RM_PM_Quantity[Quantity],RM_PM_Quantity[Date],BS$1,RM_PM_Quantity[Location],$D9,RM_PM_Quantity[Section],$C9,RM_PM_Quantity[RM Name],$E9)+IF($D9="MIND/Pre-Production",SUMIFS(RM_PM_Quantity[Quantity],RM_PM_Quantity[Date],BS$1,RM_PM_Quantity[Location],"MIDC/Pre-Production",RM_PM_Quantity[Section],$C9,RM_PM_Quantity[RM Name],$E9),0)</f>
        <v>0</v>
      </c>
      <c r="BT9" s="84">
        <f>SUMIFS(RM_PM_Quantity[ID],RM_PM_Quantity[Location],BT$1,RM_PM_Quantity[Section],$D9,RM_PM_Quantity[RM Name],$C9,RM_PM_Quantity[Quantity],$E9)+IF($D9="MIND/Pre-Production",SUMIFS(RM_PM_Quantity[ID],RM_PM_Quantity[Location],BT$1,RM_PM_Quantity[Section],"MIDC/Pre-Production",RM_PM_Quantity[RM Name],$C9,RM_PM_Quantity[Quantity],$E9),0)</f>
        <v>0</v>
      </c>
      <c r="BU9" s="84">
        <f>SUMIFS(RM_PM_Quantity[Name of Supervisor],RM_PM_Quantity[Section],BU$1,RM_PM_Quantity[RM Name],$D9,RM_PM_Quantity[Quantity],$C9,RM_PM_Quantity[ID],$E9)+IF($D9="MIND/Pre-Production",SUMIFS(RM_PM_Quantity[Name of Supervisor],RM_PM_Quantity[Section],BU$1,RM_PM_Quantity[RM Name],"MIDC/Pre-Production",RM_PM_Quantity[Quantity],$C9,RM_PM_Quantity[ID],$E9),0)</f>
        <v>0</v>
      </c>
      <c r="BV9" s="84">
        <f>SUMIFS(RM_PM_Quantity[Date],RM_PM_Quantity[RM Name],BV$1,RM_PM_Quantity[Quantity],$D9,RM_PM_Quantity[ID],$C9,RM_PM_Quantity[Name of Supervisor],$E9)+IF($D9="MIND/Pre-Production",SUMIFS(RM_PM_Quantity[Date],RM_PM_Quantity[RM Name],BV$1,RM_PM_Quantity[Quantity],"MIDC/Pre-Production",RM_PM_Quantity[ID],$C9,RM_PM_Quantity[Name of Supervisor],$E9),0)</f>
        <v>0</v>
      </c>
      <c r="BW9" s="84">
        <f>SUMIFS(RM_PM_Quantity[Location],RM_PM_Quantity[Quantity],BW$1,RM_PM_Quantity[ID],$D9,RM_PM_Quantity[Name of Supervisor],$C9,RM_PM_Quantity[Date],$E9)+IF($D9="MIND/Pre-Production",SUMIFS(RM_PM_Quantity[Location],RM_PM_Quantity[Quantity],BW$1,RM_PM_Quantity[ID],"MIDC/Pre-Production",RM_PM_Quantity[Name of Supervisor],$C9,RM_PM_Quantity[Date],$E9),0)</f>
        <v>0</v>
      </c>
      <c r="BX9" s="84">
        <f>SUMIFS(RM_PM_Quantity[Section],RM_PM_Quantity[ID],BX$1,RM_PM_Quantity[Name of Supervisor],$D9,RM_PM_Quantity[Date],$C9,RM_PM_Quantity[Location],$E9)+IF($D9="MIND/Pre-Production",SUMIFS(RM_PM_Quantity[Section],RM_PM_Quantity[ID],BX$1,RM_PM_Quantity[Name of Supervisor],"MIDC/Pre-Production",RM_PM_Quantity[Date],$C9,RM_PM_Quantity[Location],$E9),0)</f>
        <v>0</v>
      </c>
      <c r="BY9" s="84">
        <f>SUMIFS(RM_PM_Quantity[RM Name],RM_PM_Quantity[Name of Supervisor],BY$1,RM_PM_Quantity[Date],$D9,RM_PM_Quantity[Location],$C9,RM_PM_Quantity[Section],$E9)+IF($D9="MIND/Pre-Production",SUMIFS(RM_PM_Quantity[RM Name],RM_PM_Quantity[Name of Supervisor],BY$1,RM_PM_Quantity[Date],"MIDC/Pre-Production",RM_PM_Quantity[Location],$C9,RM_PM_Quantity[Section],$E9),0)</f>
        <v>0</v>
      </c>
    </row>
    <row r="10" spans="1:77" ht="45.75" customHeight="1">
      <c r="A10" s="79">
        <v>9</v>
      </c>
      <c r="B10" s="87" t="s">
        <v>72</v>
      </c>
      <c r="C10" s="80" t="s">
        <v>67</v>
      </c>
      <c r="D10" s="81" t="s">
        <v>68</v>
      </c>
      <c r="E10" s="82" t="s">
        <v>73</v>
      </c>
      <c r="F10" s="83">
        <f>IFERROR(_xlfn.XLOOKUP(B10,'[1]RM Tracker'!B:B,'[1]RM Tracker'!E:E),"0")</f>
        <v>860.65</v>
      </c>
      <c r="G10" s="85">
        <f t="shared" si="2"/>
        <v>0</v>
      </c>
      <c r="H10" s="85">
        <f t="shared" si="0"/>
        <v>-860.65</v>
      </c>
      <c r="I10" s="91">
        <f t="shared" si="1"/>
        <v>0</v>
      </c>
      <c r="J10" s="84">
        <f>SUMIFS(RM_PM_Quantity[Quantity],RM_PM_Quantity[Date],J$1,RM_PM_Quantity[Location],$D10,RM_PM_Quantity[Section],$C10,RM_PM_Quantity[RM Name],$E10)+IF($D10="MIND/Pre-Production",SUMIFS(RM_PM_Quantity[Quantity],RM_PM_Quantity[Date],J$1,RM_PM_Quantity[Location],"MIDC/Pre-Production",RM_PM_Quantity[Section],$C10,RM_PM_Quantity[RM Name],$E10),0)</f>
        <v>0</v>
      </c>
      <c r="K10" s="84">
        <f>SUMIFS(RM_PM_Quantity[Quantity],RM_PM_Quantity[Date],K$1,RM_PM_Quantity[Location],$D10,RM_PM_Quantity[Section],$C10,RM_PM_Quantity[RM Name],$E10)+IF($D10="MIND/Pre-Production",SUMIFS(RM_PM_Quantity[Quantity],RM_PM_Quantity[Date],K$1,RM_PM_Quantity[Location],"MIDC/Pre-Production",RM_PM_Quantity[Section],$C10,RM_PM_Quantity[RM Name],$E10),0)</f>
        <v>0</v>
      </c>
      <c r="L10" s="84">
        <f>SUMIFS(RM_PM_Quantity[Quantity],RM_PM_Quantity[Date],L$1,RM_PM_Quantity[Location],$D10,RM_PM_Quantity[Section],$C10,RM_PM_Quantity[RM Name],$E10)+IF($D10="MIND/Pre-Production",SUMIFS(RM_PM_Quantity[Quantity],RM_PM_Quantity[Date],L$1,RM_PM_Quantity[Location],"MIDC/Pre-Production",RM_PM_Quantity[Section],$C10,RM_PM_Quantity[RM Name],$E10),0)</f>
        <v>0</v>
      </c>
      <c r="M10" s="84">
        <f>SUMIFS(RM_PM_Quantity[Quantity],RM_PM_Quantity[Date],M$1,RM_PM_Quantity[Location],$D10,RM_PM_Quantity[Section],$C10,RM_PM_Quantity[RM Name],$E10)+IF($D10="MIND/Pre-Production",SUMIFS(RM_PM_Quantity[Quantity],RM_PM_Quantity[Date],M$1,RM_PM_Quantity[Location],"MIDC/Pre-Production",RM_PM_Quantity[Section],$C10,RM_PM_Quantity[RM Name],$E10),0)</f>
        <v>0</v>
      </c>
      <c r="N10" s="84">
        <f>SUMIFS(RM_PM_Quantity[Quantity],RM_PM_Quantity[Date],N$1,RM_PM_Quantity[Location],$D10,RM_PM_Quantity[Section],$C10,RM_PM_Quantity[RM Name],$E10)+IF($D10="MIND/Pre-Production",SUMIFS(RM_PM_Quantity[Quantity],RM_PM_Quantity[Date],N$1,RM_PM_Quantity[Location],"MIDC/Pre-Production",RM_PM_Quantity[Section],$C10,RM_PM_Quantity[RM Name],$E10),0)</f>
        <v>0</v>
      </c>
      <c r="O10" s="84">
        <f>SUMIFS(RM_PM_Quantity[Quantity],RM_PM_Quantity[Date],O$1,RM_PM_Quantity[Location],$D10,RM_PM_Quantity[Section],$C10,RM_PM_Quantity[RM Name],$E10)+IF($D10="MIND/Pre-Production",SUMIFS(RM_PM_Quantity[Quantity],RM_PM_Quantity[Date],O$1,RM_PM_Quantity[Location],"MIDC/Pre-Production",RM_PM_Quantity[Section],$C10,RM_PM_Quantity[RM Name],$E10),0)</f>
        <v>0</v>
      </c>
      <c r="P10" s="84">
        <f>SUMIFS(RM_PM_Quantity[Quantity],RM_PM_Quantity[Date],P$1,RM_PM_Quantity[Location],$D10,RM_PM_Quantity[Section],$C10,RM_PM_Quantity[RM Name],$E10)+IF($D10="MIND/Pre-Production",SUMIFS(RM_PM_Quantity[Quantity],RM_PM_Quantity[Date],P$1,RM_PM_Quantity[Location],"MIDC/Pre-Production",RM_PM_Quantity[Section],$C10,RM_PM_Quantity[RM Name],$E10),0)</f>
        <v>0</v>
      </c>
      <c r="Q10" s="84">
        <f>SUMIFS(RM_PM_Quantity[Quantity],RM_PM_Quantity[Date],Q$1,RM_PM_Quantity[Location],$D10,RM_PM_Quantity[Section],$C10,RM_PM_Quantity[RM Name],$E10)+IF($D10="MIND/Pre-Production",SUMIFS(RM_PM_Quantity[Quantity],RM_PM_Quantity[Date],Q$1,RM_PM_Quantity[Location],"MIDC/Pre-Production",RM_PM_Quantity[Section],$C10,RM_PM_Quantity[RM Name],$E10),0)</f>
        <v>0</v>
      </c>
      <c r="R10" s="84">
        <f>SUMIFS(RM_PM_Quantity[Quantity],RM_PM_Quantity[Date],R$1,RM_PM_Quantity[Location],$D10,RM_PM_Quantity[Section],$C10,RM_PM_Quantity[RM Name],$E10)+IF($D10="MIND/Pre-Production",SUMIFS(RM_PM_Quantity[Quantity],RM_PM_Quantity[Date],R$1,RM_PM_Quantity[Location],"MIDC/Pre-Production",RM_PM_Quantity[Section],$C10,RM_PM_Quantity[RM Name],$E10),0)</f>
        <v>0</v>
      </c>
      <c r="S10" s="84">
        <f>SUMIFS(RM_PM_Quantity[Quantity],RM_PM_Quantity[Date],S$1,RM_PM_Quantity[Location],$D10,RM_PM_Quantity[Section],$C10,RM_PM_Quantity[RM Name],$E10)+IF($D10="MIND/Pre-Production",SUMIFS(RM_PM_Quantity[Quantity],RM_PM_Quantity[Date],S$1,RM_PM_Quantity[Location],"MIDC/Pre-Production",RM_PM_Quantity[Section],$C10,RM_PM_Quantity[RM Name],$E10),0)</f>
        <v>0</v>
      </c>
      <c r="T10" s="84">
        <f>SUMIFS(RM_PM_Quantity[Quantity],RM_PM_Quantity[Date],T$1,RM_PM_Quantity[Location],$D10,RM_PM_Quantity[Section],$C10,RM_PM_Quantity[RM Name],$E10)+IF($D10="MIND/Pre-Production",SUMIFS(RM_PM_Quantity[Quantity],RM_PM_Quantity[Date],T$1,RM_PM_Quantity[Location],"MIDC/Pre-Production",RM_PM_Quantity[Section],$C10,RM_PM_Quantity[RM Name],$E10),0)</f>
        <v>0</v>
      </c>
      <c r="U10" s="84">
        <f>SUMIFS(RM_PM_Quantity[Quantity],RM_PM_Quantity[Date],U$1,RM_PM_Quantity[Location],$D10,RM_PM_Quantity[Section],$C10,RM_PM_Quantity[RM Name],$E10)+IF($D10="MIND/Pre-Production",SUMIFS(RM_PM_Quantity[Quantity],RM_PM_Quantity[Date],U$1,RM_PM_Quantity[Location],"MIDC/Pre-Production",RM_PM_Quantity[Section],$C10,RM_PM_Quantity[RM Name],$E10),0)</f>
        <v>0</v>
      </c>
      <c r="V10" s="84">
        <f>SUMIFS(RM_PM_Quantity[Quantity],RM_PM_Quantity[Date],V$1,RM_PM_Quantity[Location],$D10,RM_PM_Quantity[Section],$C10,RM_PM_Quantity[RM Name],$E10)+IF($D10="MIND/Pre-Production",SUMIFS(RM_PM_Quantity[Quantity],RM_PM_Quantity[Date],V$1,RM_PM_Quantity[Location],"MIDC/Pre-Production",RM_PM_Quantity[Section],$C10,RM_PM_Quantity[RM Name],$E10),0)</f>
        <v>0</v>
      </c>
      <c r="W10" s="84">
        <f>SUMIFS(RM_PM_Quantity[Quantity],RM_PM_Quantity[Date],W$1,RM_PM_Quantity[Location],$D10,RM_PM_Quantity[Section],$C10,RM_PM_Quantity[RM Name],$E10)+IF($D10="MIND/Pre-Production",SUMIFS(RM_PM_Quantity[Quantity],RM_PM_Quantity[Date],W$1,RM_PM_Quantity[Location],"MIDC/Pre-Production",RM_PM_Quantity[Section],$C10,RM_PM_Quantity[RM Name],$E10),0)</f>
        <v>0</v>
      </c>
      <c r="X10" s="84">
        <f>SUMIFS(RM_PM_Quantity[Quantity],RM_PM_Quantity[Date],X$1,RM_PM_Quantity[Location],$D10,RM_PM_Quantity[Section],$C10,RM_PM_Quantity[RM Name],$E10)+IF($D10="MIND/Pre-Production",SUMIFS(RM_PM_Quantity[Quantity],RM_PM_Quantity[Date],X$1,RM_PM_Quantity[Location],"MIDC/Pre-Production",RM_PM_Quantity[Section],$C10,RM_PM_Quantity[RM Name],$E10),0)</f>
        <v>0</v>
      </c>
      <c r="Y10" s="84">
        <f>SUMIFS(RM_PM_Quantity[Quantity],RM_PM_Quantity[Date],Y$1,RM_PM_Quantity[Location],$D10,RM_PM_Quantity[Section],$C10,RM_PM_Quantity[RM Name],$E10)+IF($D10="MIND/Pre-Production",SUMIFS(RM_PM_Quantity[Quantity],RM_PM_Quantity[Date],Y$1,RM_PM_Quantity[Location],"MIDC/Pre-Production",RM_PM_Quantity[Section],$C10,RM_PM_Quantity[RM Name],$E10),0)</f>
        <v>0</v>
      </c>
      <c r="Z10" s="84">
        <f>SUMIFS(RM_PM_Quantity[Quantity],RM_PM_Quantity[Date],Z$1,RM_PM_Quantity[Location],$D10,RM_PM_Quantity[Section],$C10,RM_PM_Quantity[RM Name],$E10)+IF($D10="MIND/Pre-Production",SUMIFS(RM_PM_Quantity[Quantity],RM_PM_Quantity[Date],Z$1,RM_PM_Quantity[Location],"MIDC/Pre-Production",RM_PM_Quantity[Section],$C10,RM_PM_Quantity[RM Name],$E10),0)</f>
        <v>0</v>
      </c>
      <c r="AA10" s="84">
        <f>SUMIFS(RM_PM_Quantity[Quantity],RM_PM_Quantity[Date],AA$1,RM_PM_Quantity[Location],$D10,RM_PM_Quantity[Section],$C10,RM_PM_Quantity[RM Name],$E10)+IF($D10="MIND/Pre-Production",SUMIFS(RM_PM_Quantity[Quantity],RM_PM_Quantity[Date],AA$1,RM_PM_Quantity[Location],"MIDC/Pre-Production",RM_PM_Quantity[Section],$C10,RM_PM_Quantity[RM Name],$E10),0)</f>
        <v>0</v>
      </c>
      <c r="AB10" s="84">
        <f>SUMIFS(RM_PM_Quantity[Quantity],RM_PM_Quantity[Date],AB$1,RM_PM_Quantity[Location],$D10,RM_PM_Quantity[Section],$C10,RM_PM_Quantity[RM Name],$E10)+IF($D10="MIND/Pre-Production",SUMIFS(RM_PM_Quantity[Quantity],RM_PM_Quantity[Date],AB$1,RM_PM_Quantity[Location],"MIDC/Pre-Production",RM_PM_Quantity[Section],$C10,RM_PM_Quantity[RM Name],$E10),0)</f>
        <v>0</v>
      </c>
      <c r="AC10" s="84">
        <f>SUMIFS(RM_PM_Quantity[Quantity],RM_PM_Quantity[Date],AC$1,RM_PM_Quantity[Location],$D10,RM_PM_Quantity[Section],$C10,RM_PM_Quantity[RM Name],$E10)+IF($D10="MIND/Pre-Production",SUMIFS(RM_PM_Quantity[Quantity],RM_PM_Quantity[Date],AC$1,RM_PM_Quantity[Location],"MIDC/Pre-Production",RM_PM_Quantity[Section],$C10,RM_PM_Quantity[RM Name],$E10),0)</f>
        <v>0</v>
      </c>
      <c r="AD10" s="84">
        <f>SUMIFS(RM_PM_Quantity[Quantity],RM_PM_Quantity[Date],AD$1,RM_PM_Quantity[Location],$D10,RM_PM_Quantity[Section],$C10,RM_PM_Quantity[RM Name],$E10)+IF($D10="MIND/Pre-Production",SUMIFS(RM_PM_Quantity[Quantity],RM_PM_Quantity[Date],AD$1,RM_PM_Quantity[Location],"MIDC/Pre-Production",RM_PM_Quantity[Section],$C10,RM_PM_Quantity[RM Name],$E10),0)</f>
        <v>0</v>
      </c>
      <c r="AE10" s="84">
        <f>SUMIFS(RM_PM_Quantity[Quantity],RM_PM_Quantity[Date],AE$1,RM_PM_Quantity[Location],$D10,RM_PM_Quantity[Section],$C10,RM_PM_Quantity[RM Name],$E10)+IF($D10="MIND/Pre-Production",SUMIFS(RM_PM_Quantity[Quantity],RM_PM_Quantity[Date],AE$1,RM_PM_Quantity[Location],"MIDC/Pre-Production",RM_PM_Quantity[Section],$C10,RM_PM_Quantity[RM Name],$E10),0)</f>
        <v>0</v>
      </c>
      <c r="AF10" s="84">
        <f>SUMIFS(RM_PM_Quantity[Quantity],RM_PM_Quantity[Date],AF$1,RM_PM_Quantity[Location],$D10,RM_PM_Quantity[Section],$C10,RM_PM_Quantity[RM Name],$E10)+IF($D10="MIND/Pre-Production",SUMIFS(RM_PM_Quantity[Quantity],RM_PM_Quantity[Date],AF$1,RM_PM_Quantity[Location],"MIDC/Pre-Production",RM_PM_Quantity[Section],$C10,RM_PM_Quantity[RM Name],$E10),0)</f>
        <v>0</v>
      </c>
      <c r="AG10" s="84">
        <f>SUMIFS(RM_PM_Quantity[Quantity],RM_PM_Quantity[Date],AG$1,RM_PM_Quantity[Location],$D10,RM_PM_Quantity[Section],$C10,RM_PM_Quantity[RM Name],$E10)+IF($D10="MIND/Pre-Production",SUMIFS(RM_PM_Quantity[Quantity],RM_PM_Quantity[Date],AG$1,RM_PM_Quantity[Location],"MIDC/Pre-Production",RM_PM_Quantity[Section],$C10,RM_PM_Quantity[RM Name],$E10),0)</f>
        <v>0</v>
      </c>
      <c r="AH10" s="84">
        <f>SUMIFS(RM_PM_Quantity[Quantity],RM_PM_Quantity[Date],AH$1,RM_PM_Quantity[Location],$D10,RM_PM_Quantity[Section],$C10,RM_PM_Quantity[RM Name],$E10)+IF($D10="MIND/Pre-Production",SUMIFS(RM_PM_Quantity[Quantity],RM_PM_Quantity[Date],AH$1,RM_PM_Quantity[Location],"MIDC/Pre-Production",RM_PM_Quantity[Section],$C10,RM_PM_Quantity[RM Name],$E10),0)</f>
        <v>0</v>
      </c>
      <c r="AI10" s="84">
        <f>SUMIFS(RM_PM_Quantity[Quantity],RM_PM_Quantity[Date],AI$1,RM_PM_Quantity[Location],$D10,RM_PM_Quantity[Section],$C10,RM_PM_Quantity[RM Name],$E10)+IF($D10="MIND/Pre-Production",SUMIFS(RM_PM_Quantity[Quantity],RM_PM_Quantity[Date],AI$1,RM_PM_Quantity[Location],"MIDC/Pre-Production",RM_PM_Quantity[Section],$C10,RM_PM_Quantity[RM Name],$E10),0)</f>
        <v>0</v>
      </c>
      <c r="AJ10" s="84">
        <f>SUMIFS(RM_PM_Quantity[Quantity],RM_PM_Quantity[Date],AJ$1,RM_PM_Quantity[Location],$D10,RM_PM_Quantity[Section],$C10,RM_PM_Quantity[RM Name],$E10)+IF($D10="MIND/Pre-Production",SUMIFS(RM_PM_Quantity[Quantity],RM_PM_Quantity[Date],AJ$1,RM_PM_Quantity[Location],"MIDC/Pre-Production",RM_PM_Quantity[Section],$C10,RM_PM_Quantity[RM Name],$E10),0)</f>
        <v>0</v>
      </c>
      <c r="AK10" s="84">
        <f>SUMIFS(RM_PM_Quantity[Quantity],RM_PM_Quantity[Date],AK$1,RM_PM_Quantity[Location],$D10,RM_PM_Quantity[Section],$C10,RM_PM_Quantity[RM Name],$E10)+IF($D10="MIND/Pre-Production",SUMIFS(RM_PM_Quantity[Quantity],RM_PM_Quantity[Date],AK$1,RM_PM_Quantity[Location],"MIDC/Pre-Production",RM_PM_Quantity[Section],$C10,RM_PM_Quantity[RM Name],$E10),0)</f>
        <v>0</v>
      </c>
      <c r="AL10" s="84">
        <f>SUMIFS(RM_PM_Quantity[Quantity],RM_PM_Quantity[Date],AL$1,RM_PM_Quantity[Location],$D10,RM_PM_Quantity[Section],$C10,RM_PM_Quantity[RM Name],$E10)+IF($D10="MIND/Pre-Production",SUMIFS(RM_PM_Quantity[Quantity],RM_PM_Quantity[Date],AL$1,RM_PM_Quantity[Location],"MIDC/Pre-Production",RM_PM_Quantity[Section],$C10,RM_PM_Quantity[RM Name],$E10),0)</f>
        <v>0</v>
      </c>
      <c r="AM10" s="84">
        <f>SUMIFS(RM_PM_Quantity[Quantity],RM_PM_Quantity[Date],AM$1,RM_PM_Quantity[Location],$D10,RM_PM_Quantity[Section],$C10,RM_PM_Quantity[RM Name],$E10)+IF($D10="MIND/Pre-Production",SUMIFS(RM_PM_Quantity[Quantity],RM_PM_Quantity[Date],AM$1,RM_PM_Quantity[Location],"MIDC/Pre-Production",RM_PM_Quantity[Section],$C10,RM_PM_Quantity[RM Name],$E10),0)</f>
        <v>0</v>
      </c>
      <c r="AN10" s="84">
        <f>SUMIFS(RM_PM_Quantity[Quantity],RM_PM_Quantity[Date],AN$1,RM_PM_Quantity[Location],$D10,RM_PM_Quantity[Section],$C10,RM_PM_Quantity[RM Name],$E10)+IF($D10="MIND/Pre-Production",SUMIFS(RM_PM_Quantity[Quantity],RM_PM_Quantity[Date],AN$1,RM_PM_Quantity[Location],"MIDC/Pre-Production",RM_PM_Quantity[Section],$C10,RM_PM_Quantity[RM Name],$E10),0)</f>
        <v>0</v>
      </c>
      <c r="AO10" s="84">
        <f>SUMIFS(RM_PM_Quantity[Quantity],RM_PM_Quantity[Date],AO$1,RM_PM_Quantity[Location],$D10,RM_PM_Quantity[Section],$C10,RM_PM_Quantity[RM Name],$E10)+IF($D10="MIND/Pre-Production",SUMIFS(RM_PM_Quantity[Quantity],RM_PM_Quantity[Date],AO$1,RM_PM_Quantity[Location],"MIDC/Pre-Production",RM_PM_Quantity[Section],$C10,RM_PM_Quantity[RM Name],$E10),0)</f>
        <v>0</v>
      </c>
      <c r="AP10" s="84">
        <f>SUMIFS(RM_PM_Quantity[Quantity],RM_PM_Quantity[Date],AP$1,RM_PM_Quantity[Location],$D10,RM_PM_Quantity[Section],$C10,RM_PM_Quantity[RM Name],$E10)+IF($D10="MIND/Pre-Production",SUMIFS(RM_PM_Quantity[Quantity],RM_PM_Quantity[Date],AP$1,RM_PM_Quantity[Location],"MIDC/Pre-Production",RM_PM_Quantity[Section],$C10,RM_PM_Quantity[RM Name],$E10),0)</f>
        <v>0</v>
      </c>
      <c r="AQ10" s="84">
        <f>SUMIFS(RM_PM_Quantity[Quantity],RM_PM_Quantity[Date],AQ$1,RM_PM_Quantity[Location],$D10,RM_PM_Quantity[Section],$C10,RM_PM_Quantity[RM Name],$E10)+IF($D10="MIND/Pre-Production",SUMIFS(RM_PM_Quantity[Quantity],RM_PM_Quantity[Date],AQ$1,RM_PM_Quantity[Location],"MIDC/Pre-Production",RM_PM_Quantity[Section],$C10,RM_PM_Quantity[RM Name],$E10),0)</f>
        <v>0</v>
      </c>
      <c r="AR10" s="84">
        <f>SUMIFS(RM_PM_Quantity[Quantity],RM_PM_Quantity[Date],AR$1,RM_PM_Quantity[Location],$D10,RM_PM_Quantity[Section],$C10,RM_PM_Quantity[RM Name],$E10)+IF($D10="MIND/Pre-Production",SUMIFS(RM_PM_Quantity[Quantity],RM_PM_Quantity[Date],AR$1,RM_PM_Quantity[Location],"MIDC/Pre-Production",RM_PM_Quantity[Section],$C10,RM_PM_Quantity[RM Name],$E10),0)</f>
        <v>0</v>
      </c>
      <c r="AS10" s="84">
        <f>SUMIFS(RM_PM_Quantity[Quantity],RM_PM_Quantity[Date],AS$1,RM_PM_Quantity[Location],$D10,RM_PM_Quantity[Section],$C10,RM_PM_Quantity[RM Name],$E10)+IF($D10="MIND/Pre-Production",SUMIFS(RM_PM_Quantity[Quantity],RM_PM_Quantity[Date],AS$1,RM_PM_Quantity[Location],"MIDC/Pre-Production",RM_PM_Quantity[Section],$C10,RM_PM_Quantity[RM Name],$E10),0)</f>
        <v>0</v>
      </c>
      <c r="AT10" s="84">
        <f>SUMIFS(RM_PM_Quantity[Quantity],RM_PM_Quantity[Date],AT$1,RM_PM_Quantity[Location],$D10,RM_PM_Quantity[Section],$C10,RM_PM_Quantity[RM Name],$E10)+IF($D10="MIND/Pre-Production",SUMIFS(RM_PM_Quantity[Quantity],RM_PM_Quantity[Date],AT$1,RM_PM_Quantity[Location],"MIDC/Pre-Production",RM_PM_Quantity[Section],$C10,RM_PM_Quantity[RM Name],$E10),0)</f>
        <v>0</v>
      </c>
      <c r="AU10" s="84">
        <f>SUMIFS(RM_PM_Quantity[Quantity],RM_PM_Quantity[Date],AU$1,RM_PM_Quantity[Location],$D10,RM_PM_Quantity[Section],$C10,RM_PM_Quantity[RM Name],$E10)+IF($D10="MIND/Pre-Production",SUMIFS(RM_PM_Quantity[Quantity],RM_PM_Quantity[Date],AU$1,RM_PM_Quantity[Location],"MIDC/Pre-Production",RM_PM_Quantity[Section],$C10,RM_PM_Quantity[RM Name],$E10),0)</f>
        <v>0</v>
      </c>
      <c r="AV10" s="84">
        <f>SUMIFS(RM_PM_Quantity[Quantity],RM_PM_Quantity[Date],AV$1,RM_PM_Quantity[Location],$D10,RM_PM_Quantity[Section],$C10,RM_PM_Quantity[RM Name],$E10)+IF($D10="MIND/Pre-Production",SUMIFS(RM_PM_Quantity[Quantity],RM_PM_Quantity[Date],AV$1,RM_PM_Quantity[Location],"MIDC/Pre-Production",RM_PM_Quantity[Section],$C10,RM_PM_Quantity[RM Name],$E10),0)</f>
        <v>0</v>
      </c>
      <c r="AW10" s="84">
        <f>SUMIFS(RM_PM_Quantity[Quantity],RM_PM_Quantity[Date],AW$1,RM_PM_Quantity[Location],$D10,RM_PM_Quantity[Section],$C10,RM_PM_Quantity[RM Name],$E10)+IF($D10="MIND/Pre-Production",SUMIFS(RM_PM_Quantity[Quantity],RM_PM_Quantity[Date],AW$1,RM_PM_Quantity[Location],"MIDC/Pre-Production",RM_PM_Quantity[Section],$C10,RM_PM_Quantity[RM Name],$E10),0)</f>
        <v>0</v>
      </c>
      <c r="AX10" s="84">
        <f>SUMIFS(RM_PM_Quantity[Quantity],RM_PM_Quantity[Date],AX$1,RM_PM_Quantity[Location],$D10,RM_PM_Quantity[Section],$C10,RM_PM_Quantity[RM Name],$E10)+IF($D10="MIND/Pre-Production",SUMIFS(RM_PM_Quantity[Quantity],RM_PM_Quantity[Date],AX$1,RM_PM_Quantity[Location],"MIDC/Pre-Production",RM_PM_Quantity[Section],$C10,RM_PM_Quantity[RM Name],$E10),0)</f>
        <v>0</v>
      </c>
      <c r="AY10" s="84">
        <f>SUMIFS(RM_PM_Quantity[Quantity],RM_PM_Quantity[Date],AY$1,RM_PM_Quantity[Location],$D10,RM_PM_Quantity[Section],$C10,RM_PM_Quantity[RM Name],$E10)+IF($D10="MIND/Pre-Production",SUMIFS(RM_PM_Quantity[Quantity],RM_PM_Quantity[Date],AY$1,RM_PM_Quantity[Location],"MIDC/Pre-Production",RM_PM_Quantity[Section],$C10,RM_PM_Quantity[RM Name],$E10),0)</f>
        <v>0</v>
      </c>
      <c r="AZ10" s="84">
        <f>SUMIFS(RM_PM_Quantity[Quantity],RM_PM_Quantity[Date],AZ$1,RM_PM_Quantity[Location],$D10,RM_PM_Quantity[Section],$C10,RM_PM_Quantity[RM Name],$E10)+IF($D10="MIND/Pre-Production",SUMIFS(RM_PM_Quantity[Quantity],RM_PM_Quantity[Date],AZ$1,RM_PM_Quantity[Location],"MIDC/Pre-Production",RM_PM_Quantity[Section],$C10,RM_PM_Quantity[RM Name],$E10),0)</f>
        <v>0</v>
      </c>
      <c r="BA10" s="84">
        <f>SUMIFS(RM_PM_Quantity[Quantity],RM_PM_Quantity[Date],BA$1,RM_PM_Quantity[Location],$D10,RM_PM_Quantity[Section],$C10,RM_PM_Quantity[RM Name],$E10)+IF($D10="MIND/Pre-Production",SUMIFS(RM_PM_Quantity[Quantity],RM_PM_Quantity[Date],BA$1,RM_PM_Quantity[Location],"MIDC/Pre-Production",RM_PM_Quantity[Section],$C10,RM_PM_Quantity[RM Name],$E10),0)</f>
        <v>0</v>
      </c>
      <c r="BB10" s="84">
        <f>SUMIFS(RM_PM_Quantity[Quantity],RM_PM_Quantity[Date],BB$1,RM_PM_Quantity[Location],$D10,RM_PM_Quantity[Section],$C10,RM_PM_Quantity[RM Name],$E10)+IF($D10="MIND/Pre-Production",SUMIFS(RM_PM_Quantity[Quantity],RM_PM_Quantity[Date],BB$1,RM_PM_Quantity[Location],"MIDC/Pre-Production",RM_PM_Quantity[Section],$C10,RM_PM_Quantity[RM Name],$E10),0)</f>
        <v>0</v>
      </c>
      <c r="BC10" s="84">
        <f>SUMIFS(RM_PM_Quantity[Quantity],RM_PM_Quantity[Date],BC$1,RM_PM_Quantity[Location],$D10,RM_PM_Quantity[Section],$C10,RM_PM_Quantity[RM Name],$E10)+IF($D10="MIND/Pre-Production",SUMIFS(RM_PM_Quantity[Quantity],RM_PM_Quantity[Date],BC$1,RM_PM_Quantity[Location],"MIDC/Pre-Production",RM_PM_Quantity[Section],$C10,RM_PM_Quantity[RM Name],$E10),0)</f>
        <v>0</v>
      </c>
      <c r="BD10" s="84">
        <f>SUMIFS(RM_PM_Quantity[Quantity],RM_PM_Quantity[Date],BD$1,RM_PM_Quantity[Location],$D10,RM_PM_Quantity[Section],$C10,RM_PM_Quantity[RM Name],$E10)+IF($D10="MIND/Pre-Production",SUMIFS(RM_PM_Quantity[Quantity],RM_PM_Quantity[Date],BD$1,RM_PM_Quantity[Location],"MIDC/Pre-Production",RM_PM_Quantity[Section],$C10,RM_PM_Quantity[RM Name],$E10),0)</f>
        <v>0</v>
      </c>
      <c r="BE10" s="84">
        <f>SUMIFS(RM_PM_Quantity[Quantity],RM_PM_Quantity[Date],BE$1,RM_PM_Quantity[Location],$D10,RM_PM_Quantity[Section],$C10,RM_PM_Quantity[RM Name],$E10)+IF($D10="MIND/Pre-Production",SUMIFS(RM_PM_Quantity[Quantity],RM_PM_Quantity[Date],BE$1,RM_PM_Quantity[Location],"MIDC/Pre-Production",RM_PM_Quantity[Section],$C10,RM_PM_Quantity[RM Name],$E10),0)</f>
        <v>0</v>
      </c>
      <c r="BF10" s="84">
        <f>SUMIFS(RM_PM_Quantity[Quantity],RM_PM_Quantity[Date],BF$1,RM_PM_Quantity[Location],$D10,RM_PM_Quantity[Section],$C10,RM_PM_Quantity[RM Name],$E10)+IF($D10="MIND/Pre-Production",SUMIFS(RM_PM_Quantity[Quantity],RM_PM_Quantity[Date],BF$1,RM_PM_Quantity[Location],"MIDC/Pre-Production",RM_PM_Quantity[Section],$C10,RM_PM_Quantity[RM Name],$E10),0)</f>
        <v>0</v>
      </c>
      <c r="BG10" s="84">
        <f>SUMIFS(RM_PM_Quantity[Quantity],RM_PM_Quantity[Date],BG$1,RM_PM_Quantity[Location],$D10,RM_PM_Quantity[Section],$C10,RM_PM_Quantity[RM Name],$E10)+IF($D10="MIND/Pre-Production",SUMIFS(RM_PM_Quantity[Quantity],RM_PM_Quantity[Date],BG$1,RM_PM_Quantity[Location],"MIDC/Pre-Production",RM_PM_Quantity[Section],$C10,RM_PM_Quantity[RM Name],$E10),0)</f>
        <v>0</v>
      </c>
      <c r="BH10" s="84">
        <f>SUMIFS(RM_PM_Quantity[Quantity],RM_PM_Quantity[Date],BH$1,RM_PM_Quantity[Location],$D10,RM_PM_Quantity[Section],$C10,RM_PM_Quantity[RM Name],$E10)+IF($D10="MIND/Pre-Production",SUMIFS(RM_PM_Quantity[Quantity],RM_PM_Quantity[Date],BH$1,RM_PM_Quantity[Location],"MIDC/Pre-Production",RM_PM_Quantity[Section],$C10,RM_PM_Quantity[RM Name],$E10),0)</f>
        <v>0</v>
      </c>
      <c r="BI10" s="84">
        <f>SUMIFS(RM_PM_Quantity[Quantity],RM_PM_Quantity[Date],BI$1,RM_PM_Quantity[Location],$D10,RM_PM_Quantity[Section],$C10,RM_PM_Quantity[RM Name],$E10)+IF($D10="MIND/Pre-Production",SUMIFS(RM_PM_Quantity[Quantity],RM_PM_Quantity[Date],BI$1,RM_PM_Quantity[Location],"MIDC/Pre-Production",RM_PM_Quantity[Section],$C10,RM_PM_Quantity[RM Name],$E10),0)</f>
        <v>0</v>
      </c>
      <c r="BJ10" s="84">
        <f>SUMIFS(RM_PM_Quantity[Quantity],RM_PM_Quantity[Date],BJ$1,RM_PM_Quantity[Location],$D10,RM_PM_Quantity[Section],$C10,RM_PM_Quantity[RM Name],$E10)+IF($D10="MIND/Pre-Production",SUMIFS(RM_PM_Quantity[Quantity],RM_PM_Quantity[Date],BJ$1,RM_PM_Quantity[Location],"MIDC/Pre-Production",RM_PM_Quantity[Section],$C10,RM_PM_Quantity[RM Name],$E10),0)</f>
        <v>0</v>
      </c>
      <c r="BK10" s="84">
        <f>SUMIFS(RM_PM_Quantity[Quantity],RM_PM_Quantity[Date],BK$1,RM_PM_Quantity[Location],$D10,RM_PM_Quantity[Section],$C10,RM_PM_Quantity[RM Name],$E10)+IF($D10="MIND/Pre-Production",SUMIFS(RM_PM_Quantity[Quantity],RM_PM_Quantity[Date],BK$1,RM_PM_Quantity[Location],"MIDC/Pre-Production",RM_PM_Quantity[Section],$C10,RM_PM_Quantity[RM Name],$E10),0)</f>
        <v>0</v>
      </c>
      <c r="BL10" s="84">
        <f>SUMIFS(RM_PM_Quantity[Quantity],RM_PM_Quantity[Date],BL$1,RM_PM_Quantity[Location],$D10,RM_PM_Quantity[Section],$C10,RM_PM_Quantity[RM Name],$E10)+IF($D10="MIND/Pre-Production",SUMIFS(RM_PM_Quantity[Quantity],RM_PM_Quantity[Date],BL$1,RM_PM_Quantity[Location],"MIDC/Pre-Production",RM_PM_Quantity[Section],$C10,RM_PM_Quantity[RM Name],$E10),0)</f>
        <v>0</v>
      </c>
      <c r="BM10" s="84">
        <f>SUMIFS(RM_PM_Quantity[Quantity],RM_PM_Quantity[Date],BM$1,RM_PM_Quantity[Location],$D10,RM_PM_Quantity[Section],$C10,RM_PM_Quantity[RM Name],$E10)+IF($D10="MIND/Pre-Production",SUMIFS(RM_PM_Quantity[Quantity],RM_PM_Quantity[Date],BM$1,RM_PM_Quantity[Location],"MIDC/Pre-Production",RM_PM_Quantity[Section],$C10,RM_PM_Quantity[RM Name],$E10),0)</f>
        <v>0</v>
      </c>
      <c r="BN10" s="84">
        <f>SUMIFS(RM_PM_Quantity[Quantity],RM_PM_Quantity[Date],BN$1,RM_PM_Quantity[Location],$D10,RM_PM_Quantity[Section],$C10,RM_PM_Quantity[RM Name],$E10)+IF($D10="MIND/Pre-Production",SUMIFS(RM_PM_Quantity[Quantity],RM_PM_Quantity[Date],BN$1,RM_PM_Quantity[Location],"MIDC/Pre-Production",RM_PM_Quantity[Section],$C10,RM_PM_Quantity[RM Name],$E10),0)</f>
        <v>0</v>
      </c>
      <c r="BO10" s="84">
        <f>SUMIFS(RM_PM_Quantity[Quantity],RM_PM_Quantity[Date],BO$1,RM_PM_Quantity[Location],$D10,RM_PM_Quantity[Section],$C10,RM_PM_Quantity[RM Name],$E10)+IF($D10="MIND/Pre-Production",SUMIFS(RM_PM_Quantity[Quantity],RM_PM_Quantity[Date],BO$1,RM_PM_Quantity[Location],"MIDC/Pre-Production",RM_PM_Quantity[Section],$C10,RM_PM_Quantity[RM Name],$E10),0)</f>
        <v>0</v>
      </c>
      <c r="BP10" s="84">
        <f>SUMIFS(RM_PM_Quantity[Quantity],RM_PM_Quantity[Date],BP$1,RM_PM_Quantity[Location],$D10,RM_PM_Quantity[Section],$C10,RM_PM_Quantity[RM Name],$E10)+IF($D10="MIND/Pre-Production",SUMIFS(RM_PM_Quantity[Quantity],RM_PM_Quantity[Date],BP$1,RM_PM_Quantity[Location],"MIDC/Pre-Production",RM_PM_Quantity[Section],$C10,RM_PM_Quantity[RM Name],$E10),0)</f>
        <v>0</v>
      </c>
      <c r="BQ10" s="84">
        <f>SUMIFS(RM_PM_Quantity[Quantity],RM_PM_Quantity[Date],BQ$1,RM_PM_Quantity[Location],$D10,RM_PM_Quantity[Section],$C10,RM_PM_Quantity[RM Name],$E10)+IF($D10="MIND/Pre-Production",SUMIFS(RM_PM_Quantity[Quantity],RM_PM_Quantity[Date],BQ$1,RM_PM_Quantity[Location],"MIDC/Pre-Production",RM_PM_Quantity[Section],$C10,RM_PM_Quantity[RM Name],$E10),0)</f>
        <v>0</v>
      </c>
      <c r="BR10" s="84">
        <f>SUMIFS(RM_PM_Quantity[Quantity],RM_PM_Quantity[Date],BR$1,RM_PM_Quantity[Location],$D10,RM_PM_Quantity[Section],$C10,RM_PM_Quantity[RM Name],$E10)+IF($D10="MIND/Pre-Production",SUMIFS(RM_PM_Quantity[Quantity],RM_PM_Quantity[Date],BR$1,RM_PM_Quantity[Location],"MIDC/Pre-Production",RM_PM_Quantity[Section],$C10,RM_PM_Quantity[RM Name],$E10),0)</f>
        <v>0</v>
      </c>
      <c r="BS10" s="84">
        <f>SUMIFS(RM_PM_Quantity[Quantity],RM_PM_Quantity[Date],BS$1,RM_PM_Quantity[Location],$D10,RM_PM_Quantity[Section],$C10,RM_PM_Quantity[RM Name],$E10)+IF($D10="MIND/Pre-Production",SUMIFS(RM_PM_Quantity[Quantity],RM_PM_Quantity[Date],BS$1,RM_PM_Quantity[Location],"MIDC/Pre-Production",RM_PM_Quantity[Section],$C10,RM_PM_Quantity[RM Name],$E10),0)</f>
        <v>0</v>
      </c>
      <c r="BT10" s="84">
        <f>SUMIFS(RM_PM_Quantity[ID],RM_PM_Quantity[Location],BT$1,RM_PM_Quantity[Section],$D10,RM_PM_Quantity[RM Name],$C10,RM_PM_Quantity[Quantity],$E10)+IF($D10="MIND/Pre-Production",SUMIFS(RM_PM_Quantity[ID],RM_PM_Quantity[Location],BT$1,RM_PM_Quantity[Section],"MIDC/Pre-Production",RM_PM_Quantity[RM Name],$C10,RM_PM_Quantity[Quantity],$E10),0)</f>
        <v>0</v>
      </c>
      <c r="BU10" s="84">
        <f>SUMIFS(RM_PM_Quantity[Name of Supervisor],RM_PM_Quantity[Section],BU$1,RM_PM_Quantity[RM Name],$D10,RM_PM_Quantity[Quantity],$C10,RM_PM_Quantity[ID],$E10)+IF($D10="MIND/Pre-Production",SUMIFS(RM_PM_Quantity[Name of Supervisor],RM_PM_Quantity[Section],BU$1,RM_PM_Quantity[RM Name],"MIDC/Pre-Production",RM_PM_Quantity[Quantity],$C10,RM_PM_Quantity[ID],$E10),0)</f>
        <v>0</v>
      </c>
      <c r="BV10" s="84">
        <f>SUMIFS(RM_PM_Quantity[Date],RM_PM_Quantity[RM Name],BV$1,RM_PM_Quantity[Quantity],$D10,RM_PM_Quantity[ID],$C10,RM_PM_Quantity[Name of Supervisor],$E10)+IF($D10="MIND/Pre-Production",SUMIFS(RM_PM_Quantity[Date],RM_PM_Quantity[RM Name],BV$1,RM_PM_Quantity[Quantity],"MIDC/Pre-Production",RM_PM_Quantity[ID],$C10,RM_PM_Quantity[Name of Supervisor],$E10),0)</f>
        <v>0</v>
      </c>
      <c r="BW10" s="84">
        <f>SUMIFS(RM_PM_Quantity[Location],RM_PM_Quantity[Quantity],BW$1,RM_PM_Quantity[ID],$D10,RM_PM_Quantity[Name of Supervisor],$C10,RM_PM_Quantity[Date],$E10)+IF($D10="MIND/Pre-Production",SUMIFS(RM_PM_Quantity[Location],RM_PM_Quantity[Quantity],BW$1,RM_PM_Quantity[ID],"MIDC/Pre-Production",RM_PM_Quantity[Name of Supervisor],$C10,RM_PM_Quantity[Date],$E10),0)</f>
        <v>0</v>
      </c>
      <c r="BX10" s="84">
        <f>SUMIFS(RM_PM_Quantity[Section],RM_PM_Quantity[ID],BX$1,RM_PM_Quantity[Name of Supervisor],$D10,RM_PM_Quantity[Date],$C10,RM_PM_Quantity[Location],$E10)+IF($D10="MIND/Pre-Production",SUMIFS(RM_PM_Quantity[Section],RM_PM_Quantity[ID],BX$1,RM_PM_Quantity[Name of Supervisor],"MIDC/Pre-Production",RM_PM_Quantity[Date],$C10,RM_PM_Quantity[Location],$E10),0)</f>
        <v>0</v>
      </c>
      <c r="BY10" s="84">
        <f>SUMIFS(RM_PM_Quantity[RM Name],RM_PM_Quantity[Name of Supervisor],BY$1,RM_PM_Quantity[Date],$D10,RM_PM_Quantity[Location],$C10,RM_PM_Quantity[Section],$E10)+IF($D10="MIND/Pre-Production",SUMIFS(RM_PM_Quantity[RM Name],RM_PM_Quantity[Name of Supervisor],BY$1,RM_PM_Quantity[Date],"MIDC/Pre-Production",RM_PM_Quantity[Location],$C10,RM_PM_Quantity[Section],$E10),0)</f>
        <v>0</v>
      </c>
    </row>
    <row r="11" spans="1:77" ht="45.75" customHeight="1">
      <c r="A11" s="79">
        <v>10</v>
      </c>
      <c r="B11" s="79" t="s">
        <v>74</v>
      </c>
      <c r="C11" s="80" t="s">
        <v>67</v>
      </c>
      <c r="D11" s="81" t="s">
        <v>68</v>
      </c>
      <c r="E11" s="82" t="s">
        <v>75</v>
      </c>
      <c r="F11" s="83">
        <f>IFERROR(_xlfn.XLOOKUP(B11,'[1]RM Tracker'!B:B,'[1]RM Tracker'!E:E),"0")</f>
        <v>324.65000000000009</v>
      </c>
      <c r="G11" s="85">
        <f t="shared" si="2"/>
        <v>0</v>
      </c>
      <c r="H11" s="85">
        <f t="shared" si="0"/>
        <v>-324.65000000000009</v>
      </c>
      <c r="I11" s="91">
        <f t="shared" si="1"/>
        <v>0</v>
      </c>
      <c r="J11" s="84">
        <f>SUMIFS(RM_PM_Quantity[Quantity],RM_PM_Quantity[Date],J$1,RM_PM_Quantity[Location],$D11,RM_PM_Quantity[Section],$C11,RM_PM_Quantity[RM Name],$E11)+IF($D11="MIND/Pre-Production",SUMIFS(RM_PM_Quantity[Quantity],RM_PM_Quantity[Date],J$1,RM_PM_Quantity[Location],"MIDC/Pre-Production",RM_PM_Quantity[Section],$C11,RM_PM_Quantity[RM Name],$E11),0)</f>
        <v>0</v>
      </c>
      <c r="K11" s="84">
        <f>SUMIFS(RM_PM_Quantity[Quantity],RM_PM_Quantity[Date],K$1,RM_PM_Quantity[Location],$D11,RM_PM_Quantity[Section],$C11,RM_PM_Quantity[RM Name],$E11)+IF($D11="MIND/Pre-Production",SUMIFS(RM_PM_Quantity[Quantity],RM_PM_Quantity[Date],K$1,RM_PM_Quantity[Location],"MIDC/Pre-Production",RM_PM_Quantity[Section],$C11,RM_PM_Quantity[RM Name],$E11),0)</f>
        <v>0</v>
      </c>
      <c r="L11" s="84">
        <f>SUMIFS(RM_PM_Quantity[Quantity],RM_PM_Quantity[Date],L$1,RM_PM_Quantity[Location],$D11,RM_PM_Quantity[Section],$C11,RM_PM_Quantity[RM Name],$E11)+IF($D11="MIND/Pre-Production",SUMIFS(RM_PM_Quantity[Quantity],RM_PM_Quantity[Date],L$1,RM_PM_Quantity[Location],"MIDC/Pre-Production",RM_PM_Quantity[Section],$C11,RM_PM_Quantity[RM Name],$E11),0)</f>
        <v>0</v>
      </c>
      <c r="M11" s="84">
        <f>SUMIFS(RM_PM_Quantity[Quantity],RM_PM_Quantity[Date],M$1,RM_PM_Quantity[Location],$D11,RM_PM_Quantity[Section],$C11,RM_PM_Quantity[RM Name],$E11)+IF($D11="MIND/Pre-Production",SUMIFS(RM_PM_Quantity[Quantity],RM_PM_Quantity[Date],M$1,RM_PM_Quantity[Location],"MIDC/Pre-Production",RM_PM_Quantity[Section],$C11,RM_PM_Quantity[RM Name],$E11),0)</f>
        <v>0</v>
      </c>
      <c r="N11" s="84">
        <f>SUMIFS(RM_PM_Quantity[Quantity],RM_PM_Quantity[Date],N$1,RM_PM_Quantity[Location],$D11,RM_PM_Quantity[Section],$C11,RM_PM_Quantity[RM Name],$E11)+IF($D11="MIND/Pre-Production",SUMIFS(RM_PM_Quantity[Quantity],RM_PM_Quantity[Date],N$1,RM_PM_Quantity[Location],"MIDC/Pre-Production",RM_PM_Quantity[Section],$C11,RM_PM_Quantity[RM Name],$E11),0)</f>
        <v>0</v>
      </c>
      <c r="O11" s="84">
        <f>SUMIFS(RM_PM_Quantity[Quantity],RM_PM_Quantity[Date],O$1,RM_PM_Quantity[Location],$D11,RM_PM_Quantity[Section],$C11,RM_PM_Quantity[RM Name],$E11)+IF($D11="MIND/Pre-Production",SUMIFS(RM_PM_Quantity[Quantity],RM_PM_Quantity[Date],O$1,RM_PM_Quantity[Location],"MIDC/Pre-Production",RM_PM_Quantity[Section],$C11,RM_PM_Quantity[RM Name],$E11),0)</f>
        <v>0</v>
      </c>
      <c r="P11" s="84">
        <f>SUMIFS(RM_PM_Quantity[Quantity],RM_PM_Quantity[Date],P$1,RM_PM_Quantity[Location],$D11,RM_PM_Quantity[Section],$C11,RM_PM_Quantity[RM Name],$E11)+IF($D11="MIND/Pre-Production",SUMIFS(RM_PM_Quantity[Quantity],RM_PM_Quantity[Date],P$1,RM_PM_Quantity[Location],"MIDC/Pre-Production",RM_PM_Quantity[Section],$C11,RM_PM_Quantity[RM Name],$E11),0)</f>
        <v>0</v>
      </c>
      <c r="Q11" s="84">
        <f>SUMIFS(RM_PM_Quantity[Quantity],RM_PM_Quantity[Date],Q$1,RM_PM_Quantity[Location],$D11,RM_PM_Quantity[Section],$C11,RM_PM_Quantity[RM Name],$E11)+IF($D11="MIND/Pre-Production",SUMIFS(RM_PM_Quantity[Quantity],RM_PM_Quantity[Date],Q$1,RM_PM_Quantity[Location],"MIDC/Pre-Production",RM_PM_Quantity[Section],$C11,RM_PM_Quantity[RM Name],$E11),0)</f>
        <v>0</v>
      </c>
      <c r="R11" s="84">
        <f>SUMIFS(RM_PM_Quantity[Quantity],RM_PM_Quantity[Date],R$1,RM_PM_Quantity[Location],$D11,RM_PM_Quantity[Section],$C11,RM_PM_Quantity[RM Name],$E11)+IF($D11="MIND/Pre-Production",SUMIFS(RM_PM_Quantity[Quantity],RM_PM_Quantity[Date],R$1,RM_PM_Quantity[Location],"MIDC/Pre-Production",RM_PM_Quantity[Section],$C11,RM_PM_Quantity[RM Name],$E11),0)</f>
        <v>0</v>
      </c>
      <c r="S11" s="84">
        <f>SUMIFS(RM_PM_Quantity[Quantity],RM_PM_Quantity[Date],S$1,RM_PM_Quantity[Location],$D11,RM_PM_Quantity[Section],$C11,RM_PM_Quantity[RM Name],$E11)+IF($D11="MIND/Pre-Production",SUMIFS(RM_PM_Quantity[Quantity],RM_PM_Quantity[Date],S$1,RM_PM_Quantity[Location],"MIDC/Pre-Production",RM_PM_Quantity[Section],$C11,RM_PM_Quantity[RM Name],$E11),0)</f>
        <v>0</v>
      </c>
      <c r="T11" s="84">
        <f>SUMIFS(RM_PM_Quantity[Quantity],RM_PM_Quantity[Date],T$1,RM_PM_Quantity[Location],$D11,RM_PM_Quantity[Section],$C11,RM_PM_Quantity[RM Name],$E11)+IF($D11="MIND/Pre-Production",SUMIFS(RM_PM_Quantity[Quantity],RM_PM_Quantity[Date],T$1,RM_PM_Quantity[Location],"MIDC/Pre-Production",RM_PM_Quantity[Section],$C11,RM_PM_Quantity[RM Name],$E11),0)</f>
        <v>0</v>
      </c>
      <c r="U11" s="84">
        <f>SUMIFS(RM_PM_Quantity[Quantity],RM_PM_Quantity[Date],U$1,RM_PM_Quantity[Location],$D11,RM_PM_Quantity[Section],$C11,RM_PM_Quantity[RM Name],$E11)+IF($D11="MIND/Pre-Production",SUMIFS(RM_PM_Quantity[Quantity],RM_PM_Quantity[Date],U$1,RM_PM_Quantity[Location],"MIDC/Pre-Production",RM_PM_Quantity[Section],$C11,RM_PM_Quantity[RM Name],$E11),0)</f>
        <v>0</v>
      </c>
      <c r="V11" s="84">
        <f>SUMIFS(RM_PM_Quantity[Quantity],RM_PM_Quantity[Date],V$1,RM_PM_Quantity[Location],$D11,RM_PM_Quantity[Section],$C11,RM_PM_Quantity[RM Name],$E11)+IF($D11="MIND/Pre-Production",SUMIFS(RM_PM_Quantity[Quantity],RM_PM_Quantity[Date],V$1,RM_PM_Quantity[Location],"MIDC/Pre-Production",RM_PM_Quantity[Section],$C11,RM_PM_Quantity[RM Name],$E11),0)</f>
        <v>0</v>
      </c>
      <c r="W11" s="84">
        <f>SUMIFS(RM_PM_Quantity[Quantity],RM_PM_Quantity[Date],W$1,RM_PM_Quantity[Location],$D11,RM_PM_Quantity[Section],$C11,RM_PM_Quantity[RM Name],$E11)+IF($D11="MIND/Pre-Production",SUMIFS(RM_PM_Quantity[Quantity],RM_PM_Quantity[Date],W$1,RM_PM_Quantity[Location],"MIDC/Pre-Production",RM_PM_Quantity[Section],$C11,RM_PM_Quantity[RM Name],$E11),0)</f>
        <v>0</v>
      </c>
      <c r="X11" s="84">
        <f>SUMIFS(RM_PM_Quantity[Quantity],RM_PM_Quantity[Date],X$1,RM_PM_Quantity[Location],$D11,RM_PM_Quantity[Section],$C11,RM_PM_Quantity[RM Name],$E11)+IF($D11="MIND/Pre-Production",SUMIFS(RM_PM_Quantity[Quantity],RM_PM_Quantity[Date],X$1,RM_PM_Quantity[Location],"MIDC/Pre-Production",RM_PM_Quantity[Section],$C11,RM_PM_Quantity[RM Name],$E11),0)</f>
        <v>0</v>
      </c>
      <c r="Y11" s="84">
        <f>SUMIFS(RM_PM_Quantity[Quantity],RM_PM_Quantity[Date],Y$1,RM_PM_Quantity[Location],$D11,RM_PM_Quantity[Section],$C11,RM_PM_Quantity[RM Name],$E11)+IF($D11="MIND/Pre-Production",SUMIFS(RM_PM_Quantity[Quantity],RM_PM_Quantity[Date],Y$1,RM_PM_Quantity[Location],"MIDC/Pre-Production",RM_PM_Quantity[Section],$C11,RM_PM_Quantity[RM Name],$E11),0)</f>
        <v>0</v>
      </c>
      <c r="Z11" s="84">
        <f>SUMIFS(RM_PM_Quantity[Quantity],RM_PM_Quantity[Date],Z$1,RM_PM_Quantity[Location],$D11,RM_PM_Quantity[Section],$C11,RM_PM_Quantity[RM Name],$E11)+IF($D11="MIND/Pre-Production",SUMIFS(RM_PM_Quantity[Quantity],RM_PM_Quantity[Date],Z$1,RM_PM_Quantity[Location],"MIDC/Pre-Production",RM_PM_Quantity[Section],$C11,RM_PM_Quantity[RM Name],$E11),0)</f>
        <v>0</v>
      </c>
      <c r="AA11" s="84">
        <f>SUMIFS(RM_PM_Quantity[Quantity],RM_PM_Quantity[Date],AA$1,RM_PM_Quantity[Location],$D11,RM_PM_Quantity[Section],$C11,RM_PM_Quantity[RM Name],$E11)+IF($D11="MIND/Pre-Production",SUMIFS(RM_PM_Quantity[Quantity],RM_PM_Quantity[Date],AA$1,RM_PM_Quantity[Location],"MIDC/Pre-Production",RM_PM_Quantity[Section],$C11,RM_PM_Quantity[RM Name],$E11),0)</f>
        <v>2010</v>
      </c>
      <c r="AB11" s="84">
        <f>SUMIFS(RM_PM_Quantity[Quantity],RM_PM_Quantity[Date],AB$1,RM_PM_Quantity[Location],$D11,RM_PM_Quantity[Section],$C11,RM_PM_Quantity[RM Name],$E11)+IF($D11="MIND/Pre-Production",SUMIFS(RM_PM_Quantity[Quantity],RM_PM_Quantity[Date],AB$1,RM_PM_Quantity[Location],"MIDC/Pre-Production",RM_PM_Quantity[Section],$C11,RM_PM_Quantity[RM Name],$E11),0)</f>
        <v>0</v>
      </c>
      <c r="AC11" s="84">
        <f>SUMIFS(RM_PM_Quantity[Quantity],RM_PM_Quantity[Date],AC$1,RM_PM_Quantity[Location],$D11,RM_PM_Quantity[Section],$C11,RM_PM_Quantity[RM Name],$E11)+IF($D11="MIND/Pre-Production",SUMIFS(RM_PM_Quantity[Quantity],RM_PM_Quantity[Date],AC$1,RM_PM_Quantity[Location],"MIDC/Pre-Production",RM_PM_Quantity[Section],$C11,RM_PM_Quantity[RM Name],$E11),0)</f>
        <v>0</v>
      </c>
      <c r="AD11" s="84">
        <f>SUMIFS(RM_PM_Quantity[Quantity],RM_PM_Quantity[Date],AD$1,RM_PM_Quantity[Location],$D11,RM_PM_Quantity[Section],$C11,RM_PM_Quantity[RM Name],$E11)+IF($D11="MIND/Pre-Production",SUMIFS(RM_PM_Quantity[Quantity],RM_PM_Quantity[Date],AD$1,RM_PM_Quantity[Location],"MIDC/Pre-Production",RM_PM_Quantity[Section],$C11,RM_PM_Quantity[RM Name],$E11),0)</f>
        <v>0</v>
      </c>
      <c r="AE11" s="84">
        <f>SUMIFS(RM_PM_Quantity[Quantity],RM_PM_Quantity[Date],AE$1,RM_PM_Quantity[Location],$D11,RM_PM_Quantity[Section],$C11,RM_PM_Quantity[RM Name],$E11)+IF($D11="MIND/Pre-Production",SUMIFS(RM_PM_Quantity[Quantity],RM_PM_Quantity[Date],AE$1,RM_PM_Quantity[Location],"MIDC/Pre-Production",RM_PM_Quantity[Section],$C11,RM_PM_Quantity[RM Name],$E11),0)</f>
        <v>0</v>
      </c>
      <c r="AF11" s="84">
        <f>SUMIFS(RM_PM_Quantity[Quantity],RM_PM_Quantity[Date],AF$1,RM_PM_Quantity[Location],$D11,RM_PM_Quantity[Section],$C11,RM_PM_Quantity[RM Name],$E11)+IF($D11="MIND/Pre-Production",SUMIFS(RM_PM_Quantity[Quantity],RM_PM_Quantity[Date],AF$1,RM_PM_Quantity[Location],"MIDC/Pre-Production",RM_PM_Quantity[Section],$C11,RM_PM_Quantity[RM Name],$E11),0)</f>
        <v>0</v>
      </c>
      <c r="AG11" s="84">
        <f>SUMIFS(RM_PM_Quantity[Quantity],RM_PM_Quantity[Date],AG$1,RM_PM_Quantity[Location],$D11,RM_PM_Quantity[Section],$C11,RM_PM_Quantity[RM Name],$E11)+IF($D11="MIND/Pre-Production",SUMIFS(RM_PM_Quantity[Quantity],RM_PM_Quantity[Date],AG$1,RM_PM_Quantity[Location],"MIDC/Pre-Production",RM_PM_Quantity[Section],$C11,RM_PM_Quantity[RM Name],$E11),0)</f>
        <v>0</v>
      </c>
      <c r="AH11" s="84">
        <f>SUMIFS(RM_PM_Quantity[Quantity],RM_PM_Quantity[Date],AH$1,RM_PM_Quantity[Location],$D11,RM_PM_Quantity[Section],$C11,RM_PM_Quantity[RM Name],$E11)+IF($D11="MIND/Pre-Production",SUMIFS(RM_PM_Quantity[Quantity],RM_PM_Quantity[Date],AH$1,RM_PM_Quantity[Location],"MIDC/Pre-Production",RM_PM_Quantity[Section],$C11,RM_PM_Quantity[RM Name],$E11),0)</f>
        <v>0</v>
      </c>
      <c r="AI11" s="84">
        <f>SUMIFS(RM_PM_Quantity[Quantity],RM_PM_Quantity[Date],AI$1,RM_PM_Quantity[Location],$D11,RM_PM_Quantity[Section],$C11,RM_PM_Quantity[RM Name],$E11)+IF($D11="MIND/Pre-Production",SUMIFS(RM_PM_Quantity[Quantity],RM_PM_Quantity[Date],AI$1,RM_PM_Quantity[Location],"MIDC/Pre-Production",RM_PM_Quantity[Section],$C11,RM_PM_Quantity[RM Name],$E11),0)</f>
        <v>0</v>
      </c>
      <c r="AJ11" s="84">
        <f>SUMIFS(RM_PM_Quantity[Quantity],RM_PM_Quantity[Date],AJ$1,RM_PM_Quantity[Location],$D11,RM_PM_Quantity[Section],$C11,RM_PM_Quantity[RM Name],$E11)+IF($D11="MIND/Pre-Production",SUMIFS(RM_PM_Quantity[Quantity],RM_PM_Quantity[Date],AJ$1,RM_PM_Quantity[Location],"MIDC/Pre-Production",RM_PM_Quantity[Section],$C11,RM_PM_Quantity[RM Name],$E11),0)</f>
        <v>0</v>
      </c>
      <c r="AK11" s="84">
        <f>SUMIFS(RM_PM_Quantity[Quantity],RM_PM_Quantity[Date],AK$1,RM_PM_Quantity[Location],$D11,RM_PM_Quantity[Section],$C11,RM_PM_Quantity[RM Name],$E11)+IF($D11="MIND/Pre-Production",SUMIFS(RM_PM_Quantity[Quantity],RM_PM_Quantity[Date],AK$1,RM_PM_Quantity[Location],"MIDC/Pre-Production",RM_PM_Quantity[Section],$C11,RM_PM_Quantity[RM Name],$E11),0)</f>
        <v>0</v>
      </c>
      <c r="AL11" s="84">
        <f>SUMIFS(RM_PM_Quantity[Quantity],RM_PM_Quantity[Date],AL$1,RM_PM_Quantity[Location],$D11,RM_PM_Quantity[Section],$C11,RM_PM_Quantity[RM Name],$E11)+IF($D11="MIND/Pre-Production",SUMIFS(RM_PM_Quantity[Quantity],RM_PM_Quantity[Date],AL$1,RM_PM_Quantity[Location],"MIDC/Pre-Production",RM_PM_Quantity[Section],$C11,RM_PM_Quantity[RM Name],$E11),0)</f>
        <v>0</v>
      </c>
      <c r="AM11" s="84">
        <f>SUMIFS(RM_PM_Quantity[Quantity],RM_PM_Quantity[Date],AM$1,RM_PM_Quantity[Location],$D11,RM_PM_Quantity[Section],$C11,RM_PM_Quantity[RM Name],$E11)+IF($D11="MIND/Pre-Production",SUMIFS(RM_PM_Quantity[Quantity],RM_PM_Quantity[Date],AM$1,RM_PM_Quantity[Location],"MIDC/Pre-Production",RM_PM_Quantity[Section],$C11,RM_PM_Quantity[RM Name],$E11),0)</f>
        <v>0</v>
      </c>
      <c r="AN11" s="84">
        <f>SUMIFS(RM_PM_Quantity[Quantity],RM_PM_Quantity[Date],AN$1,RM_PM_Quantity[Location],$D11,RM_PM_Quantity[Section],$C11,RM_PM_Quantity[RM Name],$E11)+IF($D11="MIND/Pre-Production",SUMIFS(RM_PM_Quantity[Quantity],RM_PM_Quantity[Date],AN$1,RM_PM_Quantity[Location],"MIDC/Pre-Production",RM_PM_Quantity[Section],$C11,RM_PM_Quantity[RM Name],$E11),0)</f>
        <v>0</v>
      </c>
      <c r="AO11" s="84">
        <f>SUMIFS(RM_PM_Quantity[Quantity],RM_PM_Quantity[Date],AO$1,RM_PM_Quantity[Location],$D11,RM_PM_Quantity[Section],$C11,RM_PM_Quantity[RM Name],$E11)+IF($D11="MIND/Pre-Production",SUMIFS(RM_PM_Quantity[Quantity],RM_PM_Quantity[Date],AO$1,RM_PM_Quantity[Location],"MIDC/Pre-Production",RM_PM_Quantity[Section],$C11,RM_PM_Quantity[RM Name],$E11),0)</f>
        <v>0</v>
      </c>
      <c r="AP11" s="84">
        <f>SUMIFS(RM_PM_Quantity[Quantity],RM_PM_Quantity[Date],AP$1,RM_PM_Quantity[Location],$D11,RM_PM_Quantity[Section],$C11,RM_PM_Quantity[RM Name],$E11)+IF($D11="MIND/Pre-Production",SUMIFS(RM_PM_Quantity[Quantity],RM_PM_Quantity[Date],AP$1,RM_PM_Quantity[Location],"MIDC/Pre-Production",RM_PM_Quantity[Section],$C11,RM_PM_Quantity[RM Name],$E11),0)</f>
        <v>0</v>
      </c>
      <c r="AQ11" s="84">
        <f>SUMIFS(RM_PM_Quantity[Quantity],RM_PM_Quantity[Date],AQ$1,RM_PM_Quantity[Location],$D11,RM_PM_Quantity[Section],$C11,RM_PM_Quantity[RM Name],$E11)+IF($D11="MIND/Pre-Production",SUMIFS(RM_PM_Quantity[Quantity],RM_PM_Quantity[Date],AQ$1,RM_PM_Quantity[Location],"MIDC/Pre-Production",RM_PM_Quantity[Section],$C11,RM_PM_Quantity[RM Name],$E11),0)</f>
        <v>0</v>
      </c>
      <c r="AR11" s="84">
        <f>SUMIFS(RM_PM_Quantity[Quantity],RM_PM_Quantity[Date],AR$1,RM_PM_Quantity[Location],$D11,RM_PM_Quantity[Section],$C11,RM_PM_Quantity[RM Name],$E11)+IF($D11="MIND/Pre-Production",SUMIFS(RM_PM_Quantity[Quantity],RM_PM_Quantity[Date],AR$1,RM_PM_Quantity[Location],"MIDC/Pre-Production",RM_PM_Quantity[Section],$C11,RM_PM_Quantity[RM Name],$E11),0)</f>
        <v>0</v>
      </c>
      <c r="AS11" s="84">
        <f>SUMIFS(RM_PM_Quantity[Quantity],RM_PM_Quantity[Date],AS$1,RM_PM_Quantity[Location],$D11,RM_PM_Quantity[Section],$C11,RM_PM_Quantity[RM Name],$E11)+IF($D11="MIND/Pre-Production",SUMIFS(RM_PM_Quantity[Quantity],RM_PM_Quantity[Date],AS$1,RM_PM_Quantity[Location],"MIDC/Pre-Production",RM_PM_Quantity[Section],$C11,RM_PM_Quantity[RM Name],$E11),0)</f>
        <v>0</v>
      </c>
      <c r="AT11" s="84">
        <f>SUMIFS(RM_PM_Quantity[Quantity],RM_PM_Quantity[Date],AT$1,RM_PM_Quantity[Location],$D11,RM_PM_Quantity[Section],$C11,RM_PM_Quantity[RM Name],$E11)+IF($D11="MIND/Pre-Production",SUMIFS(RM_PM_Quantity[Quantity],RM_PM_Quantity[Date],AT$1,RM_PM_Quantity[Location],"MIDC/Pre-Production",RM_PM_Quantity[Section],$C11,RM_PM_Quantity[RM Name],$E11),0)</f>
        <v>0</v>
      </c>
      <c r="AU11" s="84">
        <f>SUMIFS(RM_PM_Quantity[Quantity],RM_PM_Quantity[Date],AU$1,RM_PM_Quantity[Location],$D11,RM_PM_Quantity[Section],$C11,RM_PM_Quantity[RM Name],$E11)+IF($D11="MIND/Pre-Production",SUMIFS(RM_PM_Quantity[Quantity],RM_PM_Quantity[Date],AU$1,RM_PM_Quantity[Location],"MIDC/Pre-Production",RM_PM_Quantity[Section],$C11,RM_PM_Quantity[RM Name],$E11),0)</f>
        <v>0</v>
      </c>
      <c r="AV11" s="84">
        <f>SUMIFS(RM_PM_Quantity[Quantity],RM_PM_Quantity[Date],AV$1,RM_PM_Quantity[Location],$D11,RM_PM_Quantity[Section],$C11,RM_PM_Quantity[RM Name],$E11)+IF($D11="MIND/Pre-Production",SUMIFS(RM_PM_Quantity[Quantity],RM_PM_Quantity[Date],AV$1,RM_PM_Quantity[Location],"MIDC/Pre-Production",RM_PM_Quantity[Section],$C11,RM_PM_Quantity[RM Name],$E11),0)</f>
        <v>0</v>
      </c>
      <c r="AW11" s="84">
        <f>SUMIFS(RM_PM_Quantity[Quantity],RM_PM_Quantity[Date],AW$1,RM_PM_Quantity[Location],$D11,RM_PM_Quantity[Section],$C11,RM_PM_Quantity[RM Name],$E11)+IF($D11="MIND/Pre-Production",SUMIFS(RM_PM_Quantity[Quantity],RM_PM_Quantity[Date],AW$1,RM_PM_Quantity[Location],"MIDC/Pre-Production",RM_PM_Quantity[Section],$C11,RM_PM_Quantity[RM Name],$E11),0)</f>
        <v>0</v>
      </c>
      <c r="AX11" s="84">
        <f>SUMIFS(RM_PM_Quantity[Quantity],RM_PM_Quantity[Date],AX$1,RM_PM_Quantity[Location],$D11,RM_PM_Quantity[Section],$C11,RM_PM_Quantity[RM Name],$E11)+IF($D11="MIND/Pre-Production",SUMIFS(RM_PM_Quantity[Quantity],RM_PM_Quantity[Date],AX$1,RM_PM_Quantity[Location],"MIDC/Pre-Production",RM_PM_Quantity[Section],$C11,RM_PM_Quantity[RM Name],$E11),0)</f>
        <v>0</v>
      </c>
      <c r="AY11" s="84">
        <f>SUMIFS(RM_PM_Quantity[Quantity],RM_PM_Quantity[Date],AY$1,RM_PM_Quantity[Location],$D11,RM_PM_Quantity[Section],$C11,RM_PM_Quantity[RM Name],$E11)+IF($D11="MIND/Pre-Production",SUMIFS(RM_PM_Quantity[Quantity],RM_PM_Quantity[Date],AY$1,RM_PM_Quantity[Location],"MIDC/Pre-Production",RM_PM_Quantity[Section],$C11,RM_PM_Quantity[RM Name],$E11),0)</f>
        <v>0</v>
      </c>
      <c r="AZ11" s="84">
        <f>SUMIFS(RM_PM_Quantity[Quantity],RM_PM_Quantity[Date],AZ$1,RM_PM_Quantity[Location],$D11,RM_PM_Quantity[Section],$C11,RM_PM_Quantity[RM Name],$E11)+IF($D11="MIND/Pre-Production",SUMIFS(RM_PM_Quantity[Quantity],RM_PM_Quantity[Date],AZ$1,RM_PM_Quantity[Location],"MIDC/Pre-Production",RM_PM_Quantity[Section],$C11,RM_PM_Quantity[RM Name],$E11),0)</f>
        <v>0</v>
      </c>
      <c r="BA11" s="84">
        <f>SUMIFS(RM_PM_Quantity[Quantity],RM_PM_Quantity[Date],BA$1,RM_PM_Quantity[Location],$D11,RM_PM_Quantity[Section],$C11,RM_PM_Quantity[RM Name],$E11)+IF($D11="MIND/Pre-Production",SUMIFS(RM_PM_Quantity[Quantity],RM_PM_Quantity[Date],BA$1,RM_PM_Quantity[Location],"MIDC/Pre-Production",RM_PM_Quantity[Section],$C11,RM_PM_Quantity[RM Name],$E11),0)</f>
        <v>0</v>
      </c>
      <c r="BB11" s="84">
        <f>SUMIFS(RM_PM_Quantity[Quantity],RM_PM_Quantity[Date],BB$1,RM_PM_Quantity[Location],$D11,RM_PM_Quantity[Section],$C11,RM_PM_Quantity[RM Name],$E11)+IF($D11="MIND/Pre-Production",SUMIFS(RM_PM_Quantity[Quantity],RM_PM_Quantity[Date],BB$1,RM_PM_Quantity[Location],"MIDC/Pre-Production",RM_PM_Quantity[Section],$C11,RM_PM_Quantity[RM Name],$E11),0)</f>
        <v>0</v>
      </c>
      <c r="BC11" s="84">
        <f>SUMIFS(RM_PM_Quantity[Quantity],RM_PM_Quantity[Date],BC$1,RM_PM_Quantity[Location],$D11,RM_PM_Quantity[Section],$C11,RM_PM_Quantity[RM Name],$E11)+IF($D11="MIND/Pre-Production",SUMIFS(RM_PM_Quantity[Quantity],RM_PM_Quantity[Date],BC$1,RM_PM_Quantity[Location],"MIDC/Pre-Production",RM_PM_Quantity[Section],$C11,RM_PM_Quantity[RM Name],$E11),0)</f>
        <v>0</v>
      </c>
      <c r="BD11" s="84">
        <f>SUMIFS(RM_PM_Quantity[Quantity],RM_PM_Quantity[Date],BD$1,RM_PM_Quantity[Location],$D11,RM_PM_Quantity[Section],$C11,RM_PM_Quantity[RM Name],$E11)+IF($D11="MIND/Pre-Production",SUMIFS(RM_PM_Quantity[Quantity],RM_PM_Quantity[Date],BD$1,RM_PM_Quantity[Location],"MIDC/Pre-Production",RM_PM_Quantity[Section],$C11,RM_PM_Quantity[RM Name],$E11),0)</f>
        <v>0</v>
      </c>
      <c r="BE11" s="84">
        <f>SUMIFS(RM_PM_Quantity[Quantity],RM_PM_Quantity[Date],BE$1,RM_PM_Quantity[Location],$D11,RM_PM_Quantity[Section],$C11,RM_PM_Quantity[RM Name],$E11)+IF($D11="MIND/Pre-Production",SUMIFS(RM_PM_Quantity[Quantity],RM_PM_Quantity[Date],BE$1,RM_PM_Quantity[Location],"MIDC/Pre-Production",RM_PM_Quantity[Section],$C11,RM_PM_Quantity[RM Name],$E11),0)</f>
        <v>0</v>
      </c>
      <c r="BF11" s="84">
        <f>SUMIFS(RM_PM_Quantity[Quantity],RM_PM_Quantity[Date],BF$1,RM_PM_Quantity[Location],$D11,RM_PM_Quantity[Section],$C11,RM_PM_Quantity[RM Name],$E11)+IF($D11="MIND/Pre-Production",SUMIFS(RM_PM_Quantity[Quantity],RM_PM_Quantity[Date],BF$1,RM_PM_Quantity[Location],"MIDC/Pre-Production",RM_PM_Quantity[Section],$C11,RM_PM_Quantity[RM Name],$E11),0)</f>
        <v>0</v>
      </c>
      <c r="BG11" s="84">
        <f>SUMIFS(RM_PM_Quantity[Quantity],RM_PM_Quantity[Date],BG$1,RM_PM_Quantity[Location],$D11,RM_PM_Quantity[Section],$C11,RM_PM_Quantity[RM Name],$E11)+IF($D11="MIND/Pre-Production",SUMIFS(RM_PM_Quantity[Quantity],RM_PM_Quantity[Date],BG$1,RM_PM_Quantity[Location],"MIDC/Pre-Production",RM_PM_Quantity[Section],$C11,RM_PM_Quantity[RM Name],$E11),0)</f>
        <v>0</v>
      </c>
      <c r="BH11" s="84">
        <f>SUMIFS(RM_PM_Quantity[Quantity],RM_PM_Quantity[Date],BH$1,RM_PM_Quantity[Location],$D11,RM_PM_Quantity[Section],$C11,RM_PM_Quantity[RM Name],$E11)+IF($D11="MIND/Pre-Production",SUMIFS(RM_PM_Quantity[Quantity],RM_PM_Quantity[Date],BH$1,RM_PM_Quantity[Location],"MIDC/Pre-Production",RM_PM_Quantity[Section],$C11,RM_PM_Quantity[RM Name],$E11),0)</f>
        <v>0</v>
      </c>
      <c r="BI11" s="84">
        <f>SUMIFS(RM_PM_Quantity[Quantity],RM_PM_Quantity[Date],BI$1,RM_PM_Quantity[Location],$D11,RM_PM_Quantity[Section],$C11,RM_PM_Quantity[RM Name],$E11)+IF($D11="MIND/Pre-Production",SUMIFS(RM_PM_Quantity[Quantity],RM_PM_Quantity[Date],BI$1,RM_PM_Quantity[Location],"MIDC/Pre-Production",RM_PM_Quantity[Section],$C11,RM_PM_Quantity[RM Name],$E11),0)</f>
        <v>0</v>
      </c>
      <c r="BJ11" s="84">
        <f>SUMIFS(RM_PM_Quantity[Quantity],RM_PM_Quantity[Date],BJ$1,RM_PM_Quantity[Location],$D11,RM_PM_Quantity[Section],$C11,RM_PM_Quantity[RM Name],$E11)+IF($D11="MIND/Pre-Production",SUMIFS(RM_PM_Quantity[Quantity],RM_PM_Quantity[Date],BJ$1,RM_PM_Quantity[Location],"MIDC/Pre-Production",RM_PM_Quantity[Section],$C11,RM_PM_Quantity[RM Name],$E11),0)</f>
        <v>0</v>
      </c>
      <c r="BK11" s="84">
        <f>SUMIFS(RM_PM_Quantity[Quantity],RM_PM_Quantity[Date],BK$1,RM_PM_Quantity[Location],$D11,RM_PM_Quantity[Section],$C11,RM_PM_Quantity[RM Name],$E11)+IF($D11="MIND/Pre-Production",SUMIFS(RM_PM_Quantity[Quantity],RM_PM_Quantity[Date],BK$1,RM_PM_Quantity[Location],"MIDC/Pre-Production",RM_PM_Quantity[Section],$C11,RM_PM_Quantity[RM Name],$E11),0)</f>
        <v>0</v>
      </c>
      <c r="BL11" s="84">
        <f>SUMIFS(RM_PM_Quantity[Quantity],RM_PM_Quantity[Date],BL$1,RM_PM_Quantity[Location],$D11,RM_PM_Quantity[Section],$C11,RM_PM_Quantity[RM Name],$E11)+IF($D11="MIND/Pre-Production",SUMIFS(RM_PM_Quantity[Quantity],RM_PM_Quantity[Date],BL$1,RM_PM_Quantity[Location],"MIDC/Pre-Production",RM_PM_Quantity[Section],$C11,RM_PM_Quantity[RM Name],$E11),0)</f>
        <v>0</v>
      </c>
      <c r="BM11" s="84">
        <f>SUMIFS(RM_PM_Quantity[Quantity],RM_PM_Quantity[Date],BM$1,RM_PM_Quantity[Location],$D11,RM_PM_Quantity[Section],$C11,RM_PM_Quantity[RM Name],$E11)+IF($D11="MIND/Pre-Production",SUMIFS(RM_PM_Quantity[Quantity],RM_PM_Quantity[Date],BM$1,RM_PM_Quantity[Location],"MIDC/Pre-Production",RM_PM_Quantity[Section],$C11,RM_PM_Quantity[RM Name],$E11),0)</f>
        <v>0</v>
      </c>
      <c r="BN11" s="84">
        <f>SUMIFS(RM_PM_Quantity[Quantity],RM_PM_Quantity[Date],BN$1,RM_PM_Quantity[Location],$D11,RM_PM_Quantity[Section],$C11,RM_PM_Quantity[RM Name],$E11)+IF($D11="MIND/Pre-Production",SUMIFS(RM_PM_Quantity[Quantity],RM_PM_Quantity[Date],BN$1,RM_PM_Quantity[Location],"MIDC/Pre-Production",RM_PM_Quantity[Section],$C11,RM_PM_Quantity[RM Name],$E11),0)</f>
        <v>0</v>
      </c>
      <c r="BO11" s="84">
        <f>SUMIFS(RM_PM_Quantity[Quantity],RM_PM_Quantity[Date],BO$1,RM_PM_Quantity[Location],$D11,RM_PM_Quantity[Section],$C11,RM_PM_Quantity[RM Name],$E11)+IF($D11="MIND/Pre-Production",SUMIFS(RM_PM_Quantity[Quantity],RM_PM_Quantity[Date],BO$1,RM_PM_Quantity[Location],"MIDC/Pre-Production",RM_PM_Quantity[Section],$C11,RM_PM_Quantity[RM Name],$E11),0)</f>
        <v>0</v>
      </c>
      <c r="BP11" s="84">
        <f>SUMIFS(RM_PM_Quantity[Quantity],RM_PM_Quantity[Date],BP$1,RM_PM_Quantity[Location],$D11,RM_PM_Quantity[Section],$C11,RM_PM_Quantity[RM Name],$E11)+IF($D11="MIND/Pre-Production",SUMIFS(RM_PM_Quantity[Quantity],RM_PM_Quantity[Date],BP$1,RM_PM_Quantity[Location],"MIDC/Pre-Production",RM_PM_Quantity[Section],$C11,RM_PM_Quantity[RM Name],$E11),0)</f>
        <v>0</v>
      </c>
      <c r="BQ11" s="84">
        <f>SUMIFS(RM_PM_Quantity[Quantity],RM_PM_Quantity[Date],BQ$1,RM_PM_Quantity[Location],$D11,RM_PM_Quantity[Section],$C11,RM_PM_Quantity[RM Name],$E11)+IF($D11="MIND/Pre-Production",SUMIFS(RM_PM_Quantity[Quantity],RM_PM_Quantity[Date],BQ$1,RM_PM_Quantity[Location],"MIDC/Pre-Production",RM_PM_Quantity[Section],$C11,RM_PM_Quantity[RM Name],$E11),0)</f>
        <v>0</v>
      </c>
      <c r="BR11" s="84">
        <f>SUMIFS(RM_PM_Quantity[Quantity],RM_PM_Quantity[Date],BR$1,RM_PM_Quantity[Location],$D11,RM_PM_Quantity[Section],$C11,RM_PM_Quantity[RM Name],$E11)+IF($D11="MIND/Pre-Production",SUMIFS(RM_PM_Quantity[Quantity],RM_PM_Quantity[Date],BR$1,RM_PM_Quantity[Location],"MIDC/Pre-Production",RM_PM_Quantity[Section],$C11,RM_PM_Quantity[RM Name],$E11),0)</f>
        <v>0</v>
      </c>
      <c r="BS11" s="84">
        <f>SUMIFS(RM_PM_Quantity[Quantity],RM_PM_Quantity[Date],BS$1,RM_PM_Quantity[Location],$D11,RM_PM_Quantity[Section],$C11,RM_PM_Quantity[RM Name],$E11)+IF($D11="MIND/Pre-Production",SUMIFS(RM_PM_Quantity[Quantity],RM_PM_Quantity[Date],BS$1,RM_PM_Quantity[Location],"MIDC/Pre-Production",RM_PM_Quantity[Section],$C11,RM_PM_Quantity[RM Name],$E11),0)</f>
        <v>0</v>
      </c>
      <c r="BT11" s="84">
        <f>SUMIFS(RM_PM_Quantity[ID],RM_PM_Quantity[Location],BT$1,RM_PM_Quantity[Section],$D11,RM_PM_Quantity[RM Name],$C11,RM_PM_Quantity[Quantity],$E11)+IF($D11="MIND/Pre-Production",SUMIFS(RM_PM_Quantity[ID],RM_PM_Quantity[Location],BT$1,RM_PM_Quantity[Section],"MIDC/Pre-Production",RM_PM_Quantity[RM Name],$C11,RM_PM_Quantity[Quantity],$E11),0)</f>
        <v>0</v>
      </c>
      <c r="BU11" s="84">
        <f>SUMIFS(RM_PM_Quantity[Name of Supervisor],RM_PM_Quantity[Section],BU$1,RM_PM_Quantity[RM Name],$D11,RM_PM_Quantity[Quantity],$C11,RM_PM_Quantity[ID],$E11)+IF($D11="MIND/Pre-Production",SUMIFS(RM_PM_Quantity[Name of Supervisor],RM_PM_Quantity[Section],BU$1,RM_PM_Quantity[RM Name],"MIDC/Pre-Production",RM_PM_Quantity[Quantity],$C11,RM_PM_Quantity[ID],$E11),0)</f>
        <v>0</v>
      </c>
      <c r="BV11" s="84">
        <f>SUMIFS(RM_PM_Quantity[Date],RM_PM_Quantity[RM Name],BV$1,RM_PM_Quantity[Quantity],$D11,RM_PM_Quantity[ID],$C11,RM_PM_Quantity[Name of Supervisor],$E11)+IF($D11="MIND/Pre-Production",SUMIFS(RM_PM_Quantity[Date],RM_PM_Quantity[RM Name],BV$1,RM_PM_Quantity[Quantity],"MIDC/Pre-Production",RM_PM_Quantity[ID],$C11,RM_PM_Quantity[Name of Supervisor],$E11),0)</f>
        <v>0</v>
      </c>
      <c r="BW11" s="84">
        <f>SUMIFS(RM_PM_Quantity[Location],RM_PM_Quantity[Quantity],BW$1,RM_PM_Quantity[ID],$D11,RM_PM_Quantity[Name of Supervisor],$C11,RM_PM_Quantity[Date],$E11)+IF($D11="MIND/Pre-Production",SUMIFS(RM_PM_Quantity[Location],RM_PM_Quantity[Quantity],BW$1,RM_PM_Quantity[ID],"MIDC/Pre-Production",RM_PM_Quantity[Name of Supervisor],$C11,RM_PM_Quantity[Date],$E11),0)</f>
        <v>0</v>
      </c>
      <c r="BX11" s="84">
        <f>SUMIFS(RM_PM_Quantity[Section],RM_PM_Quantity[ID],BX$1,RM_PM_Quantity[Name of Supervisor],$D11,RM_PM_Quantity[Date],$C11,RM_PM_Quantity[Location],$E11)+IF($D11="MIND/Pre-Production",SUMIFS(RM_PM_Quantity[Section],RM_PM_Quantity[ID],BX$1,RM_PM_Quantity[Name of Supervisor],"MIDC/Pre-Production",RM_PM_Quantity[Date],$C11,RM_PM_Quantity[Location],$E11),0)</f>
        <v>0</v>
      </c>
      <c r="BY11" s="84">
        <f>SUMIFS(RM_PM_Quantity[RM Name],RM_PM_Quantity[Name of Supervisor],BY$1,RM_PM_Quantity[Date],$D11,RM_PM_Quantity[Location],$C11,RM_PM_Quantity[Section],$E11)+IF($D11="MIND/Pre-Production",SUMIFS(RM_PM_Quantity[RM Name],RM_PM_Quantity[Name of Supervisor],BY$1,RM_PM_Quantity[Date],"MIDC/Pre-Production",RM_PM_Quantity[Location],$C11,RM_PM_Quantity[Section],$E11),0)</f>
        <v>0</v>
      </c>
    </row>
    <row r="12" spans="1:77" ht="45.75" customHeight="1">
      <c r="A12" s="79">
        <v>11</v>
      </c>
      <c r="B12" s="79" t="s">
        <v>76</v>
      </c>
      <c r="C12" s="80" t="s">
        <v>67</v>
      </c>
      <c r="D12" s="81" t="s">
        <v>68</v>
      </c>
      <c r="E12" s="82" t="s">
        <v>77</v>
      </c>
      <c r="F12" s="83">
        <f>IFERROR(_xlfn.XLOOKUP(B12,'[1]RM Tracker'!B:B,'[1]RM Tracker'!E:E),"0")</f>
        <v>0</v>
      </c>
      <c r="G12" s="85">
        <f t="shared" si="2"/>
        <v>0</v>
      </c>
      <c r="H12" s="85">
        <f t="shared" si="0"/>
        <v>0</v>
      </c>
      <c r="I12" s="91">
        <f t="shared" si="1"/>
        <v>0</v>
      </c>
      <c r="J12" s="84">
        <f>SUMIFS(RM_PM_Quantity[Quantity],RM_PM_Quantity[Date],J$1,RM_PM_Quantity[Location],$D12,RM_PM_Quantity[Section],$C12,RM_PM_Quantity[RM Name],$E12)+IF($D12="MIND/Pre-Production",SUMIFS(RM_PM_Quantity[Quantity],RM_PM_Quantity[Date],J$1,RM_PM_Quantity[Location],"MIDC/Pre-Production",RM_PM_Quantity[Section],$C12,RM_PM_Quantity[RM Name],$E12),0)</f>
        <v>0</v>
      </c>
      <c r="K12" s="84">
        <f>SUMIFS(RM_PM_Quantity[Quantity],RM_PM_Quantity[Date],K$1,RM_PM_Quantity[Location],$D12,RM_PM_Quantity[Section],$C12,RM_PM_Quantity[RM Name],$E12)+IF($D12="MIND/Pre-Production",SUMIFS(RM_PM_Quantity[Quantity],RM_PM_Quantity[Date],K$1,RM_PM_Quantity[Location],"MIDC/Pre-Production",RM_PM_Quantity[Section],$C12,RM_PM_Quantity[RM Name],$E12),0)</f>
        <v>0</v>
      </c>
      <c r="L12" s="84">
        <f>SUMIFS(RM_PM_Quantity[Quantity],RM_PM_Quantity[Date],L$1,RM_PM_Quantity[Location],$D12,RM_PM_Quantity[Section],$C12,RM_PM_Quantity[RM Name],$E12)+IF($D12="MIND/Pre-Production",SUMIFS(RM_PM_Quantity[Quantity],RM_PM_Quantity[Date],L$1,RM_PM_Quantity[Location],"MIDC/Pre-Production",RM_PM_Quantity[Section],$C12,RM_PM_Quantity[RM Name],$E12),0)</f>
        <v>0</v>
      </c>
      <c r="M12" s="84">
        <f>SUMIFS(RM_PM_Quantity[Quantity],RM_PM_Quantity[Date],M$1,RM_PM_Quantity[Location],$D12,RM_PM_Quantity[Section],$C12,RM_PM_Quantity[RM Name],$E12)+IF($D12="MIND/Pre-Production",SUMIFS(RM_PM_Quantity[Quantity],RM_PM_Quantity[Date],M$1,RM_PM_Quantity[Location],"MIDC/Pre-Production",RM_PM_Quantity[Section],$C12,RM_PM_Quantity[RM Name],$E12),0)</f>
        <v>0</v>
      </c>
      <c r="N12" s="84">
        <f>SUMIFS(RM_PM_Quantity[Quantity],RM_PM_Quantity[Date],N$1,RM_PM_Quantity[Location],$D12,RM_PM_Quantity[Section],$C12,RM_PM_Quantity[RM Name],$E12)+IF($D12="MIND/Pre-Production",SUMIFS(RM_PM_Quantity[Quantity],RM_PM_Quantity[Date],N$1,RM_PM_Quantity[Location],"MIDC/Pre-Production",RM_PM_Quantity[Section],$C12,RM_PM_Quantity[RM Name],$E12),0)</f>
        <v>0</v>
      </c>
      <c r="O12" s="84">
        <f>SUMIFS(RM_PM_Quantity[Quantity],RM_PM_Quantity[Date],O$1,RM_PM_Quantity[Location],$D12,RM_PM_Quantity[Section],$C12,RM_PM_Quantity[RM Name],$E12)+IF($D12="MIND/Pre-Production",SUMIFS(RM_PM_Quantity[Quantity],RM_PM_Quantity[Date],O$1,RM_PM_Quantity[Location],"MIDC/Pre-Production",RM_PM_Quantity[Section],$C12,RM_PM_Quantity[RM Name],$E12),0)</f>
        <v>0</v>
      </c>
      <c r="P12" s="84">
        <f>SUMIFS(RM_PM_Quantity[Quantity],RM_PM_Quantity[Date],P$1,RM_PM_Quantity[Location],$D12,RM_PM_Quantity[Section],$C12,RM_PM_Quantity[RM Name],$E12)+IF($D12="MIND/Pre-Production",SUMIFS(RM_PM_Quantity[Quantity],RM_PM_Quantity[Date],P$1,RM_PM_Quantity[Location],"MIDC/Pre-Production",RM_PM_Quantity[Section],$C12,RM_PM_Quantity[RM Name],$E12),0)</f>
        <v>0</v>
      </c>
      <c r="Q12" s="84">
        <f>SUMIFS(RM_PM_Quantity[Quantity],RM_PM_Quantity[Date],Q$1,RM_PM_Quantity[Location],$D12,RM_PM_Quantity[Section],$C12,RM_PM_Quantity[RM Name],$E12)+IF($D12="MIND/Pre-Production",SUMIFS(RM_PM_Quantity[Quantity],RM_PM_Quantity[Date],Q$1,RM_PM_Quantity[Location],"MIDC/Pre-Production",RM_PM_Quantity[Section],$C12,RM_PM_Quantity[RM Name],$E12),0)</f>
        <v>0</v>
      </c>
      <c r="R12" s="84">
        <f>SUMIFS(RM_PM_Quantity[Quantity],RM_PM_Quantity[Date],R$1,RM_PM_Quantity[Location],$D12,RM_PM_Quantity[Section],$C12,RM_PM_Quantity[RM Name],$E12)+IF($D12="MIND/Pre-Production",SUMIFS(RM_PM_Quantity[Quantity],RM_PM_Quantity[Date],R$1,RM_PM_Quantity[Location],"MIDC/Pre-Production",RM_PM_Quantity[Section],$C12,RM_PM_Quantity[RM Name],$E12),0)</f>
        <v>0</v>
      </c>
      <c r="S12" s="84">
        <f>SUMIFS(RM_PM_Quantity[Quantity],RM_PM_Quantity[Date],S$1,RM_PM_Quantity[Location],$D12,RM_PM_Quantity[Section],$C12,RM_PM_Quantity[RM Name],$E12)+IF($D12="MIND/Pre-Production",SUMIFS(RM_PM_Quantity[Quantity],RM_PM_Quantity[Date],S$1,RM_PM_Quantity[Location],"MIDC/Pre-Production",RM_PM_Quantity[Section],$C12,RM_PM_Quantity[RM Name],$E12),0)</f>
        <v>0</v>
      </c>
      <c r="T12" s="84">
        <f>SUMIFS(RM_PM_Quantity[Quantity],RM_PM_Quantity[Date],T$1,RM_PM_Quantity[Location],$D12,RM_PM_Quantity[Section],$C12,RM_PM_Quantity[RM Name],$E12)+IF($D12="MIND/Pre-Production",SUMIFS(RM_PM_Quantity[Quantity],RM_PM_Quantity[Date],T$1,RM_PM_Quantity[Location],"MIDC/Pre-Production",RM_PM_Quantity[Section],$C12,RM_PM_Quantity[RM Name],$E12),0)</f>
        <v>0</v>
      </c>
      <c r="U12" s="84">
        <f>SUMIFS(RM_PM_Quantity[Quantity],RM_PM_Quantity[Date],U$1,RM_PM_Quantity[Location],$D12,RM_PM_Quantity[Section],$C12,RM_PM_Quantity[RM Name],$E12)+IF($D12="MIND/Pre-Production",SUMIFS(RM_PM_Quantity[Quantity],RM_PM_Quantity[Date],U$1,RM_PM_Quantity[Location],"MIDC/Pre-Production",RM_PM_Quantity[Section],$C12,RM_PM_Quantity[RM Name],$E12),0)</f>
        <v>0</v>
      </c>
      <c r="V12" s="84">
        <f>SUMIFS(RM_PM_Quantity[Quantity],RM_PM_Quantity[Date],V$1,RM_PM_Quantity[Location],$D12,RM_PM_Quantity[Section],$C12,RM_PM_Quantity[RM Name],$E12)+IF($D12="MIND/Pre-Production",SUMIFS(RM_PM_Quantity[Quantity],RM_PM_Quantity[Date],V$1,RM_PM_Quantity[Location],"MIDC/Pre-Production",RM_PM_Quantity[Section],$C12,RM_PM_Quantity[RM Name],$E12),0)</f>
        <v>0</v>
      </c>
      <c r="W12" s="84">
        <f>SUMIFS(RM_PM_Quantity[Quantity],RM_PM_Quantity[Date],W$1,RM_PM_Quantity[Location],$D12,RM_PM_Quantity[Section],$C12,RM_PM_Quantity[RM Name],$E12)+IF($D12="MIND/Pre-Production",SUMIFS(RM_PM_Quantity[Quantity],RM_PM_Quantity[Date],W$1,RM_PM_Quantity[Location],"MIDC/Pre-Production",RM_PM_Quantity[Section],$C12,RM_PM_Quantity[RM Name],$E12),0)</f>
        <v>0</v>
      </c>
      <c r="X12" s="84">
        <f>SUMIFS(RM_PM_Quantity[Quantity],RM_PM_Quantity[Date],X$1,RM_PM_Quantity[Location],$D12,RM_PM_Quantity[Section],$C12,RM_PM_Quantity[RM Name],$E12)+IF($D12="MIND/Pre-Production",SUMIFS(RM_PM_Quantity[Quantity],RM_PM_Quantity[Date],X$1,RM_PM_Quantity[Location],"MIDC/Pre-Production",RM_PM_Quantity[Section],$C12,RM_PM_Quantity[RM Name],$E12),0)</f>
        <v>0</v>
      </c>
      <c r="Y12" s="84">
        <f>SUMIFS(RM_PM_Quantity[Quantity],RM_PM_Quantity[Date],Y$1,RM_PM_Quantity[Location],$D12,RM_PM_Quantity[Section],$C12,RM_PM_Quantity[RM Name],$E12)+IF($D12="MIND/Pre-Production",SUMIFS(RM_PM_Quantity[Quantity],RM_PM_Quantity[Date],Y$1,RM_PM_Quantity[Location],"MIDC/Pre-Production",RM_PM_Quantity[Section],$C12,RM_PM_Quantity[RM Name],$E12),0)</f>
        <v>0</v>
      </c>
      <c r="Z12" s="84">
        <f>SUMIFS(RM_PM_Quantity[Quantity],RM_PM_Quantity[Date],Z$1,RM_PM_Quantity[Location],$D12,RM_PM_Quantity[Section],$C12,RM_PM_Quantity[RM Name],$E12)+IF($D12="MIND/Pre-Production",SUMIFS(RM_PM_Quantity[Quantity],RM_PM_Quantity[Date],Z$1,RM_PM_Quantity[Location],"MIDC/Pre-Production",RM_PM_Quantity[Section],$C12,RM_PM_Quantity[RM Name],$E12),0)</f>
        <v>0</v>
      </c>
      <c r="AA12" s="84">
        <f>SUMIFS(RM_PM_Quantity[Quantity],RM_PM_Quantity[Date],AA$1,RM_PM_Quantity[Location],$D12,RM_PM_Quantity[Section],$C12,RM_PM_Quantity[RM Name],$E12)+IF($D12="MIND/Pre-Production",SUMIFS(RM_PM_Quantity[Quantity],RM_PM_Quantity[Date],AA$1,RM_PM_Quantity[Location],"MIDC/Pre-Production",RM_PM_Quantity[Section],$C12,RM_PM_Quantity[RM Name],$E12),0)</f>
        <v>0</v>
      </c>
      <c r="AB12" s="84">
        <f>SUMIFS(RM_PM_Quantity[Quantity],RM_PM_Quantity[Date],AB$1,RM_PM_Quantity[Location],$D12,RM_PM_Quantity[Section],$C12,RM_PM_Quantity[RM Name],$E12)+IF($D12="MIND/Pre-Production",SUMIFS(RM_PM_Quantity[Quantity],RM_PM_Quantity[Date],AB$1,RM_PM_Quantity[Location],"MIDC/Pre-Production",RM_PM_Quantity[Section],$C12,RM_PM_Quantity[RM Name],$E12),0)</f>
        <v>0</v>
      </c>
      <c r="AC12" s="84">
        <f>SUMIFS(RM_PM_Quantity[Quantity],RM_PM_Quantity[Date],AC$1,RM_PM_Quantity[Location],$D12,RM_PM_Quantity[Section],$C12,RM_PM_Quantity[RM Name],$E12)+IF($D12="MIND/Pre-Production",SUMIFS(RM_PM_Quantity[Quantity],RM_PM_Quantity[Date],AC$1,RM_PM_Quantity[Location],"MIDC/Pre-Production",RM_PM_Quantity[Section],$C12,RM_PM_Quantity[RM Name],$E12),0)</f>
        <v>0</v>
      </c>
      <c r="AD12" s="84">
        <f>SUMIFS(RM_PM_Quantity[Quantity],RM_PM_Quantity[Date],AD$1,RM_PM_Quantity[Location],$D12,RM_PM_Quantity[Section],$C12,RM_PM_Quantity[RM Name],$E12)+IF($D12="MIND/Pre-Production",SUMIFS(RM_PM_Quantity[Quantity],RM_PM_Quantity[Date],AD$1,RM_PM_Quantity[Location],"MIDC/Pre-Production",RM_PM_Quantity[Section],$C12,RM_PM_Quantity[RM Name],$E12),0)</f>
        <v>0</v>
      </c>
      <c r="AE12" s="84">
        <f>SUMIFS(RM_PM_Quantity[Quantity],RM_PM_Quantity[Date],AE$1,RM_PM_Quantity[Location],$D12,RM_PM_Quantity[Section],$C12,RM_PM_Quantity[RM Name],$E12)+IF($D12="MIND/Pre-Production",SUMIFS(RM_PM_Quantity[Quantity],RM_PM_Quantity[Date],AE$1,RM_PM_Quantity[Location],"MIDC/Pre-Production",RM_PM_Quantity[Section],$C12,RM_PM_Quantity[RM Name],$E12),0)</f>
        <v>0</v>
      </c>
      <c r="AF12" s="84">
        <f>SUMIFS(RM_PM_Quantity[Quantity],RM_PM_Quantity[Date],AF$1,RM_PM_Quantity[Location],$D12,RM_PM_Quantity[Section],$C12,RM_PM_Quantity[RM Name],$E12)+IF($D12="MIND/Pre-Production",SUMIFS(RM_PM_Quantity[Quantity],RM_PM_Quantity[Date],AF$1,RM_PM_Quantity[Location],"MIDC/Pre-Production",RM_PM_Quantity[Section],$C12,RM_PM_Quantity[RM Name],$E12),0)</f>
        <v>0</v>
      </c>
      <c r="AG12" s="84">
        <f>SUMIFS(RM_PM_Quantity[Quantity],RM_PM_Quantity[Date],AG$1,RM_PM_Quantity[Location],$D12,RM_PM_Quantity[Section],$C12,RM_PM_Quantity[RM Name],$E12)+IF($D12="MIND/Pre-Production",SUMIFS(RM_PM_Quantity[Quantity],RM_PM_Quantity[Date],AG$1,RM_PM_Quantity[Location],"MIDC/Pre-Production",RM_PM_Quantity[Section],$C12,RM_PM_Quantity[RM Name],$E12),0)</f>
        <v>0</v>
      </c>
      <c r="AH12" s="84">
        <f>SUMIFS(RM_PM_Quantity[Quantity],RM_PM_Quantity[Date],AH$1,RM_PM_Quantity[Location],$D12,RM_PM_Quantity[Section],$C12,RM_PM_Quantity[RM Name],$E12)+IF($D12="MIND/Pre-Production",SUMIFS(RM_PM_Quantity[Quantity],RM_PM_Quantity[Date],AH$1,RM_PM_Quantity[Location],"MIDC/Pre-Production",RM_PM_Quantity[Section],$C12,RM_PM_Quantity[RM Name],$E12),0)</f>
        <v>0</v>
      </c>
      <c r="AI12" s="84">
        <f>SUMIFS(RM_PM_Quantity[Quantity],RM_PM_Quantity[Date],AI$1,RM_PM_Quantity[Location],$D12,RM_PM_Quantity[Section],$C12,RM_PM_Quantity[RM Name],$E12)+IF($D12="MIND/Pre-Production",SUMIFS(RM_PM_Quantity[Quantity],RM_PM_Quantity[Date],AI$1,RM_PM_Quantity[Location],"MIDC/Pre-Production",RM_PM_Quantity[Section],$C12,RM_PM_Quantity[RM Name],$E12),0)</f>
        <v>0</v>
      </c>
      <c r="AJ12" s="84">
        <f>SUMIFS(RM_PM_Quantity[Quantity],RM_PM_Quantity[Date],AJ$1,RM_PM_Quantity[Location],$D12,RM_PM_Quantity[Section],$C12,RM_PM_Quantity[RM Name],$E12)+IF($D12="MIND/Pre-Production",SUMIFS(RM_PM_Quantity[Quantity],RM_PM_Quantity[Date],AJ$1,RM_PM_Quantity[Location],"MIDC/Pre-Production",RM_PM_Quantity[Section],$C12,RM_PM_Quantity[RM Name],$E12),0)</f>
        <v>0</v>
      </c>
      <c r="AK12" s="84">
        <f>SUMIFS(RM_PM_Quantity[Quantity],RM_PM_Quantity[Date],AK$1,RM_PM_Quantity[Location],$D12,RM_PM_Quantity[Section],$C12,RM_PM_Quantity[RM Name],$E12)+IF($D12="MIND/Pre-Production",SUMIFS(RM_PM_Quantity[Quantity],RM_PM_Quantity[Date],AK$1,RM_PM_Quantity[Location],"MIDC/Pre-Production",RM_PM_Quantity[Section],$C12,RM_PM_Quantity[RM Name],$E12),0)</f>
        <v>0</v>
      </c>
      <c r="AL12" s="84">
        <f>SUMIFS(RM_PM_Quantity[Quantity],RM_PM_Quantity[Date],AL$1,RM_PM_Quantity[Location],$D12,RM_PM_Quantity[Section],$C12,RM_PM_Quantity[RM Name],$E12)+IF($D12="MIND/Pre-Production",SUMIFS(RM_PM_Quantity[Quantity],RM_PM_Quantity[Date],AL$1,RM_PM_Quantity[Location],"MIDC/Pre-Production",RM_PM_Quantity[Section],$C12,RM_PM_Quantity[RM Name],$E12),0)</f>
        <v>0</v>
      </c>
      <c r="AM12" s="84">
        <f>SUMIFS(RM_PM_Quantity[Quantity],RM_PM_Quantity[Date],AM$1,RM_PM_Quantity[Location],$D12,RM_PM_Quantity[Section],$C12,RM_PM_Quantity[RM Name],$E12)+IF($D12="MIND/Pre-Production",SUMIFS(RM_PM_Quantity[Quantity],RM_PM_Quantity[Date],AM$1,RM_PM_Quantity[Location],"MIDC/Pre-Production",RM_PM_Quantity[Section],$C12,RM_PM_Quantity[RM Name],$E12),0)</f>
        <v>0</v>
      </c>
      <c r="AN12" s="84">
        <f>SUMIFS(RM_PM_Quantity[Quantity],RM_PM_Quantity[Date],AN$1,RM_PM_Quantity[Location],$D12,RM_PM_Quantity[Section],$C12,RM_PM_Quantity[RM Name],$E12)+IF($D12="MIND/Pre-Production",SUMIFS(RM_PM_Quantity[Quantity],RM_PM_Quantity[Date],AN$1,RM_PM_Quantity[Location],"MIDC/Pre-Production",RM_PM_Quantity[Section],$C12,RM_PM_Quantity[RM Name],$E12),0)</f>
        <v>0</v>
      </c>
      <c r="AO12" s="84">
        <f>SUMIFS(RM_PM_Quantity[Quantity],RM_PM_Quantity[Date],AO$1,RM_PM_Quantity[Location],$D12,RM_PM_Quantity[Section],$C12,RM_PM_Quantity[RM Name],$E12)+IF($D12="MIND/Pre-Production",SUMIFS(RM_PM_Quantity[Quantity],RM_PM_Quantity[Date],AO$1,RM_PM_Quantity[Location],"MIDC/Pre-Production",RM_PM_Quantity[Section],$C12,RM_PM_Quantity[RM Name],$E12),0)</f>
        <v>0</v>
      </c>
      <c r="AP12" s="84">
        <f>SUMIFS(RM_PM_Quantity[Quantity],RM_PM_Quantity[Date],AP$1,RM_PM_Quantity[Location],$D12,RM_PM_Quantity[Section],$C12,RM_PM_Quantity[RM Name],$E12)+IF($D12="MIND/Pre-Production",SUMIFS(RM_PM_Quantity[Quantity],RM_PM_Quantity[Date],AP$1,RM_PM_Quantity[Location],"MIDC/Pre-Production",RM_PM_Quantity[Section],$C12,RM_PM_Quantity[RM Name],$E12),0)</f>
        <v>0</v>
      </c>
      <c r="AQ12" s="84">
        <f>SUMIFS(RM_PM_Quantity[Quantity],RM_PM_Quantity[Date],AQ$1,RM_PM_Quantity[Location],$D12,RM_PM_Quantity[Section],$C12,RM_PM_Quantity[RM Name],$E12)+IF($D12="MIND/Pre-Production",SUMIFS(RM_PM_Quantity[Quantity],RM_PM_Quantity[Date],AQ$1,RM_PM_Quantity[Location],"MIDC/Pre-Production",RM_PM_Quantity[Section],$C12,RM_PM_Quantity[RM Name],$E12),0)</f>
        <v>0</v>
      </c>
      <c r="AR12" s="84">
        <f>SUMIFS(RM_PM_Quantity[Quantity],RM_PM_Quantity[Date],AR$1,RM_PM_Quantity[Location],$D12,RM_PM_Quantity[Section],$C12,RM_PM_Quantity[RM Name],$E12)+IF($D12="MIND/Pre-Production",SUMIFS(RM_PM_Quantity[Quantity],RM_PM_Quantity[Date],AR$1,RM_PM_Quantity[Location],"MIDC/Pre-Production",RM_PM_Quantity[Section],$C12,RM_PM_Quantity[RM Name],$E12),0)</f>
        <v>0</v>
      </c>
      <c r="AS12" s="84">
        <f>SUMIFS(RM_PM_Quantity[Quantity],RM_PM_Quantity[Date],AS$1,RM_PM_Quantity[Location],$D12,RM_PM_Quantity[Section],$C12,RM_PM_Quantity[RM Name],$E12)+IF($D12="MIND/Pre-Production",SUMIFS(RM_PM_Quantity[Quantity],RM_PM_Quantity[Date],AS$1,RM_PM_Quantity[Location],"MIDC/Pre-Production",RM_PM_Quantity[Section],$C12,RM_PM_Quantity[RM Name],$E12),0)</f>
        <v>0</v>
      </c>
      <c r="AT12" s="84">
        <f>SUMIFS(RM_PM_Quantity[Quantity],RM_PM_Quantity[Date],AT$1,RM_PM_Quantity[Location],$D12,RM_PM_Quantity[Section],$C12,RM_PM_Quantity[RM Name],$E12)+IF($D12="MIND/Pre-Production",SUMIFS(RM_PM_Quantity[Quantity],RM_PM_Quantity[Date],AT$1,RM_PM_Quantity[Location],"MIDC/Pre-Production",RM_PM_Quantity[Section],$C12,RM_PM_Quantity[RM Name],$E12),0)</f>
        <v>0</v>
      </c>
      <c r="AU12" s="84">
        <f>SUMIFS(RM_PM_Quantity[Quantity],RM_PM_Quantity[Date],AU$1,RM_PM_Quantity[Location],$D12,RM_PM_Quantity[Section],$C12,RM_PM_Quantity[RM Name],$E12)+IF($D12="MIND/Pre-Production",SUMIFS(RM_PM_Quantity[Quantity],RM_PM_Quantity[Date],AU$1,RM_PM_Quantity[Location],"MIDC/Pre-Production",RM_PM_Quantity[Section],$C12,RM_PM_Quantity[RM Name],$E12),0)</f>
        <v>0</v>
      </c>
      <c r="AV12" s="84">
        <f>SUMIFS(RM_PM_Quantity[Quantity],RM_PM_Quantity[Date],AV$1,RM_PM_Quantity[Location],$D12,RM_PM_Quantity[Section],$C12,RM_PM_Quantity[RM Name],$E12)+IF($D12="MIND/Pre-Production",SUMIFS(RM_PM_Quantity[Quantity],RM_PM_Quantity[Date],AV$1,RM_PM_Quantity[Location],"MIDC/Pre-Production",RM_PM_Quantity[Section],$C12,RM_PM_Quantity[RM Name],$E12),0)</f>
        <v>0</v>
      </c>
      <c r="AW12" s="84">
        <f>SUMIFS(RM_PM_Quantity[Quantity],RM_PM_Quantity[Date],AW$1,RM_PM_Quantity[Location],$D12,RM_PM_Quantity[Section],$C12,RM_PM_Quantity[RM Name],$E12)+IF($D12="MIND/Pre-Production",SUMIFS(RM_PM_Quantity[Quantity],RM_PM_Quantity[Date],AW$1,RM_PM_Quantity[Location],"MIDC/Pre-Production",RM_PM_Quantity[Section],$C12,RM_PM_Quantity[RM Name],$E12),0)</f>
        <v>0</v>
      </c>
      <c r="AX12" s="84">
        <f>SUMIFS(RM_PM_Quantity[Quantity],RM_PM_Quantity[Date],AX$1,RM_PM_Quantity[Location],$D12,RM_PM_Quantity[Section],$C12,RM_PM_Quantity[RM Name],$E12)+IF($D12="MIND/Pre-Production",SUMIFS(RM_PM_Quantity[Quantity],RM_PM_Quantity[Date],AX$1,RM_PM_Quantity[Location],"MIDC/Pre-Production",RM_PM_Quantity[Section],$C12,RM_PM_Quantity[RM Name],$E12),0)</f>
        <v>0</v>
      </c>
      <c r="AY12" s="84">
        <f>SUMIFS(RM_PM_Quantity[Quantity],RM_PM_Quantity[Date],AY$1,RM_PM_Quantity[Location],$D12,RM_PM_Quantity[Section],$C12,RM_PM_Quantity[RM Name],$E12)+IF($D12="MIND/Pre-Production",SUMIFS(RM_PM_Quantity[Quantity],RM_PM_Quantity[Date],AY$1,RM_PM_Quantity[Location],"MIDC/Pre-Production",RM_PM_Quantity[Section],$C12,RM_PM_Quantity[RM Name],$E12),0)</f>
        <v>0</v>
      </c>
      <c r="AZ12" s="84">
        <f>SUMIFS(RM_PM_Quantity[Quantity],RM_PM_Quantity[Date],AZ$1,RM_PM_Quantity[Location],$D12,RM_PM_Quantity[Section],$C12,RM_PM_Quantity[RM Name],$E12)+IF($D12="MIND/Pre-Production",SUMIFS(RM_PM_Quantity[Quantity],RM_PM_Quantity[Date],AZ$1,RM_PM_Quantity[Location],"MIDC/Pre-Production",RM_PM_Quantity[Section],$C12,RM_PM_Quantity[RM Name],$E12),0)</f>
        <v>0</v>
      </c>
      <c r="BA12" s="84">
        <f>SUMIFS(RM_PM_Quantity[Quantity],RM_PM_Quantity[Date],BA$1,RM_PM_Quantity[Location],$D12,RM_PM_Quantity[Section],$C12,RM_PM_Quantity[RM Name],$E12)+IF($D12="MIND/Pre-Production",SUMIFS(RM_PM_Quantity[Quantity],RM_PM_Quantity[Date],BA$1,RM_PM_Quantity[Location],"MIDC/Pre-Production",RM_PM_Quantity[Section],$C12,RM_PM_Quantity[RM Name],$E12),0)</f>
        <v>0</v>
      </c>
      <c r="BB12" s="84">
        <f>SUMIFS(RM_PM_Quantity[Quantity],RM_PM_Quantity[Date],BB$1,RM_PM_Quantity[Location],$D12,RM_PM_Quantity[Section],$C12,RM_PM_Quantity[RM Name],$E12)+IF($D12="MIND/Pre-Production",SUMIFS(RM_PM_Quantity[Quantity],RM_PM_Quantity[Date],BB$1,RM_PM_Quantity[Location],"MIDC/Pre-Production",RM_PM_Quantity[Section],$C12,RM_PM_Quantity[RM Name],$E12),0)</f>
        <v>0</v>
      </c>
      <c r="BC12" s="84">
        <f>SUMIFS(RM_PM_Quantity[Quantity],RM_PM_Quantity[Date],BC$1,RM_PM_Quantity[Location],$D12,RM_PM_Quantity[Section],$C12,RM_PM_Quantity[RM Name],$E12)+IF($D12="MIND/Pre-Production",SUMIFS(RM_PM_Quantity[Quantity],RM_PM_Quantity[Date],BC$1,RM_PM_Quantity[Location],"MIDC/Pre-Production",RM_PM_Quantity[Section],$C12,RM_PM_Quantity[RM Name],$E12),0)</f>
        <v>0</v>
      </c>
      <c r="BD12" s="84">
        <f>SUMIFS(RM_PM_Quantity[Quantity],RM_PM_Quantity[Date],BD$1,RM_PM_Quantity[Location],$D12,RM_PM_Quantity[Section],$C12,RM_PM_Quantity[RM Name],$E12)+IF($D12="MIND/Pre-Production",SUMIFS(RM_PM_Quantity[Quantity],RM_PM_Quantity[Date],BD$1,RM_PM_Quantity[Location],"MIDC/Pre-Production",RM_PM_Quantity[Section],$C12,RM_PM_Quantity[RM Name],$E12),0)</f>
        <v>0</v>
      </c>
      <c r="BE12" s="84">
        <f>SUMIFS(RM_PM_Quantity[Quantity],RM_PM_Quantity[Date],BE$1,RM_PM_Quantity[Location],$D12,RM_PM_Quantity[Section],$C12,RM_PM_Quantity[RM Name],$E12)+IF($D12="MIND/Pre-Production",SUMIFS(RM_PM_Quantity[Quantity],RM_PM_Quantity[Date],BE$1,RM_PM_Quantity[Location],"MIDC/Pre-Production",RM_PM_Quantity[Section],$C12,RM_PM_Quantity[RM Name],$E12),0)</f>
        <v>0</v>
      </c>
      <c r="BF12" s="84">
        <f>SUMIFS(RM_PM_Quantity[Quantity],RM_PM_Quantity[Date],BF$1,RM_PM_Quantity[Location],$D12,RM_PM_Quantity[Section],$C12,RM_PM_Quantity[RM Name],$E12)+IF($D12="MIND/Pre-Production",SUMIFS(RM_PM_Quantity[Quantity],RM_PM_Quantity[Date],BF$1,RM_PM_Quantity[Location],"MIDC/Pre-Production",RM_PM_Quantity[Section],$C12,RM_PM_Quantity[RM Name],$E12),0)</f>
        <v>0</v>
      </c>
      <c r="BG12" s="84">
        <f>SUMIFS(RM_PM_Quantity[Quantity],RM_PM_Quantity[Date],BG$1,RM_PM_Quantity[Location],$D12,RM_PM_Quantity[Section],$C12,RM_PM_Quantity[RM Name],$E12)+IF($D12="MIND/Pre-Production",SUMIFS(RM_PM_Quantity[Quantity],RM_PM_Quantity[Date],BG$1,RM_PM_Quantity[Location],"MIDC/Pre-Production",RM_PM_Quantity[Section],$C12,RM_PM_Quantity[RM Name],$E12),0)</f>
        <v>0</v>
      </c>
      <c r="BH12" s="84">
        <f>SUMIFS(RM_PM_Quantity[Quantity],RM_PM_Quantity[Date],BH$1,RM_PM_Quantity[Location],$D12,RM_PM_Quantity[Section],$C12,RM_PM_Quantity[RM Name],$E12)+IF($D12="MIND/Pre-Production",SUMIFS(RM_PM_Quantity[Quantity],RM_PM_Quantity[Date],BH$1,RM_PM_Quantity[Location],"MIDC/Pre-Production",RM_PM_Quantity[Section],$C12,RM_PM_Quantity[RM Name],$E12),0)</f>
        <v>0</v>
      </c>
      <c r="BI12" s="84">
        <f>SUMIFS(RM_PM_Quantity[Quantity],RM_PM_Quantity[Date],BI$1,RM_PM_Quantity[Location],$D12,RM_PM_Quantity[Section],$C12,RM_PM_Quantity[RM Name],$E12)+IF($D12="MIND/Pre-Production",SUMIFS(RM_PM_Quantity[Quantity],RM_PM_Quantity[Date],BI$1,RM_PM_Quantity[Location],"MIDC/Pre-Production",RM_PM_Quantity[Section],$C12,RM_PM_Quantity[RM Name],$E12),0)</f>
        <v>0</v>
      </c>
      <c r="BJ12" s="84">
        <f>SUMIFS(RM_PM_Quantity[Quantity],RM_PM_Quantity[Date],BJ$1,RM_PM_Quantity[Location],$D12,RM_PM_Quantity[Section],$C12,RM_PM_Quantity[RM Name],$E12)+IF($D12="MIND/Pre-Production",SUMIFS(RM_PM_Quantity[Quantity],RM_PM_Quantity[Date],BJ$1,RM_PM_Quantity[Location],"MIDC/Pre-Production",RM_PM_Quantity[Section],$C12,RM_PM_Quantity[RM Name],$E12),0)</f>
        <v>0</v>
      </c>
      <c r="BK12" s="84">
        <f>SUMIFS(RM_PM_Quantity[Quantity],RM_PM_Quantity[Date],BK$1,RM_PM_Quantity[Location],$D12,RM_PM_Quantity[Section],$C12,RM_PM_Quantity[RM Name],$E12)+IF($D12="MIND/Pre-Production",SUMIFS(RM_PM_Quantity[Quantity],RM_PM_Quantity[Date],BK$1,RM_PM_Quantity[Location],"MIDC/Pre-Production",RM_PM_Quantity[Section],$C12,RM_PM_Quantity[RM Name],$E12),0)</f>
        <v>0</v>
      </c>
      <c r="BL12" s="84">
        <f>SUMIFS(RM_PM_Quantity[Quantity],RM_PM_Quantity[Date],BL$1,RM_PM_Quantity[Location],$D12,RM_PM_Quantity[Section],$C12,RM_PM_Quantity[RM Name],$E12)+IF($D12="MIND/Pre-Production",SUMIFS(RM_PM_Quantity[Quantity],RM_PM_Quantity[Date],BL$1,RM_PM_Quantity[Location],"MIDC/Pre-Production",RM_PM_Quantity[Section],$C12,RM_PM_Quantity[RM Name],$E12),0)</f>
        <v>0</v>
      </c>
      <c r="BM12" s="84">
        <f>SUMIFS(RM_PM_Quantity[Quantity],RM_PM_Quantity[Date],BM$1,RM_PM_Quantity[Location],$D12,RM_PM_Quantity[Section],$C12,RM_PM_Quantity[RM Name],$E12)+IF($D12="MIND/Pre-Production",SUMIFS(RM_PM_Quantity[Quantity],RM_PM_Quantity[Date],BM$1,RM_PM_Quantity[Location],"MIDC/Pre-Production",RM_PM_Quantity[Section],$C12,RM_PM_Quantity[RM Name],$E12),0)</f>
        <v>0</v>
      </c>
      <c r="BN12" s="84">
        <f>SUMIFS(RM_PM_Quantity[Quantity],RM_PM_Quantity[Date],BN$1,RM_PM_Quantity[Location],$D12,RM_PM_Quantity[Section],$C12,RM_PM_Quantity[RM Name],$E12)+IF($D12="MIND/Pre-Production",SUMIFS(RM_PM_Quantity[Quantity],RM_PM_Quantity[Date],BN$1,RM_PM_Quantity[Location],"MIDC/Pre-Production",RM_PM_Quantity[Section],$C12,RM_PM_Quantity[RM Name],$E12),0)</f>
        <v>0</v>
      </c>
      <c r="BO12" s="84">
        <f>SUMIFS(RM_PM_Quantity[Quantity],RM_PM_Quantity[Date],BO$1,RM_PM_Quantity[Location],$D12,RM_PM_Quantity[Section],$C12,RM_PM_Quantity[RM Name],$E12)+IF($D12="MIND/Pre-Production",SUMIFS(RM_PM_Quantity[Quantity],RM_PM_Quantity[Date],BO$1,RM_PM_Quantity[Location],"MIDC/Pre-Production",RM_PM_Quantity[Section],$C12,RM_PM_Quantity[RM Name],$E12),0)</f>
        <v>0</v>
      </c>
      <c r="BP12" s="84">
        <f>SUMIFS(RM_PM_Quantity[Quantity],RM_PM_Quantity[Date],BP$1,RM_PM_Quantity[Location],$D12,RM_PM_Quantity[Section],$C12,RM_PM_Quantity[RM Name],$E12)+IF($D12="MIND/Pre-Production",SUMIFS(RM_PM_Quantity[Quantity],RM_PM_Quantity[Date],BP$1,RM_PM_Quantity[Location],"MIDC/Pre-Production",RM_PM_Quantity[Section],$C12,RM_PM_Quantity[RM Name],$E12),0)</f>
        <v>0</v>
      </c>
      <c r="BQ12" s="84">
        <f>SUMIFS(RM_PM_Quantity[Quantity],RM_PM_Quantity[Date],BQ$1,RM_PM_Quantity[Location],$D12,RM_PM_Quantity[Section],$C12,RM_PM_Quantity[RM Name],$E12)+IF($D12="MIND/Pre-Production",SUMIFS(RM_PM_Quantity[Quantity],RM_PM_Quantity[Date],BQ$1,RM_PM_Quantity[Location],"MIDC/Pre-Production",RM_PM_Quantity[Section],$C12,RM_PM_Quantity[RM Name],$E12),0)</f>
        <v>0</v>
      </c>
      <c r="BR12" s="84">
        <f>SUMIFS(RM_PM_Quantity[Quantity],RM_PM_Quantity[Date],BR$1,RM_PM_Quantity[Location],$D12,RM_PM_Quantity[Section],$C12,RM_PM_Quantity[RM Name],$E12)+IF($D12="MIND/Pre-Production",SUMIFS(RM_PM_Quantity[Quantity],RM_PM_Quantity[Date],BR$1,RM_PM_Quantity[Location],"MIDC/Pre-Production",RM_PM_Quantity[Section],$C12,RM_PM_Quantity[RM Name],$E12),0)</f>
        <v>0</v>
      </c>
      <c r="BS12" s="84">
        <f>SUMIFS(RM_PM_Quantity[Quantity],RM_PM_Quantity[Date],BS$1,RM_PM_Quantity[Location],$D12,RM_PM_Quantity[Section],$C12,RM_PM_Quantity[RM Name],$E12)+IF($D12="MIND/Pre-Production",SUMIFS(RM_PM_Quantity[Quantity],RM_PM_Quantity[Date],BS$1,RM_PM_Quantity[Location],"MIDC/Pre-Production",RM_PM_Quantity[Section],$C12,RM_PM_Quantity[RM Name],$E12),0)</f>
        <v>0</v>
      </c>
      <c r="BT12" s="84">
        <f>SUMIFS(RM_PM_Quantity[ID],RM_PM_Quantity[Location],BT$1,RM_PM_Quantity[Section],$D12,RM_PM_Quantity[RM Name],$C12,RM_PM_Quantity[Quantity],$E12)+IF($D12="MIND/Pre-Production",SUMIFS(RM_PM_Quantity[ID],RM_PM_Quantity[Location],BT$1,RM_PM_Quantity[Section],"MIDC/Pre-Production",RM_PM_Quantity[RM Name],$C12,RM_PM_Quantity[Quantity],$E12),0)</f>
        <v>0</v>
      </c>
      <c r="BU12" s="84">
        <f>SUMIFS(RM_PM_Quantity[Name of Supervisor],RM_PM_Quantity[Section],BU$1,RM_PM_Quantity[RM Name],$D12,RM_PM_Quantity[Quantity],$C12,RM_PM_Quantity[ID],$E12)+IF($D12="MIND/Pre-Production",SUMIFS(RM_PM_Quantity[Name of Supervisor],RM_PM_Quantity[Section],BU$1,RM_PM_Quantity[RM Name],"MIDC/Pre-Production",RM_PM_Quantity[Quantity],$C12,RM_PM_Quantity[ID],$E12),0)</f>
        <v>0</v>
      </c>
      <c r="BV12" s="84">
        <f>SUMIFS(RM_PM_Quantity[Date],RM_PM_Quantity[RM Name],BV$1,RM_PM_Quantity[Quantity],$D12,RM_PM_Quantity[ID],$C12,RM_PM_Quantity[Name of Supervisor],$E12)+IF($D12="MIND/Pre-Production",SUMIFS(RM_PM_Quantity[Date],RM_PM_Quantity[RM Name],BV$1,RM_PM_Quantity[Quantity],"MIDC/Pre-Production",RM_PM_Quantity[ID],$C12,RM_PM_Quantity[Name of Supervisor],$E12),0)</f>
        <v>0</v>
      </c>
      <c r="BW12" s="84">
        <f>SUMIFS(RM_PM_Quantity[Location],RM_PM_Quantity[Quantity],BW$1,RM_PM_Quantity[ID],$D12,RM_PM_Quantity[Name of Supervisor],$C12,RM_PM_Quantity[Date],$E12)+IF($D12="MIND/Pre-Production",SUMIFS(RM_PM_Quantity[Location],RM_PM_Quantity[Quantity],BW$1,RM_PM_Quantity[ID],"MIDC/Pre-Production",RM_PM_Quantity[Name of Supervisor],$C12,RM_PM_Quantity[Date],$E12),0)</f>
        <v>0</v>
      </c>
      <c r="BX12" s="84">
        <f>SUMIFS(RM_PM_Quantity[Section],RM_PM_Quantity[ID],BX$1,RM_PM_Quantity[Name of Supervisor],$D12,RM_PM_Quantity[Date],$C12,RM_PM_Quantity[Location],$E12)+IF($D12="MIND/Pre-Production",SUMIFS(RM_PM_Quantity[Section],RM_PM_Quantity[ID],BX$1,RM_PM_Quantity[Name of Supervisor],"MIDC/Pre-Production",RM_PM_Quantity[Date],$C12,RM_PM_Quantity[Location],$E12),0)</f>
        <v>0</v>
      </c>
      <c r="BY12" s="84">
        <f>SUMIFS(RM_PM_Quantity[RM Name],RM_PM_Quantity[Name of Supervisor],BY$1,RM_PM_Quantity[Date],$D12,RM_PM_Quantity[Location],$C12,RM_PM_Quantity[Section],$E12)+IF($D12="MIND/Pre-Production",SUMIFS(RM_PM_Quantity[RM Name],RM_PM_Quantity[Name of Supervisor],BY$1,RM_PM_Quantity[Date],"MIDC/Pre-Production",RM_PM_Quantity[Location],$C12,RM_PM_Quantity[Section],$E12),0)</f>
        <v>0</v>
      </c>
    </row>
    <row r="13" spans="1:77" ht="45.75" customHeight="1">
      <c r="A13" s="79">
        <v>12</v>
      </c>
      <c r="B13" s="87" t="s">
        <v>78</v>
      </c>
      <c r="C13" s="80" t="s">
        <v>67</v>
      </c>
      <c r="D13" s="81" t="s">
        <v>68</v>
      </c>
      <c r="E13" s="82" t="s">
        <v>79</v>
      </c>
      <c r="F13" s="83">
        <f>IFERROR(_xlfn.XLOOKUP(B13,'[1]RM Tracker'!B:B,'[1]RM Tracker'!E:E),"0")</f>
        <v>0</v>
      </c>
      <c r="G13" s="85">
        <f t="shared" si="2"/>
        <v>0</v>
      </c>
      <c r="H13" s="85">
        <f t="shared" si="0"/>
        <v>0</v>
      </c>
      <c r="I13" s="91">
        <f t="shared" si="1"/>
        <v>0</v>
      </c>
      <c r="J13" s="84">
        <f>SUMIFS(RM_PM_Quantity[Quantity],RM_PM_Quantity[Date],J$1,RM_PM_Quantity[Location],$D13,RM_PM_Quantity[Section],$C13,RM_PM_Quantity[RM Name],$E13)+IF($D13="MIND/Pre-Production",SUMIFS(RM_PM_Quantity[Quantity],RM_PM_Quantity[Date],J$1,RM_PM_Quantity[Location],"MIDC/Pre-Production",RM_PM_Quantity[Section],$C13,RM_PM_Quantity[RM Name],$E13),0)</f>
        <v>0</v>
      </c>
      <c r="K13" s="84">
        <f>SUMIFS(RM_PM_Quantity[Quantity],RM_PM_Quantity[Date],K$1,RM_PM_Quantity[Location],$D13,RM_PM_Quantity[Section],$C13,RM_PM_Quantity[RM Name],$E13)+IF($D13="MIND/Pre-Production",SUMIFS(RM_PM_Quantity[Quantity],RM_PM_Quantity[Date],K$1,RM_PM_Quantity[Location],"MIDC/Pre-Production",RM_PM_Quantity[Section],$C13,RM_PM_Quantity[RM Name],$E13),0)</f>
        <v>0</v>
      </c>
      <c r="L13" s="84">
        <f>SUMIFS(RM_PM_Quantity[Quantity],RM_PM_Quantity[Date],L$1,RM_PM_Quantity[Location],$D13,RM_PM_Quantity[Section],$C13,RM_PM_Quantity[RM Name],$E13)+IF($D13="MIND/Pre-Production",SUMIFS(RM_PM_Quantity[Quantity],RM_PM_Quantity[Date],L$1,RM_PM_Quantity[Location],"MIDC/Pre-Production",RM_PM_Quantity[Section],$C13,RM_PM_Quantity[RM Name],$E13),0)</f>
        <v>0</v>
      </c>
      <c r="M13" s="84">
        <f>SUMIFS(RM_PM_Quantity[Quantity],RM_PM_Quantity[Date],M$1,RM_PM_Quantity[Location],$D13,RM_PM_Quantity[Section],$C13,RM_PM_Quantity[RM Name],$E13)+IF($D13="MIND/Pre-Production",SUMIFS(RM_PM_Quantity[Quantity],RM_PM_Quantity[Date],M$1,RM_PM_Quantity[Location],"MIDC/Pre-Production",RM_PM_Quantity[Section],$C13,RM_PM_Quantity[RM Name],$E13),0)</f>
        <v>0</v>
      </c>
      <c r="N13" s="84">
        <f>SUMIFS(RM_PM_Quantity[Quantity],RM_PM_Quantity[Date],N$1,RM_PM_Quantity[Location],$D13,RM_PM_Quantity[Section],$C13,RM_PM_Quantity[RM Name],$E13)+IF($D13="MIND/Pre-Production",SUMIFS(RM_PM_Quantity[Quantity],RM_PM_Quantity[Date],N$1,RM_PM_Quantity[Location],"MIDC/Pre-Production",RM_PM_Quantity[Section],$C13,RM_PM_Quantity[RM Name],$E13),0)</f>
        <v>0</v>
      </c>
      <c r="O13" s="84">
        <f>SUMIFS(RM_PM_Quantity[Quantity],RM_PM_Quantity[Date],O$1,RM_PM_Quantity[Location],$D13,RM_PM_Quantity[Section],$C13,RM_PM_Quantity[RM Name],$E13)+IF($D13="MIND/Pre-Production",SUMIFS(RM_PM_Quantity[Quantity],RM_PM_Quantity[Date],O$1,RM_PM_Quantity[Location],"MIDC/Pre-Production",RM_PM_Quantity[Section],$C13,RM_PM_Quantity[RM Name],$E13),0)</f>
        <v>0</v>
      </c>
      <c r="P13" s="84">
        <f>SUMIFS(RM_PM_Quantity[Quantity],RM_PM_Quantity[Date],P$1,RM_PM_Quantity[Location],$D13,RM_PM_Quantity[Section],$C13,RM_PM_Quantity[RM Name],$E13)+IF($D13="MIND/Pre-Production",SUMIFS(RM_PM_Quantity[Quantity],RM_PM_Quantity[Date],P$1,RM_PM_Quantity[Location],"MIDC/Pre-Production",RM_PM_Quantity[Section],$C13,RM_PM_Quantity[RM Name],$E13),0)</f>
        <v>0</v>
      </c>
      <c r="Q13" s="84">
        <f>SUMIFS(RM_PM_Quantity[Quantity],RM_PM_Quantity[Date],Q$1,RM_PM_Quantity[Location],$D13,RM_PM_Quantity[Section],$C13,RM_PM_Quantity[RM Name],$E13)+IF($D13="MIND/Pre-Production",SUMIFS(RM_PM_Quantity[Quantity],RM_PM_Quantity[Date],Q$1,RM_PM_Quantity[Location],"MIDC/Pre-Production",RM_PM_Quantity[Section],$C13,RM_PM_Quantity[RM Name],$E13),0)</f>
        <v>0</v>
      </c>
      <c r="R13" s="84">
        <f>SUMIFS(RM_PM_Quantity[Quantity],RM_PM_Quantity[Date],R$1,RM_PM_Quantity[Location],$D13,RM_PM_Quantity[Section],$C13,RM_PM_Quantity[RM Name],$E13)+IF($D13="MIND/Pre-Production",SUMIFS(RM_PM_Quantity[Quantity],RM_PM_Quantity[Date],R$1,RM_PM_Quantity[Location],"MIDC/Pre-Production",RM_PM_Quantity[Section],$C13,RM_PM_Quantity[RM Name],$E13),0)</f>
        <v>0</v>
      </c>
      <c r="S13" s="84">
        <f>SUMIFS(RM_PM_Quantity[Quantity],RM_PM_Quantity[Date],S$1,RM_PM_Quantity[Location],$D13,RM_PM_Quantity[Section],$C13,RM_PM_Quantity[RM Name],$E13)+IF($D13="MIND/Pre-Production",SUMIFS(RM_PM_Quantity[Quantity],RM_PM_Quantity[Date],S$1,RM_PM_Quantity[Location],"MIDC/Pre-Production",RM_PM_Quantity[Section],$C13,RM_PM_Quantity[RM Name],$E13),0)</f>
        <v>0</v>
      </c>
      <c r="T13" s="84">
        <f>SUMIFS(RM_PM_Quantity[Quantity],RM_PM_Quantity[Date],T$1,RM_PM_Quantity[Location],$D13,RM_PM_Quantity[Section],$C13,RM_PM_Quantity[RM Name],$E13)+IF($D13="MIND/Pre-Production",SUMIFS(RM_PM_Quantity[Quantity],RM_PM_Quantity[Date],T$1,RM_PM_Quantity[Location],"MIDC/Pre-Production",RM_PM_Quantity[Section],$C13,RM_PM_Quantity[RM Name],$E13),0)</f>
        <v>0</v>
      </c>
      <c r="U13" s="84">
        <f>SUMIFS(RM_PM_Quantity[Quantity],RM_PM_Quantity[Date],U$1,RM_PM_Quantity[Location],$D13,RM_PM_Quantity[Section],$C13,RM_PM_Quantity[RM Name],$E13)+IF($D13="MIND/Pre-Production",SUMIFS(RM_PM_Quantity[Quantity],RM_PM_Quantity[Date],U$1,RM_PM_Quantity[Location],"MIDC/Pre-Production",RM_PM_Quantity[Section],$C13,RM_PM_Quantity[RM Name],$E13),0)</f>
        <v>0</v>
      </c>
      <c r="V13" s="84">
        <f>SUMIFS(RM_PM_Quantity[Quantity],RM_PM_Quantity[Date],V$1,RM_PM_Quantity[Location],$D13,RM_PM_Quantity[Section],$C13,RM_PM_Quantity[RM Name],$E13)+IF($D13="MIND/Pre-Production",SUMIFS(RM_PM_Quantity[Quantity],RM_PM_Quantity[Date],V$1,RM_PM_Quantity[Location],"MIDC/Pre-Production",RM_PM_Quantity[Section],$C13,RM_PM_Quantity[RM Name],$E13),0)</f>
        <v>0</v>
      </c>
      <c r="W13" s="84">
        <f>SUMIFS(RM_PM_Quantity[Quantity],RM_PM_Quantity[Date],W$1,RM_PM_Quantity[Location],$D13,RM_PM_Quantity[Section],$C13,RM_PM_Quantity[RM Name],$E13)+IF($D13="MIND/Pre-Production",SUMIFS(RM_PM_Quantity[Quantity],RM_PM_Quantity[Date],W$1,RM_PM_Quantity[Location],"MIDC/Pre-Production",RM_PM_Quantity[Section],$C13,RM_PM_Quantity[RM Name],$E13),0)</f>
        <v>0</v>
      </c>
      <c r="X13" s="84">
        <f>SUMIFS(RM_PM_Quantity[Quantity],RM_PM_Quantity[Date],X$1,RM_PM_Quantity[Location],$D13,RM_PM_Quantity[Section],$C13,RM_PM_Quantity[RM Name],$E13)+IF($D13="MIND/Pre-Production",SUMIFS(RM_PM_Quantity[Quantity],RM_PM_Quantity[Date],X$1,RM_PM_Quantity[Location],"MIDC/Pre-Production",RM_PM_Quantity[Section],$C13,RM_PM_Quantity[RM Name],$E13),0)</f>
        <v>0</v>
      </c>
      <c r="Y13" s="84">
        <f>SUMIFS(RM_PM_Quantity[Quantity],RM_PM_Quantity[Date],Y$1,RM_PM_Quantity[Location],$D13,RM_PM_Quantity[Section],$C13,RM_PM_Quantity[RM Name],$E13)+IF($D13="MIND/Pre-Production",SUMIFS(RM_PM_Quantity[Quantity],RM_PM_Quantity[Date],Y$1,RM_PM_Quantity[Location],"MIDC/Pre-Production",RM_PM_Quantity[Section],$C13,RM_PM_Quantity[RM Name],$E13),0)</f>
        <v>0</v>
      </c>
      <c r="Z13" s="84">
        <f>SUMIFS(RM_PM_Quantity[Quantity],RM_PM_Quantity[Date],Z$1,RM_PM_Quantity[Location],$D13,RM_PM_Quantity[Section],$C13,RM_PM_Quantity[RM Name],$E13)+IF($D13="MIND/Pre-Production",SUMIFS(RM_PM_Quantity[Quantity],RM_PM_Quantity[Date],Z$1,RM_PM_Quantity[Location],"MIDC/Pre-Production",RM_PM_Quantity[Section],$C13,RM_PM_Quantity[RM Name],$E13),0)</f>
        <v>0</v>
      </c>
      <c r="AA13" s="84">
        <f>SUMIFS(RM_PM_Quantity[Quantity],RM_PM_Quantity[Date],AA$1,RM_PM_Quantity[Location],$D13,RM_PM_Quantity[Section],$C13,RM_PM_Quantity[RM Name],$E13)+IF($D13="MIND/Pre-Production",SUMIFS(RM_PM_Quantity[Quantity],RM_PM_Quantity[Date],AA$1,RM_PM_Quantity[Location],"MIDC/Pre-Production",RM_PM_Quantity[Section],$C13,RM_PM_Quantity[RM Name],$E13),0)</f>
        <v>1500</v>
      </c>
      <c r="AB13" s="84">
        <f>SUMIFS(RM_PM_Quantity[Quantity],RM_PM_Quantity[Date],AB$1,RM_PM_Quantity[Location],$D13,RM_PM_Quantity[Section],$C13,RM_PM_Quantity[RM Name],$E13)+IF($D13="MIND/Pre-Production",SUMIFS(RM_PM_Quantity[Quantity],RM_PM_Quantity[Date],AB$1,RM_PM_Quantity[Location],"MIDC/Pre-Production",RM_PM_Quantity[Section],$C13,RM_PM_Quantity[RM Name],$E13),0)</f>
        <v>0</v>
      </c>
      <c r="AC13" s="84">
        <f>SUMIFS(RM_PM_Quantity[Quantity],RM_PM_Quantity[Date],AC$1,RM_PM_Quantity[Location],$D13,RM_PM_Quantity[Section],$C13,RM_PM_Quantity[RM Name],$E13)+IF($D13="MIND/Pre-Production",SUMIFS(RM_PM_Quantity[Quantity],RM_PM_Quantity[Date],AC$1,RM_PM_Quantity[Location],"MIDC/Pre-Production",RM_PM_Quantity[Section],$C13,RM_PM_Quantity[RM Name],$E13),0)</f>
        <v>0</v>
      </c>
      <c r="AD13" s="84">
        <f>SUMIFS(RM_PM_Quantity[Quantity],RM_PM_Quantity[Date],AD$1,RM_PM_Quantity[Location],$D13,RM_PM_Quantity[Section],$C13,RM_PM_Quantity[RM Name],$E13)+IF($D13="MIND/Pre-Production",SUMIFS(RM_PM_Quantity[Quantity],RM_PM_Quantity[Date],AD$1,RM_PM_Quantity[Location],"MIDC/Pre-Production",RM_PM_Quantity[Section],$C13,RM_PM_Quantity[RM Name],$E13),0)</f>
        <v>0</v>
      </c>
      <c r="AE13" s="84">
        <f>SUMIFS(RM_PM_Quantity[Quantity],RM_PM_Quantity[Date],AE$1,RM_PM_Quantity[Location],$D13,RM_PM_Quantity[Section],$C13,RM_PM_Quantity[RM Name],$E13)+IF($D13="MIND/Pre-Production",SUMIFS(RM_PM_Quantity[Quantity],RM_PM_Quantity[Date],AE$1,RM_PM_Quantity[Location],"MIDC/Pre-Production",RM_PM_Quantity[Section],$C13,RM_PM_Quantity[RM Name],$E13),0)</f>
        <v>0</v>
      </c>
      <c r="AF13" s="84">
        <f>SUMIFS(RM_PM_Quantity[Quantity],RM_PM_Quantity[Date],AF$1,RM_PM_Quantity[Location],$D13,RM_PM_Quantity[Section],$C13,RM_PM_Quantity[RM Name],$E13)+IF($D13="MIND/Pre-Production",SUMIFS(RM_PM_Quantity[Quantity],RM_PM_Quantity[Date],AF$1,RM_PM_Quantity[Location],"MIDC/Pre-Production",RM_PM_Quantity[Section],$C13,RM_PM_Quantity[RM Name],$E13),0)</f>
        <v>0</v>
      </c>
      <c r="AG13" s="84">
        <f>SUMIFS(RM_PM_Quantity[Quantity],RM_PM_Quantity[Date],AG$1,RM_PM_Quantity[Location],$D13,RM_PM_Quantity[Section],$C13,RM_PM_Quantity[RM Name],$E13)+IF($D13="MIND/Pre-Production",SUMIFS(RM_PM_Quantity[Quantity],RM_PM_Quantity[Date],AG$1,RM_PM_Quantity[Location],"MIDC/Pre-Production",RM_PM_Quantity[Section],$C13,RM_PM_Quantity[RM Name],$E13),0)</f>
        <v>0</v>
      </c>
      <c r="AH13" s="84">
        <f>SUMIFS(RM_PM_Quantity[Quantity],RM_PM_Quantity[Date],AH$1,RM_PM_Quantity[Location],$D13,RM_PM_Quantity[Section],$C13,RM_PM_Quantity[RM Name],$E13)+IF($D13="MIND/Pre-Production",SUMIFS(RM_PM_Quantity[Quantity],RM_PM_Quantity[Date],AH$1,RM_PM_Quantity[Location],"MIDC/Pre-Production",RM_PM_Quantity[Section],$C13,RM_PM_Quantity[RM Name],$E13),0)</f>
        <v>0</v>
      </c>
      <c r="AI13" s="84">
        <f>SUMIFS(RM_PM_Quantity[Quantity],RM_PM_Quantity[Date],AI$1,RM_PM_Quantity[Location],$D13,RM_PM_Quantity[Section],$C13,RM_PM_Quantity[RM Name],$E13)+IF($D13="MIND/Pre-Production",SUMIFS(RM_PM_Quantity[Quantity],RM_PM_Quantity[Date],AI$1,RM_PM_Quantity[Location],"MIDC/Pre-Production",RM_PM_Quantity[Section],$C13,RM_PM_Quantity[RM Name],$E13),0)</f>
        <v>0</v>
      </c>
      <c r="AJ13" s="84">
        <f>SUMIFS(RM_PM_Quantity[Quantity],RM_PM_Quantity[Date],AJ$1,RM_PM_Quantity[Location],$D13,RM_PM_Quantity[Section],$C13,RM_PM_Quantity[RM Name],$E13)+IF($D13="MIND/Pre-Production",SUMIFS(RM_PM_Quantity[Quantity],RM_PM_Quantity[Date],AJ$1,RM_PM_Quantity[Location],"MIDC/Pre-Production",RM_PM_Quantity[Section],$C13,RM_PM_Quantity[RM Name],$E13),0)</f>
        <v>0</v>
      </c>
      <c r="AK13" s="84">
        <f>SUMIFS(RM_PM_Quantity[Quantity],RM_PM_Quantity[Date],AK$1,RM_PM_Quantity[Location],$D13,RM_PM_Quantity[Section],$C13,RM_PM_Quantity[RM Name],$E13)+IF($D13="MIND/Pre-Production",SUMIFS(RM_PM_Quantity[Quantity],RM_PM_Quantity[Date],AK$1,RM_PM_Quantity[Location],"MIDC/Pre-Production",RM_PM_Quantity[Section],$C13,RM_PM_Quantity[RM Name],$E13),0)</f>
        <v>0</v>
      </c>
      <c r="AL13" s="84">
        <f>SUMIFS(RM_PM_Quantity[Quantity],RM_PM_Quantity[Date],AL$1,RM_PM_Quantity[Location],$D13,RM_PM_Quantity[Section],$C13,RM_PM_Quantity[RM Name],$E13)+IF($D13="MIND/Pre-Production",SUMIFS(RM_PM_Quantity[Quantity],RM_PM_Quantity[Date],AL$1,RM_PM_Quantity[Location],"MIDC/Pre-Production",RM_PM_Quantity[Section],$C13,RM_PM_Quantity[RM Name],$E13),0)</f>
        <v>0</v>
      </c>
      <c r="AM13" s="84">
        <f>SUMIFS(RM_PM_Quantity[Quantity],RM_PM_Quantity[Date],AM$1,RM_PM_Quantity[Location],$D13,RM_PM_Quantity[Section],$C13,RM_PM_Quantity[RM Name],$E13)+IF($D13="MIND/Pre-Production",SUMIFS(RM_PM_Quantity[Quantity],RM_PM_Quantity[Date],AM$1,RM_PM_Quantity[Location],"MIDC/Pre-Production",RM_PM_Quantity[Section],$C13,RM_PM_Quantity[RM Name],$E13),0)</f>
        <v>0</v>
      </c>
      <c r="AN13" s="84">
        <f>SUMIFS(RM_PM_Quantity[Quantity],RM_PM_Quantity[Date],AN$1,RM_PM_Quantity[Location],$D13,RM_PM_Quantity[Section],$C13,RM_PM_Quantity[RM Name],$E13)+IF($D13="MIND/Pre-Production",SUMIFS(RM_PM_Quantity[Quantity],RM_PM_Quantity[Date],AN$1,RM_PM_Quantity[Location],"MIDC/Pre-Production",RM_PM_Quantity[Section],$C13,RM_PM_Quantity[RM Name],$E13),0)</f>
        <v>0</v>
      </c>
      <c r="AO13" s="84">
        <f>SUMIFS(RM_PM_Quantity[Quantity],RM_PM_Quantity[Date],AO$1,RM_PM_Quantity[Location],$D13,RM_PM_Quantity[Section],$C13,RM_PM_Quantity[RM Name],$E13)+IF($D13="MIND/Pre-Production",SUMIFS(RM_PM_Quantity[Quantity],RM_PM_Quantity[Date],AO$1,RM_PM_Quantity[Location],"MIDC/Pre-Production",RM_PM_Quantity[Section],$C13,RM_PM_Quantity[RM Name],$E13),0)</f>
        <v>0</v>
      </c>
      <c r="AP13" s="84">
        <f>SUMIFS(RM_PM_Quantity[Quantity],RM_PM_Quantity[Date],AP$1,RM_PM_Quantity[Location],$D13,RM_PM_Quantity[Section],$C13,RM_PM_Quantity[RM Name],$E13)+IF($D13="MIND/Pre-Production",SUMIFS(RM_PM_Quantity[Quantity],RM_PM_Quantity[Date],AP$1,RM_PM_Quantity[Location],"MIDC/Pre-Production",RM_PM_Quantity[Section],$C13,RM_PM_Quantity[RM Name],$E13),0)</f>
        <v>0</v>
      </c>
      <c r="AQ13" s="84">
        <f>SUMIFS(RM_PM_Quantity[Quantity],RM_PM_Quantity[Date],AQ$1,RM_PM_Quantity[Location],$D13,RM_PM_Quantity[Section],$C13,RM_PM_Quantity[RM Name],$E13)+IF($D13="MIND/Pre-Production",SUMIFS(RM_PM_Quantity[Quantity],RM_PM_Quantity[Date],AQ$1,RM_PM_Quantity[Location],"MIDC/Pre-Production",RM_PM_Quantity[Section],$C13,RM_PM_Quantity[RM Name],$E13),0)</f>
        <v>0</v>
      </c>
      <c r="AR13" s="84">
        <f>SUMIFS(RM_PM_Quantity[Quantity],RM_PM_Quantity[Date],AR$1,RM_PM_Quantity[Location],$D13,RM_PM_Quantity[Section],$C13,RM_PM_Quantity[RM Name],$E13)+IF($D13="MIND/Pre-Production",SUMIFS(RM_PM_Quantity[Quantity],RM_PM_Quantity[Date],AR$1,RM_PM_Quantity[Location],"MIDC/Pre-Production",RM_PM_Quantity[Section],$C13,RM_PM_Quantity[RM Name],$E13),0)</f>
        <v>0</v>
      </c>
      <c r="AS13" s="84">
        <f>SUMIFS(RM_PM_Quantity[Quantity],RM_PM_Quantity[Date],AS$1,RM_PM_Quantity[Location],$D13,RM_PM_Quantity[Section],$C13,RM_PM_Quantity[RM Name],$E13)+IF($D13="MIND/Pre-Production",SUMIFS(RM_PM_Quantity[Quantity],RM_PM_Quantity[Date],AS$1,RM_PM_Quantity[Location],"MIDC/Pre-Production",RM_PM_Quantity[Section],$C13,RM_PM_Quantity[RM Name],$E13),0)</f>
        <v>0</v>
      </c>
      <c r="AT13" s="84">
        <f>SUMIFS(RM_PM_Quantity[Quantity],RM_PM_Quantity[Date],AT$1,RM_PM_Quantity[Location],$D13,RM_PM_Quantity[Section],$C13,RM_PM_Quantity[RM Name],$E13)+IF($D13="MIND/Pre-Production",SUMIFS(RM_PM_Quantity[Quantity],RM_PM_Quantity[Date],AT$1,RM_PM_Quantity[Location],"MIDC/Pre-Production",RM_PM_Quantity[Section],$C13,RM_PM_Quantity[RM Name],$E13),0)</f>
        <v>0</v>
      </c>
      <c r="AU13" s="84">
        <f>SUMIFS(RM_PM_Quantity[Quantity],RM_PM_Quantity[Date],AU$1,RM_PM_Quantity[Location],$D13,RM_PM_Quantity[Section],$C13,RM_PM_Quantity[RM Name],$E13)+IF($D13="MIND/Pre-Production",SUMIFS(RM_PM_Quantity[Quantity],RM_PM_Quantity[Date],AU$1,RM_PM_Quantity[Location],"MIDC/Pre-Production",RM_PM_Quantity[Section],$C13,RM_PM_Quantity[RM Name],$E13),0)</f>
        <v>0</v>
      </c>
      <c r="AV13" s="84">
        <f>SUMIFS(RM_PM_Quantity[Quantity],RM_PM_Quantity[Date],AV$1,RM_PM_Quantity[Location],$D13,RM_PM_Quantity[Section],$C13,RM_PM_Quantity[RM Name],$E13)+IF($D13="MIND/Pre-Production",SUMIFS(RM_PM_Quantity[Quantity],RM_PM_Quantity[Date],AV$1,RM_PM_Quantity[Location],"MIDC/Pre-Production",RM_PM_Quantity[Section],$C13,RM_PM_Quantity[RM Name],$E13),0)</f>
        <v>0</v>
      </c>
      <c r="AW13" s="84">
        <f>SUMIFS(RM_PM_Quantity[Quantity],RM_PM_Quantity[Date],AW$1,RM_PM_Quantity[Location],$D13,RM_PM_Quantity[Section],$C13,RM_PM_Quantity[RM Name],$E13)+IF($D13="MIND/Pre-Production",SUMIFS(RM_PM_Quantity[Quantity],RM_PM_Quantity[Date],AW$1,RM_PM_Quantity[Location],"MIDC/Pre-Production",RM_PM_Quantity[Section],$C13,RM_PM_Quantity[RM Name],$E13),0)</f>
        <v>0</v>
      </c>
      <c r="AX13" s="84">
        <f>SUMIFS(RM_PM_Quantity[Quantity],RM_PM_Quantity[Date],AX$1,RM_PM_Quantity[Location],$D13,RM_PM_Quantity[Section],$C13,RM_PM_Quantity[RM Name],$E13)+IF($D13="MIND/Pre-Production",SUMIFS(RM_PM_Quantity[Quantity],RM_PM_Quantity[Date],AX$1,RM_PM_Quantity[Location],"MIDC/Pre-Production",RM_PM_Quantity[Section],$C13,RM_PM_Quantity[RM Name],$E13),0)</f>
        <v>0</v>
      </c>
      <c r="AY13" s="84">
        <f>SUMIFS(RM_PM_Quantity[Quantity],RM_PM_Quantity[Date],AY$1,RM_PM_Quantity[Location],$D13,RM_PM_Quantity[Section],$C13,RM_PM_Quantity[RM Name],$E13)+IF($D13="MIND/Pre-Production",SUMIFS(RM_PM_Quantity[Quantity],RM_PM_Quantity[Date],AY$1,RM_PM_Quantity[Location],"MIDC/Pre-Production",RM_PM_Quantity[Section],$C13,RM_PM_Quantity[RM Name],$E13),0)</f>
        <v>0</v>
      </c>
      <c r="AZ13" s="84">
        <f>SUMIFS(RM_PM_Quantity[Quantity],RM_PM_Quantity[Date],AZ$1,RM_PM_Quantity[Location],$D13,RM_PM_Quantity[Section],$C13,RM_PM_Quantity[RM Name],$E13)+IF($D13="MIND/Pre-Production",SUMIFS(RM_PM_Quantity[Quantity],RM_PM_Quantity[Date],AZ$1,RM_PM_Quantity[Location],"MIDC/Pre-Production",RM_PM_Quantity[Section],$C13,RM_PM_Quantity[RM Name],$E13),0)</f>
        <v>0</v>
      </c>
      <c r="BA13" s="84">
        <f>SUMIFS(RM_PM_Quantity[Quantity],RM_PM_Quantity[Date],BA$1,RM_PM_Quantity[Location],$D13,RM_PM_Quantity[Section],$C13,RM_PM_Quantity[RM Name],$E13)+IF($D13="MIND/Pre-Production",SUMIFS(RM_PM_Quantity[Quantity],RM_PM_Quantity[Date],BA$1,RM_PM_Quantity[Location],"MIDC/Pre-Production",RM_PM_Quantity[Section],$C13,RM_PM_Quantity[RM Name],$E13),0)</f>
        <v>0</v>
      </c>
      <c r="BB13" s="84">
        <f>SUMIFS(RM_PM_Quantity[Quantity],RM_PM_Quantity[Date],BB$1,RM_PM_Quantity[Location],$D13,RM_PM_Quantity[Section],$C13,RM_PM_Quantity[RM Name],$E13)+IF($D13="MIND/Pre-Production",SUMIFS(RM_PM_Quantity[Quantity],RM_PM_Quantity[Date],BB$1,RM_PM_Quantity[Location],"MIDC/Pre-Production",RM_PM_Quantity[Section],$C13,RM_PM_Quantity[RM Name],$E13),0)</f>
        <v>0</v>
      </c>
      <c r="BC13" s="84">
        <f>SUMIFS(RM_PM_Quantity[Quantity],RM_PM_Quantity[Date],BC$1,RM_PM_Quantity[Location],$D13,RM_PM_Quantity[Section],$C13,RM_PM_Quantity[RM Name],$E13)+IF($D13="MIND/Pre-Production",SUMIFS(RM_PM_Quantity[Quantity],RM_PM_Quantity[Date],BC$1,RM_PM_Quantity[Location],"MIDC/Pre-Production",RM_PM_Quantity[Section],$C13,RM_PM_Quantity[RM Name],$E13),0)</f>
        <v>0</v>
      </c>
      <c r="BD13" s="84">
        <f>SUMIFS(RM_PM_Quantity[Quantity],RM_PM_Quantity[Date],BD$1,RM_PM_Quantity[Location],$D13,RM_PM_Quantity[Section],$C13,RM_PM_Quantity[RM Name],$E13)+IF($D13="MIND/Pre-Production",SUMIFS(RM_PM_Quantity[Quantity],RM_PM_Quantity[Date],BD$1,RM_PM_Quantity[Location],"MIDC/Pre-Production",RM_PM_Quantity[Section],$C13,RM_PM_Quantity[RM Name],$E13),0)</f>
        <v>0</v>
      </c>
      <c r="BE13" s="84">
        <f>SUMIFS(RM_PM_Quantity[Quantity],RM_PM_Quantity[Date],BE$1,RM_PM_Quantity[Location],$D13,RM_PM_Quantity[Section],$C13,RM_PM_Quantity[RM Name],$E13)+IF($D13="MIND/Pre-Production",SUMIFS(RM_PM_Quantity[Quantity],RM_PM_Quantity[Date],BE$1,RM_PM_Quantity[Location],"MIDC/Pre-Production",RM_PM_Quantity[Section],$C13,RM_PM_Quantity[RM Name],$E13),0)</f>
        <v>0</v>
      </c>
      <c r="BF13" s="84">
        <f>SUMIFS(RM_PM_Quantity[Quantity],RM_PM_Quantity[Date],BF$1,RM_PM_Quantity[Location],$D13,RM_PM_Quantity[Section],$C13,RM_PM_Quantity[RM Name],$E13)+IF($D13="MIND/Pre-Production",SUMIFS(RM_PM_Quantity[Quantity],RM_PM_Quantity[Date],BF$1,RM_PM_Quantity[Location],"MIDC/Pre-Production",RM_PM_Quantity[Section],$C13,RM_PM_Quantity[RM Name],$E13),0)</f>
        <v>0</v>
      </c>
      <c r="BG13" s="84">
        <f>SUMIFS(RM_PM_Quantity[Quantity],RM_PM_Quantity[Date],BG$1,RM_PM_Quantity[Location],$D13,RM_PM_Quantity[Section],$C13,RM_PM_Quantity[RM Name],$E13)+IF($D13="MIND/Pre-Production",SUMIFS(RM_PM_Quantity[Quantity],RM_PM_Quantity[Date],BG$1,RM_PM_Quantity[Location],"MIDC/Pre-Production",RM_PM_Quantity[Section],$C13,RM_PM_Quantity[RM Name],$E13),0)</f>
        <v>0</v>
      </c>
      <c r="BH13" s="84">
        <f>SUMIFS(RM_PM_Quantity[Quantity],RM_PM_Quantity[Date],BH$1,RM_PM_Quantity[Location],$D13,RM_PM_Quantity[Section],$C13,RM_PM_Quantity[RM Name],$E13)+IF($D13="MIND/Pre-Production",SUMIFS(RM_PM_Quantity[Quantity],RM_PM_Quantity[Date],BH$1,RM_PM_Quantity[Location],"MIDC/Pre-Production",RM_PM_Quantity[Section],$C13,RM_PM_Quantity[RM Name],$E13),0)</f>
        <v>0</v>
      </c>
      <c r="BI13" s="84">
        <f>SUMIFS(RM_PM_Quantity[Quantity],RM_PM_Quantity[Date],BI$1,RM_PM_Quantity[Location],$D13,RM_PM_Quantity[Section],$C13,RM_PM_Quantity[RM Name],$E13)+IF($D13="MIND/Pre-Production",SUMIFS(RM_PM_Quantity[Quantity],RM_PM_Quantity[Date],BI$1,RM_PM_Quantity[Location],"MIDC/Pre-Production",RM_PM_Quantity[Section],$C13,RM_PM_Quantity[RM Name],$E13),0)</f>
        <v>0</v>
      </c>
      <c r="BJ13" s="84">
        <f>SUMIFS(RM_PM_Quantity[Quantity],RM_PM_Quantity[Date],BJ$1,RM_PM_Quantity[Location],$D13,RM_PM_Quantity[Section],$C13,RM_PM_Quantity[RM Name],$E13)+IF($D13="MIND/Pre-Production",SUMIFS(RM_PM_Quantity[Quantity],RM_PM_Quantity[Date],BJ$1,RM_PM_Quantity[Location],"MIDC/Pre-Production",RM_PM_Quantity[Section],$C13,RM_PM_Quantity[RM Name],$E13),0)</f>
        <v>0</v>
      </c>
      <c r="BK13" s="84">
        <f>SUMIFS(RM_PM_Quantity[Quantity],RM_PM_Quantity[Date],BK$1,RM_PM_Quantity[Location],$D13,RM_PM_Quantity[Section],$C13,RM_PM_Quantity[RM Name],$E13)+IF($D13="MIND/Pre-Production",SUMIFS(RM_PM_Quantity[Quantity],RM_PM_Quantity[Date],BK$1,RM_PM_Quantity[Location],"MIDC/Pre-Production",RM_PM_Quantity[Section],$C13,RM_PM_Quantity[RM Name],$E13),0)</f>
        <v>0</v>
      </c>
      <c r="BL13" s="84">
        <f>SUMIFS(RM_PM_Quantity[Quantity],RM_PM_Quantity[Date],BL$1,RM_PM_Quantity[Location],$D13,RM_PM_Quantity[Section],$C13,RM_PM_Quantity[RM Name],$E13)+IF($D13="MIND/Pre-Production",SUMIFS(RM_PM_Quantity[Quantity],RM_PM_Quantity[Date],BL$1,RM_PM_Quantity[Location],"MIDC/Pre-Production",RM_PM_Quantity[Section],$C13,RM_PM_Quantity[RM Name],$E13),0)</f>
        <v>0</v>
      </c>
      <c r="BM13" s="84">
        <f>SUMIFS(RM_PM_Quantity[Quantity],RM_PM_Quantity[Date],BM$1,RM_PM_Quantity[Location],$D13,RM_PM_Quantity[Section],$C13,RM_PM_Quantity[RM Name],$E13)+IF($D13="MIND/Pre-Production",SUMIFS(RM_PM_Quantity[Quantity],RM_PM_Quantity[Date],BM$1,RM_PM_Quantity[Location],"MIDC/Pre-Production",RM_PM_Quantity[Section],$C13,RM_PM_Quantity[RM Name],$E13),0)</f>
        <v>0</v>
      </c>
      <c r="BN13" s="84">
        <f>SUMIFS(RM_PM_Quantity[Quantity],RM_PM_Quantity[Date],BN$1,RM_PM_Quantity[Location],$D13,RM_PM_Quantity[Section],$C13,RM_PM_Quantity[RM Name],$E13)+IF($D13="MIND/Pre-Production",SUMIFS(RM_PM_Quantity[Quantity],RM_PM_Quantity[Date],BN$1,RM_PM_Quantity[Location],"MIDC/Pre-Production",RM_PM_Quantity[Section],$C13,RM_PM_Quantity[RM Name],$E13),0)</f>
        <v>0</v>
      </c>
      <c r="BO13" s="84">
        <f>SUMIFS(RM_PM_Quantity[Quantity],RM_PM_Quantity[Date],BO$1,RM_PM_Quantity[Location],$D13,RM_PM_Quantity[Section],$C13,RM_PM_Quantity[RM Name],$E13)+IF($D13="MIND/Pre-Production",SUMIFS(RM_PM_Quantity[Quantity],RM_PM_Quantity[Date],BO$1,RM_PM_Quantity[Location],"MIDC/Pre-Production",RM_PM_Quantity[Section],$C13,RM_PM_Quantity[RM Name],$E13),0)</f>
        <v>0</v>
      </c>
      <c r="BP13" s="84">
        <f>SUMIFS(RM_PM_Quantity[Quantity],RM_PM_Quantity[Date],BP$1,RM_PM_Quantity[Location],$D13,RM_PM_Quantity[Section],$C13,RM_PM_Quantity[RM Name],$E13)+IF($D13="MIND/Pre-Production",SUMIFS(RM_PM_Quantity[Quantity],RM_PM_Quantity[Date],BP$1,RM_PM_Quantity[Location],"MIDC/Pre-Production",RM_PM_Quantity[Section],$C13,RM_PM_Quantity[RM Name],$E13),0)</f>
        <v>0</v>
      </c>
      <c r="BQ13" s="84">
        <f>SUMIFS(RM_PM_Quantity[Quantity],RM_PM_Quantity[Date],BQ$1,RM_PM_Quantity[Location],$D13,RM_PM_Quantity[Section],$C13,RM_PM_Quantity[RM Name],$E13)+IF($D13="MIND/Pre-Production",SUMIFS(RM_PM_Quantity[Quantity],RM_PM_Quantity[Date],BQ$1,RM_PM_Quantity[Location],"MIDC/Pre-Production",RM_PM_Quantity[Section],$C13,RM_PM_Quantity[RM Name],$E13),0)</f>
        <v>0</v>
      </c>
      <c r="BR13" s="84">
        <f>SUMIFS(RM_PM_Quantity[Quantity],RM_PM_Quantity[Date],BR$1,RM_PM_Quantity[Location],$D13,RM_PM_Quantity[Section],$C13,RM_PM_Quantity[RM Name],$E13)+IF($D13="MIND/Pre-Production",SUMIFS(RM_PM_Quantity[Quantity],RM_PM_Quantity[Date],BR$1,RM_PM_Quantity[Location],"MIDC/Pre-Production",RM_PM_Quantity[Section],$C13,RM_PM_Quantity[RM Name],$E13),0)</f>
        <v>0</v>
      </c>
      <c r="BS13" s="84">
        <f>SUMIFS(RM_PM_Quantity[Quantity],RM_PM_Quantity[Date],BS$1,RM_PM_Quantity[Location],$D13,RM_PM_Quantity[Section],$C13,RM_PM_Quantity[RM Name],$E13)+IF($D13="MIND/Pre-Production",SUMIFS(RM_PM_Quantity[Quantity],RM_PM_Quantity[Date],BS$1,RM_PM_Quantity[Location],"MIDC/Pre-Production",RM_PM_Quantity[Section],$C13,RM_PM_Quantity[RM Name],$E13),0)</f>
        <v>0</v>
      </c>
      <c r="BT13" s="84">
        <f>SUMIFS(RM_PM_Quantity[ID],RM_PM_Quantity[Location],BT$1,RM_PM_Quantity[Section],$D13,RM_PM_Quantity[RM Name],$C13,RM_PM_Quantity[Quantity],$E13)+IF($D13="MIND/Pre-Production",SUMIFS(RM_PM_Quantity[ID],RM_PM_Quantity[Location],BT$1,RM_PM_Quantity[Section],"MIDC/Pre-Production",RM_PM_Quantity[RM Name],$C13,RM_PM_Quantity[Quantity],$E13),0)</f>
        <v>0</v>
      </c>
      <c r="BU13" s="84">
        <f>SUMIFS(RM_PM_Quantity[Name of Supervisor],RM_PM_Quantity[Section],BU$1,RM_PM_Quantity[RM Name],$D13,RM_PM_Quantity[Quantity],$C13,RM_PM_Quantity[ID],$E13)+IF($D13="MIND/Pre-Production",SUMIFS(RM_PM_Quantity[Name of Supervisor],RM_PM_Quantity[Section],BU$1,RM_PM_Quantity[RM Name],"MIDC/Pre-Production",RM_PM_Quantity[Quantity],$C13,RM_PM_Quantity[ID],$E13),0)</f>
        <v>0</v>
      </c>
      <c r="BV13" s="84">
        <f>SUMIFS(RM_PM_Quantity[Date],RM_PM_Quantity[RM Name],BV$1,RM_PM_Quantity[Quantity],$D13,RM_PM_Quantity[ID],$C13,RM_PM_Quantity[Name of Supervisor],$E13)+IF($D13="MIND/Pre-Production",SUMIFS(RM_PM_Quantity[Date],RM_PM_Quantity[RM Name],BV$1,RM_PM_Quantity[Quantity],"MIDC/Pre-Production",RM_PM_Quantity[ID],$C13,RM_PM_Quantity[Name of Supervisor],$E13),0)</f>
        <v>0</v>
      </c>
      <c r="BW13" s="84">
        <f>SUMIFS(RM_PM_Quantity[Location],RM_PM_Quantity[Quantity],BW$1,RM_PM_Quantity[ID],$D13,RM_PM_Quantity[Name of Supervisor],$C13,RM_PM_Quantity[Date],$E13)+IF($D13="MIND/Pre-Production",SUMIFS(RM_PM_Quantity[Location],RM_PM_Quantity[Quantity],BW$1,RM_PM_Quantity[ID],"MIDC/Pre-Production",RM_PM_Quantity[Name of Supervisor],$C13,RM_PM_Quantity[Date],$E13),0)</f>
        <v>0</v>
      </c>
      <c r="BX13" s="84">
        <f>SUMIFS(RM_PM_Quantity[Section],RM_PM_Quantity[ID],BX$1,RM_PM_Quantity[Name of Supervisor],$D13,RM_PM_Quantity[Date],$C13,RM_PM_Quantity[Location],$E13)+IF($D13="MIND/Pre-Production",SUMIFS(RM_PM_Quantity[Section],RM_PM_Quantity[ID],BX$1,RM_PM_Quantity[Name of Supervisor],"MIDC/Pre-Production",RM_PM_Quantity[Date],$C13,RM_PM_Quantity[Location],$E13),0)</f>
        <v>0</v>
      </c>
      <c r="BY13" s="84">
        <f>SUMIFS(RM_PM_Quantity[RM Name],RM_PM_Quantity[Name of Supervisor],BY$1,RM_PM_Quantity[Date],$D13,RM_PM_Quantity[Location],$C13,RM_PM_Quantity[Section],$E13)+IF($D13="MIND/Pre-Production",SUMIFS(RM_PM_Quantity[RM Name],RM_PM_Quantity[Name of Supervisor],BY$1,RM_PM_Quantity[Date],"MIDC/Pre-Production",RM_PM_Quantity[Location],$C13,RM_PM_Quantity[Section],$E13),0)</f>
        <v>0</v>
      </c>
    </row>
    <row r="14" spans="1:77" ht="45.75" customHeight="1">
      <c r="A14" s="79">
        <v>13</v>
      </c>
      <c r="B14" s="79" t="s">
        <v>80</v>
      </c>
      <c r="C14" s="80" t="s">
        <v>67</v>
      </c>
      <c r="D14" s="81" t="s">
        <v>68</v>
      </c>
      <c r="E14" s="82" t="s">
        <v>81</v>
      </c>
      <c r="F14" s="83">
        <f>IFERROR(_xlfn.XLOOKUP(B14,'[1]RM Tracker'!B:B,'[1]RM Tracker'!E:E),"0")</f>
        <v>0</v>
      </c>
      <c r="G14" s="85">
        <f t="shared" si="2"/>
        <v>0</v>
      </c>
      <c r="H14" s="85">
        <f t="shared" si="0"/>
        <v>0</v>
      </c>
      <c r="I14" s="91">
        <f t="shared" si="1"/>
        <v>0</v>
      </c>
      <c r="J14" s="84">
        <f>SUMIFS(RM_PM_Quantity[Quantity],RM_PM_Quantity[Date],J$1,RM_PM_Quantity[Location],$D14,RM_PM_Quantity[Section],$C14,RM_PM_Quantity[RM Name],$E14)+IF($D14="MIND/Pre-Production",SUMIFS(RM_PM_Quantity[Quantity],RM_PM_Quantity[Date],J$1,RM_PM_Quantity[Location],"MIDC/Pre-Production",RM_PM_Quantity[Section],$C14,RM_PM_Quantity[RM Name],$E14),0)</f>
        <v>0</v>
      </c>
      <c r="K14" s="84">
        <f>SUMIFS(RM_PM_Quantity[Quantity],RM_PM_Quantity[Date],K$1,RM_PM_Quantity[Location],$D14,RM_PM_Quantity[Section],$C14,RM_PM_Quantity[RM Name],$E14)+IF($D14="MIND/Pre-Production",SUMIFS(RM_PM_Quantity[Quantity],RM_PM_Quantity[Date],K$1,RM_PM_Quantity[Location],"MIDC/Pre-Production",RM_PM_Quantity[Section],$C14,RM_PM_Quantity[RM Name],$E14),0)</f>
        <v>0</v>
      </c>
      <c r="L14" s="84">
        <f>SUMIFS(RM_PM_Quantity[Quantity],RM_PM_Quantity[Date],L$1,RM_PM_Quantity[Location],$D14,RM_PM_Quantity[Section],$C14,RM_PM_Quantity[RM Name],$E14)+IF($D14="MIND/Pre-Production",SUMIFS(RM_PM_Quantity[Quantity],RM_PM_Quantity[Date],L$1,RM_PM_Quantity[Location],"MIDC/Pre-Production",RM_PM_Quantity[Section],$C14,RM_PM_Quantity[RM Name],$E14),0)</f>
        <v>0</v>
      </c>
      <c r="M14" s="84">
        <f>SUMIFS(RM_PM_Quantity[Quantity],RM_PM_Quantity[Date],M$1,RM_PM_Quantity[Location],$D14,RM_PM_Quantity[Section],$C14,RM_PM_Quantity[RM Name],$E14)+IF($D14="MIND/Pre-Production",SUMIFS(RM_PM_Quantity[Quantity],RM_PM_Quantity[Date],M$1,RM_PM_Quantity[Location],"MIDC/Pre-Production",RM_PM_Quantity[Section],$C14,RM_PM_Quantity[RM Name],$E14),0)</f>
        <v>0</v>
      </c>
      <c r="N14" s="84">
        <f>SUMIFS(RM_PM_Quantity[Quantity],RM_PM_Quantity[Date],N$1,RM_PM_Quantity[Location],$D14,RM_PM_Quantity[Section],$C14,RM_PM_Quantity[RM Name],$E14)+IF($D14="MIND/Pre-Production",SUMIFS(RM_PM_Quantity[Quantity],RM_PM_Quantity[Date],N$1,RM_PM_Quantity[Location],"MIDC/Pre-Production",RM_PM_Quantity[Section],$C14,RM_PM_Quantity[RM Name],$E14),0)</f>
        <v>0</v>
      </c>
      <c r="O14" s="84">
        <f>SUMIFS(RM_PM_Quantity[Quantity],RM_PM_Quantity[Date],O$1,RM_PM_Quantity[Location],$D14,RM_PM_Quantity[Section],$C14,RM_PM_Quantity[RM Name],$E14)+IF($D14="MIND/Pre-Production",SUMIFS(RM_PM_Quantity[Quantity],RM_PM_Quantity[Date],O$1,RM_PM_Quantity[Location],"MIDC/Pre-Production",RM_PM_Quantity[Section],$C14,RM_PM_Quantity[RM Name],$E14),0)</f>
        <v>0</v>
      </c>
      <c r="P14" s="84">
        <f>SUMIFS(RM_PM_Quantity[Quantity],RM_PM_Quantity[Date],P$1,RM_PM_Quantity[Location],$D14,RM_PM_Quantity[Section],$C14,RM_PM_Quantity[RM Name],$E14)+IF($D14="MIND/Pre-Production",SUMIFS(RM_PM_Quantity[Quantity],RM_PM_Quantity[Date],P$1,RM_PM_Quantity[Location],"MIDC/Pre-Production",RM_PM_Quantity[Section],$C14,RM_PM_Quantity[RM Name],$E14),0)</f>
        <v>0</v>
      </c>
      <c r="Q14" s="84">
        <f>SUMIFS(RM_PM_Quantity[Quantity],RM_PM_Quantity[Date],Q$1,RM_PM_Quantity[Location],$D14,RM_PM_Quantity[Section],$C14,RM_PM_Quantity[RM Name],$E14)+IF($D14="MIND/Pre-Production",SUMIFS(RM_PM_Quantity[Quantity],RM_PM_Quantity[Date],Q$1,RM_PM_Quantity[Location],"MIDC/Pre-Production",RM_PM_Quantity[Section],$C14,RM_PM_Quantity[RM Name],$E14),0)</f>
        <v>0</v>
      </c>
      <c r="R14" s="84">
        <f>SUMIFS(RM_PM_Quantity[Quantity],RM_PM_Quantity[Date],R$1,RM_PM_Quantity[Location],$D14,RM_PM_Quantity[Section],$C14,RM_PM_Quantity[RM Name],$E14)+IF($D14="MIND/Pre-Production",SUMIFS(RM_PM_Quantity[Quantity],RM_PM_Quantity[Date],R$1,RM_PM_Quantity[Location],"MIDC/Pre-Production",RM_PM_Quantity[Section],$C14,RM_PM_Quantity[RM Name],$E14),0)</f>
        <v>0</v>
      </c>
      <c r="S14" s="84">
        <f>SUMIFS(RM_PM_Quantity[Quantity],RM_PM_Quantity[Date],S$1,RM_PM_Quantity[Location],$D14,RM_PM_Quantity[Section],$C14,RM_PM_Quantity[RM Name],$E14)+IF($D14="MIND/Pre-Production",SUMIFS(RM_PM_Quantity[Quantity],RM_PM_Quantity[Date],S$1,RM_PM_Quantity[Location],"MIDC/Pre-Production",RM_PM_Quantity[Section],$C14,RM_PM_Quantity[RM Name],$E14),0)</f>
        <v>0</v>
      </c>
      <c r="T14" s="84">
        <f>SUMIFS(RM_PM_Quantity[Quantity],RM_PM_Quantity[Date],T$1,RM_PM_Quantity[Location],$D14,RM_PM_Quantity[Section],$C14,RM_PM_Quantity[RM Name],$E14)+IF($D14="MIND/Pre-Production",SUMIFS(RM_PM_Quantity[Quantity],RM_PM_Quantity[Date],T$1,RM_PM_Quantity[Location],"MIDC/Pre-Production",RM_PM_Quantity[Section],$C14,RM_PM_Quantity[RM Name],$E14),0)</f>
        <v>0</v>
      </c>
      <c r="U14" s="84">
        <f>SUMIFS(RM_PM_Quantity[Quantity],RM_PM_Quantity[Date],U$1,RM_PM_Quantity[Location],$D14,RM_PM_Quantity[Section],$C14,RM_PM_Quantity[RM Name],$E14)+IF($D14="MIND/Pre-Production",SUMIFS(RM_PM_Quantity[Quantity],RM_PM_Quantity[Date],U$1,RM_PM_Quantity[Location],"MIDC/Pre-Production",RM_PM_Quantity[Section],$C14,RM_PM_Quantity[RM Name],$E14),0)</f>
        <v>0</v>
      </c>
      <c r="V14" s="84">
        <f>SUMIFS(RM_PM_Quantity[Quantity],RM_PM_Quantity[Date],V$1,RM_PM_Quantity[Location],$D14,RM_PM_Quantity[Section],$C14,RM_PM_Quantity[RM Name],$E14)+IF($D14="MIND/Pre-Production",SUMIFS(RM_PM_Quantity[Quantity],RM_PM_Quantity[Date],V$1,RM_PM_Quantity[Location],"MIDC/Pre-Production",RM_PM_Quantity[Section],$C14,RM_PM_Quantity[RM Name],$E14),0)</f>
        <v>0</v>
      </c>
      <c r="W14" s="84">
        <f>SUMIFS(RM_PM_Quantity[Quantity],RM_PM_Quantity[Date],W$1,RM_PM_Quantity[Location],$D14,RM_PM_Quantity[Section],$C14,RM_PM_Quantity[RM Name],$E14)+IF($D14="MIND/Pre-Production",SUMIFS(RM_PM_Quantity[Quantity],RM_PM_Quantity[Date],W$1,RM_PM_Quantity[Location],"MIDC/Pre-Production",RM_PM_Quantity[Section],$C14,RM_PM_Quantity[RM Name],$E14),0)</f>
        <v>0</v>
      </c>
      <c r="X14" s="84">
        <f>SUMIFS(RM_PM_Quantity[Quantity],RM_PM_Quantity[Date],X$1,RM_PM_Quantity[Location],$D14,RM_PM_Quantity[Section],$C14,RM_PM_Quantity[RM Name],$E14)+IF($D14="MIND/Pre-Production",SUMIFS(RM_PM_Quantity[Quantity],RM_PM_Quantity[Date],X$1,RM_PM_Quantity[Location],"MIDC/Pre-Production",RM_PM_Quantity[Section],$C14,RM_PM_Quantity[RM Name],$E14),0)</f>
        <v>0</v>
      </c>
      <c r="Y14" s="84">
        <f>SUMIFS(RM_PM_Quantity[Quantity],RM_PM_Quantity[Date],Y$1,RM_PM_Quantity[Location],$D14,RM_PM_Quantity[Section],$C14,RM_PM_Quantity[RM Name],$E14)+IF($D14="MIND/Pre-Production",SUMIFS(RM_PM_Quantity[Quantity],RM_PM_Quantity[Date],Y$1,RM_PM_Quantity[Location],"MIDC/Pre-Production",RM_PM_Quantity[Section],$C14,RM_PM_Quantity[RM Name],$E14),0)</f>
        <v>3000</v>
      </c>
      <c r="Z14" s="84">
        <f>SUMIFS(RM_PM_Quantity[Quantity],RM_PM_Quantity[Date],Z$1,RM_PM_Quantity[Location],$D14,RM_PM_Quantity[Section],$C14,RM_PM_Quantity[RM Name],$E14)+IF($D14="MIND/Pre-Production",SUMIFS(RM_PM_Quantity[Quantity],RM_PM_Quantity[Date],Z$1,RM_PM_Quantity[Location],"MIDC/Pre-Production",RM_PM_Quantity[Section],$C14,RM_PM_Quantity[RM Name],$E14),0)</f>
        <v>0</v>
      </c>
      <c r="AA14" s="84">
        <f>SUMIFS(RM_PM_Quantity[Quantity],RM_PM_Quantity[Date],AA$1,RM_PM_Quantity[Location],$D14,RM_PM_Quantity[Section],$C14,RM_PM_Quantity[RM Name],$E14)+IF($D14="MIND/Pre-Production",SUMIFS(RM_PM_Quantity[Quantity],RM_PM_Quantity[Date],AA$1,RM_PM_Quantity[Location],"MIDC/Pre-Production",RM_PM_Quantity[Section],$C14,RM_PM_Quantity[RM Name],$E14),0)</f>
        <v>0</v>
      </c>
      <c r="AB14" s="84">
        <f>SUMIFS(RM_PM_Quantity[Quantity],RM_PM_Quantity[Date],AB$1,RM_PM_Quantity[Location],$D14,RM_PM_Quantity[Section],$C14,RM_PM_Quantity[RM Name],$E14)+IF($D14="MIND/Pre-Production",SUMIFS(RM_PM_Quantity[Quantity],RM_PM_Quantity[Date],AB$1,RM_PM_Quantity[Location],"MIDC/Pre-Production",RM_PM_Quantity[Section],$C14,RM_PM_Quantity[RM Name],$E14),0)</f>
        <v>0</v>
      </c>
      <c r="AC14" s="84">
        <f>SUMIFS(RM_PM_Quantity[Quantity],RM_PM_Quantity[Date],AC$1,RM_PM_Quantity[Location],$D14,RM_PM_Quantity[Section],$C14,RM_PM_Quantity[RM Name],$E14)+IF($D14="MIND/Pre-Production",SUMIFS(RM_PM_Quantity[Quantity],RM_PM_Quantity[Date],AC$1,RM_PM_Quantity[Location],"MIDC/Pre-Production",RM_PM_Quantity[Section],$C14,RM_PM_Quantity[RM Name],$E14),0)</f>
        <v>0</v>
      </c>
      <c r="AD14" s="84">
        <f>SUMIFS(RM_PM_Quantity[Quantity],RM_PM_Quantity[Date],AD$1,RM_PM_Quantity[Location],$D14,RM_PM_Quantity[Section],$C14,RM_PM_Quantity[RM Name],$E14)+IF($D14="MIND/Pre-Production",SUMIFS(RM_PM_Quantity[Quantity],RM_PM_Quantity[Date],AD$1,RM_PM_Quantity[Location],"MIDC/Pre-Production",RM_PM_Quantity[Section],$C14,RM_PM_Quantity[RM Name],$E14),0)</f>
        <v>0</v>
      </c>
      <c r="AE14" s="84">
        <f>SUMIFS(RM_PM_Quantity[Quantity],RM_PM_Quantity[Date],AE$1,RM_PM_Quantity[Location],$D14,RM_PM_Quantity[Section],$C14,RM_PM_Quantity[RM Name],$E14)+IF($D14="MIND/Pre-Production",SUMIFS(RM_PM_Quantity[Quantity],RM_PM_Quantity[Date],AE$1,RM_PM_Quantity[Location],"MIDC/Pre-Production",RM_PM_Quantity[Section],$C14,RM_PM_Quantity[RM Name],$E14),0)</f>
        <v>0</v>
      </c>
      <c r="AF14" s="84">
        <f>SUMIFS(RM_PM_Quantity[Quantity],RM_PM_Quantity[Date],AF$1,RM_PM_Quantity[Location],$D14,RM_PM_Quantity[Section],$C14,RM_PM_Quantity[RM Name],$E14)+IF($D14="MIND/Pre-Production",SUMIFS(RM_PM_Quantity[Quantity],RM_PM_Quantity[Date],AF$1,RM_PM_Quantity[Location],"MIDC/Pre-Production",RM_PM_Quantity[Section],$C14,RM_PM_Quantity[RM Name],$E14),0)</f>
        <v>0</v>
      </c>
      <c r="AG14" s="84">
        <f>SUMIFS(RM_PM_Quantity[Quantity],RM_PM_Quantity[Date],AG$1,RM_PM_Quantity[Location],$D14,RM_PM_Quantity[Section],$C14,RM_PM_Quantity[RM Name],$E14)+IF($D14="MIND/Pre-Production",SUMIFS(RM_PM_Quantity[Quantity],RM_PM_Quantity[Date],AG$1,RM_PM_Quantity[Location],"MIDC/Pre-Production",RM_PM_Quantity[Section],$C14,RM_PM_Quantity[RM Name],$E14),0)</f>
        <v>0</v>
      </c>
      <c r="AH14" s="84">
        <f>SUMIFS(RM_PM_Quantity[Quantity],RM_PM_Quantity[Date],AH$1,RM_PM_Quantity[Location],$D14,RM_PM_Quantity[Section],$C14,RM_PM_Quantity[RM Name],$E14)+IF($D14="MIND/Pre-Production",SUMIFS(RM_PM_Quantity[Quantity],RM_PM_Quantity[Date],AH$1,RM_PM_Quantity[Location],"MIDC/Pre-Production",RM_PM_Quantity[Section],$C14,RM_PM_Quantity[RM Name],$E14),0)</f>
        <v>0</v>
      </c>
      <c r="AI14" s="84">
        <f>SUMIFS(RM_PM_Quantity[Quantity],RM_PM_Quantity[Date],AI$1,RM_PM_Quantity[Location],$D14,RM_PM_Quantity[Section],$C14,RM_PM_Quantity[RM Name],$E14)+IF($D14="MIND/Pre-Production",SUMIFS(RM_PM_Quantity[Quantity],RM_PM_Quantity[Date],AI$1,RM_PM_Quantity[Location],"MIDC/Pre-Production",RM_PM_Quantity[Section],$C14,RM_PM_Quantity[RM Name],$E14),0)</f>
        <v>0</v>
      </c>
      <c r="AJ14" s="84">
        <f>SUMIFS(RM_PM_Quantity[Quantity],RM_PM_Quantity[Date],AJ$1,RM_PM_Quantity[Location],$D14,RM_PM_Quantity[Section],$C14,RM_PM_Quantity[RM Name],$E14)+IF($D14="MIND/Pre-Production",SUMIFS(RM_PM_Quantity[Quantity],RM_PM_Quantity[Date],AJ$1,RM_PM_Quantity[Location],"MIDC/Pre-Production",RM_PM_Quantity[Section],$C14,RM_PM_Quantity[RM Name],$E14),0)</f>
        <v>0</v>
      </c>
      <c r="AK14" s="84">
        <f>SUMIFS(RM_PM_Quantity[Quantity],RM_PM_Quantity[Date],AK$1,RM_PM_Quantity[Location],$D14,RM_PM_Quantity[Section],$C14,RM_PM_Quantity[RM Name],$E14)+IF($D14="MIND/Pre-Production",SUMIFS(RM_PM_Quantity[Quantity],RM_PM_Quantity[Date],AK$1,RM_PM_Quantity[Location],"MIDC/Pre-Production",RM_PM_Quantity[Section],$C14,RM_PM_Quantity[RM Name],$E14),0)</f>
        <v>0</v>
      </c>
      <c r="AL14" s="84">
        <f>SUMIFS(RM_PM_Quantity[Quantity],RM_PM_Quantity[Date],AL$1,RM_PM_Quantity[Location],$D14,RM_PM_Quantity[Section],$C14,RM_PM_Quantity[RM Name],$E14)+IF($D14="MIND/Pre-Production",SUMIFS(RM_PM_Quantity[Quantity],RM_PM_Quantity[Date],AL$1,RM_PM_Quantity[Location],"MIDC/Pre-Production",RM_PM_Quantity[Section],$C14,RM_PM_Quantity[RM Name],$E14),0)</f>
        <v>0</v>
      </c>
      <c r="AM14" s="84">
        <f>SUMIFS(RM_PM_Quantity[Quantity],RM_PM_Quantity[Date],AM$1,RM_PM_Quantity[Location],$D14,RM_PM_Quantity[Section],$C14,RM_PM_Quantity[RM Name],$E14)+IF($D14="MIND/Pre-Production",SUMIFS(RM_PM_Quantity[Quantity],RM_PM_Quantity[Date],AM$1,RM_PM_Quantity[Location],"MIDC/Pre-Production",RM_PM_Quantity[Section],$C14,RM_PM_Quantity[RM Name],$E14),0)</f>
        <v>0</v>
      </c>
      <c r="AN14" s="84">
        <f>SUMIFS(RM_PM_Quantity[Quantity],RM_PM_Quantity[Date],AN$1,RM_PM_Quantity[Location],$D14,RM_PM_Quantity[Section],$C14,RM_PM_Quantity[RM Name],$E14)+IF($D14="MIND/Pre-Production",SUMIFS(RM_PM_Quantity[Quantity],RM_PM_Quantity[Date],AN$1,RM_PM_Quantity[Location],"MIDC/Pre-Production",RM_PM_Quantity[Section],$C14,RM_PM_Quantity[RM Name],$E14),0)</f>
        <v>0</v>
      </c>
      <c r="AO14" s="84">
        <f>SUMIFS(RM_PM_Quantity[Quantity],RM_PM_Quantity[Date],AO$1,RM_PM_Quantity[Location],$D14,RM_PM_Quantity[Section],$C14,RM_PM_Quantity[RM Name],$E14)+IF($D14="MIND/Pre-Production",SUMIFS(RM_PM_Quantity[Quantity],RM_PM_Quantity[Date],AO$1,RM_PM_Quantity[Location],"MIDC/Pre-Production",RM_PM_Quantity[Section],$C14,RM_PM_Quantity[RM Name],$E14),0)</f>
        <v>0</v>
      </c>
      <c r="AP14" s="84">
        <f>SUMIFS(RM_PM_Quantity[Quantity],RM_PM_Quantity[Date],AP$1,RM_PM_Quantity[Location],$D14,RM_PM_Quantity[Section],$C14,RM_PM_Quantity[RM Name],$E14)+IF($D14="MIND/Pre-Production",SUMIFS(RM_PM_Quantity[Quantity],RM_PM_Quantity[Date],AP$1,RM_PM_Quantity[Location],"MIDC/Pre-Production",RM_PM_Quantity[Section],$C14,RM_PM_Quantity[RM Name],$E14),0)</f>
        <v>0</v>
      </c>
      <c r="AQ14" s="84">
        <f>SUMIFS(RM_PM_Quantity[Quantity],RM_PM_Quantity[Date],AQ$1,RM_PM_Quantity[Location],$D14,RM_PM_Quantity[Section],$C14,RM_PM_Quantity[RM Name],$E14)+IF($D14="MIND/Pre-Production",SUMIFS(RM_PM_Quantity[Quantity],RM_PM_Quantity[Date],AQ$1,RM_PM_Quantity[Location],"MIDC/Pre-Production",RM_PM_Quantity[Section],$C14,RM_PM_Quantity[RM Name],$E14),0)</f>
        <v>0</v>
      </c>
      <c r="AR14" s="84">
        <f>SUMIFS(RM_PM_Quantity[Quantity],RM_PM_Quantity[Date],AR$1,RM_PM_Quantity[Location],$D14,RM_PM_Quantity[Section],$C14,RM_PM_Quantity[RM Name],$E14)+IF($D14="MIND/Pre-Production",SUMIFS(RM_PM_Quantity[Quantity],RM_PM_Quantity[Date],AR$1,RM_PM_Quantity[Location],"MIDC/Pre-Production",RM_PM_Quantity[Section],$C14,RM_PM_Quantity[RM Name],$E14),0)</f>
        <v>0</v>
      </c>
      <c r="AS14" s="84">
        <f>SUMIFS(RM_PM_Quantity[Quantity],RM_PM_Quantity[Date],AS$1,RM_PM_Quantity[Location],$D14,RM_PM_Quantity[Section],$C14,RM_PM_Quantity[RM Name],$E14)+IF($D14="MIND/Pre-Production",SUMIFS(RM_PM_Quantity[Quantity],RM_PM_Quantity[Date],AS$1,RM_PM_Quantity[Location],"MIDC/Pre-Production",RM_PM_Quantity[Section],$C14,RM_PM_Quantity[RM Name],$E14),0)</f>
        <v>0</v>
      </c>
      <c r="AT14" s="84">
        <f>SUMIFS(RM_PM_Quantity[Quantity],RM_PM_Quantity[Date],AT$1,RM_PM_Quantity[Location],$D14,RM_PM_Quantity[Section],$C14,RM_PM_Quantity[RM Name],$E14)+IF($D14="MIND/Pre-Production",SUMIFS(RM_PM_Quantity[Quantity],RM_PM_Quantity[Date],AT$1,RM_PM_Quantity[Location],"MIDC/Pre-Production",RM_PM_Quantity[Section],$C14,RM_PM_Quantity[RM Name],$E14),0)</f>
        <v>0</v>
      </c>
      <c r="AU14" s="84">
        <f>SUMIFS(RM_PM_Quantity[Quantity],RM_PM_Quantity[Date],AU$1,RM_PM_Quantity[Location],$D14,RM_PM_Quantity[Section],$C14,RM_PM_Quantity[RM Name],$E14)+IF($D14="MIND/Pre-Production",SUMIFS(RM_PM_Quantity[Quantity],RM_PM_Quantity[Date],AU$1,RM_PM_Quantity[Location],"MIDC/Pre-Production",RM_PM_Quantity[Section],$C14,RM_PM_Quantity[RM Name],$E14),0)</f>
        <v>0</v>
      </c>
      <c r="AV14" s="84">
        <f>SUMIFS(RM_PM_Quantity[Quantity],RM_PM_Quantity[Date],AV$1,RM_PM_Quantity[Location],$D14,RM_PM_Quantity[Section],$C14,RM_PM_Quantity[RM Name],$E14)+IF($D14="MIND/Pre-Production",SUMIFS(RM_PM_Quantity[Quantity],RM_PM_Quantity[Date],AV$1,RM_PM_Quantity[Location],"MIDC/Pre-Production",RM_PM_Quantity[Section],$C14,RM_PM_Quantity[RM Name],$E14),0)</f>
        <v>0</v>
      </c>
      <c r="AW14" s="84">
        <f>SUMIFS(RM_PM_Quantity[Quantity],RM_PM_Quantity[Date],AW$1,RM_PM_Quantity[Location],$D14,RM_PM_Quantity[Section],$C14,RM_PM_Quantity[RM Name],$E14)+IF($D14="MIND/Pre-Production",SUMIFS(RM_PM_Quantity[Quantity],RM_PM_Quantity[Date],AW$1,RM_PM_Quantity[Location],"MIDC/Pre-Production",RM_PM_Quantity[Section],$C14,RM_PM_Quantity[RM Name],$E14),0)</f>
        <v>0</v>
      </c>
      <c r="AX14" s="84">
        <f>SUMIFS(RM_PM_Quantity[Quantity],RM_PM_Quantity[Date],AX$1,RM_PM_Quantity[Location],$D14,RM_PM_Quantity[Section],$C14,RM_PM_Quantity[RM Name],$E14)+IF($D14="MIND/Pre-Production",SUMIFS(RM_PM_Quantity[Quantity],RM_PM_Quantity[Date],AX$1,RM_PM_Quantity[Location],"MIDC/Pre-Production",RM_PM_Quantity[Section],$C14,RM_PM_Quantity[RM Name],$E14),0)</f>
        <v>0</v>
      </c>
      <c r="AY14" s="84">
        <f>SUMIFS(RM_PM_Quantity[Quantity],RM_PM_Quantity[Date],AY$1,RM_PM_Quantity[Location],$D14,RM_PM_Quantity[Section],$C14,RM_PM_Quantity[RM Name],$E14)+IF($D14="MIND/Pre-Production",SUMIFS(RM_PM_Quantity[Quantity],RM_PM_Quantity[Date],AY$1,RM_PM_Quantity[Location],"MIDC/Pre-Production",RM_PM_Quantity[Section],$C14,RM_PM_Quantity[RM Name],$E14),0)</f>
        <v>0</v>
      </c>
      <c r="AZ14" s="84">
        <f>SUMIFS(RM_PM_Quantity[Quantity],RM_PM_Quantity[Date],AZ$1,RM_PM_Quantity[Location],$D14,RM_PM_Quantity[Section],$C14,RM_PM_Quantity[RM Name],$E14)+IF($D14="MIND/Pre-Production",SUMIFS(RM_PM_Quantity[Quantity],RM_PM_Quantity[Date],AZ$1,RM_PM_Quantity[Location],"MIDC/Pre-Production",RM_PM_Quantity[Section],$C14,RM_PM_Quantity[RM Name],$E14),0)</f>
        <v>0</v>
      </c>
      <c r="BA14" s="84">
        <f>SUMIFS(RM_PM_Quantity[Quantity],RM_PM_Quantity[Date],BA$1,RM_PM_Quantity[Location],$D14,RM_PM_Quantity[Section],$C14,RM_PM_Quantity[RM Name],$E14)+IF($D14="MIND/Pre-Production",SUMIFS(RM_PM_Quantity[Quantity],RM_PM_Quantity[Date],BA$1,RM_PM_Quantity[Location],"MIDC/Pre-Production",RM_PM_Quantity[Section],$C14,RM_PM_Quantity[RM Name],$E14),0)</f>
        <v>0</v>
      </c>
      <c r="BB14" s="84">
        <f>SUMIFS(RM_PM_Quantity[Quantity],RM_PM_Quantity[Date],BB$1,RM_PM_Quantity[Location],$D14,RM_PM_Quantity[Section],$C14,RM_PM_Quantity[RM Name],$E14)+IF($D14="MIND/Pre-Production",SUMIFS(RM_PM_Quantity[Quantity],RM_PM_Quantity[Date],BB$1,RM_PM_Quantity[Location],"MIDC/Pre-Production",RM_PM_Quantity[Section],$C14,RM_PM_Quantity[RM Name],$E14),0)</f>
        <v>0</v>
      </c>
      <c r="BC14" s="84">
        <f>SUMIFS(RM_PM_Quantity[Quantity],RM_PM_Quantity[Date],BC$1,RM_PM_Quantity[Location],$D14,RM_PM_Quantity[Section],$C14,RM_PM_Quantity[RM Name],$E14)+IF($D14="MIND/Pre-Production",SUMIFS(RM_PM_Quantity[Quantity],RM_PM_Quantity[Date],BC$1,RM_PM_Quantity[Location],"MIDC/Pre-Production",RM_PM_Quantity[Section],$C14,RM_PM_Quantity[RM Name],$E14),0)</f>
        <v>0</v>
      </c>
      <c r="BD14" s="84">
        <f>SUMIFS(RM_PM_Quantity[Quantity],RM_PM_Quantity[Date],BD$1,RM_PM_Quantity[Location],$D14,RM_PM_Quantity[Section],$C14,RM_PM_Quantity[RM Name],$E14)+IF($D14="MIND/Pre-Production",SUMIFS(RM_PM_Quantity[Quantity],RM_PM_Quantity[Date],BD$1,RM_PM_Quantity[Location],"MIDC/Pre-Production",RM_PM_Quantity[Section],$C14,RM_PM_Quantity[RM Name],$E14),0)</f>
        <v>0</v>
      </c>
      <c r="BE14" s="84">
        <f>SUMIFS(RM_PM_Quantity[Quantity],RM_PM_Quantity[Date],BE$1,RM_PM_Quantity[Location],$D14,RM_PM_Quantity[Section],$C14,RM_PM_Quantity[RM Name],$E14)+IF($D14="MIND/Pre-Production",SUMIFS(RM_PM_Quantity[Quantity],RM_PM_Quantity[Date],BE$1,RM_PM_Quantity[Location],"MIDC/Pre-Production",RM_PM_Quantity[Section],$C14,RM_PM_Quantity[RM Name],$E14),0)</f>
        <v>0</v>
      </c>
      <c r="BF14" s="84">
        <f>SUMIFS(RM_PM_Quantity[Quantity],RM_PM_Quantity[Date],BF$1,RM_PM_Quantity[Location],$D14,RM_PM_Quantity[Section],$C14,RM_PM_Quantity[RM Name],$E14)+IF($D14="MIND/Pre-Production",SUMIFS(RM_PM_Quantity[Quantity],RM_PM_Quantity[Date],BF$1,RM_PM_Quantity[Location],"MIDC/Pre-Production",RM_PM_Quantity[Section],$C14,RM_PM_Quantity[RM Name],$E14),0)</f>
        <v>0</v>
      </c>
      <c r="BG14" s="84">
        <f>SUMIFS(RM_PM_Quantity[Quantity],RM_PM_Quantity[Date],BG$1,RM_PM_Quantity[Location],$D14,RM_PM_Quantity[Section],$C14,RM_PM_Quantity[RM Name],$E14)+IF($D14="MIND/Pre-Production",SUMIFS(RM_PM_Quantity[Quantity],RM_PM_Quantity[Date],BG$1,RM_PM_Quantity[Location],"MIDC/Pre-Production",RM_PM_Quantity[Section],$C14,RM_PM_Quantity[RM Name],$E14),0)</f>
        <v>0</v>
      </c>
      <c r="BH14" s="84">
        <f>SUMIFS(RM_PM_Quantity[Quantity],RM_PM_Quantity[Date],BH$1,RM_PM_Quantity[Location],$D14,RM_PM_Quantity[Section],$C14,RM_PM_Quantity[RM Name],$E14)+IF($D14="MIND/Pre-Production",SUMIFS(RM_PM_Quantity[Quantity],RM_PM_Quantity[Date],BH$1,RM_PM_Quantity[Location],"MIDC/Pre-Production",RM_PM_Quantity[Section],$C14,RM_PM_Quantity[RM Name],$E14),0)</f>
        <v>0</v>
      </c>
      <c r="BI14" s="84">
        <f>SUMIFS(RM_PM_Quantity[Quantity],RM_PM_Quantity[Date],BI$1,RM_PM_Quantity[Location],$D14,RM_PM_Quantity[Section],$C14,RM_PM_Quantity[RM Name],$E14)+IF($D14="MIND/Pre-Production",SUMIFS(RM_PM_Quantity[Quantity],RM_PM_Quantity[Date],BI$1,RM_PM_Quantity[Location],"MIDC/Pre-Production",RM_PM_Quantity[Section],$C14,RM_PM_Quantity[RM Name],$E14),0)</f>
        <v>0</v>
      </c>
      <c r="BJ14" s="84">
        <f>SUMIFS(RM_PM_Quantity[Quantity],RM_PM_Quantity[Date],BJ$1,RM_PM_Quantity[Location],$D14,RM_PM_Quantity[Section],$C14,RM_PM_Quantity[RM Name],$E14)+IF($D14="MIND/Pre-Production",SUMIFS(RM_PM_Quantity[Quantity],RM_PM_Quantity[Date],BJ$1,RM_PM_Quantity[Location],"MIDC/Pre-Production",RM_PM_Quantity[Section],$C14,RM_PM_Quantity[RM Name],$E14),0)</f>
        <v>0</v>
      </c>
      <c r="BK14" s="84">
        <f>SUMIFS(RM_PM_Quantity[Quantity],RM_PM_Quantity[Date],BK$1,RM_PM_Quantity[Location],$D14,RM_PM_Quantity[Section],$C14,RM_PM_Quantity[RM Name],$E14)+IF($D14="MIND/Pre-Production",SUMIFS(RM_PM_Quantity[Quantity],RM_PM_Quantity[Date],BK$1,RM_PM_Quantity[Location],"MIDC/Pre-Production",RM_PM_Quantity[Section],$C14,RM_PM_Quantity[RM Name],$E14),0)</f>
        <v>0</v>
      </c>
      <c r="BL14" s="84">
        <f>SUMIFS(RM_PM_Quantity[Quantity],RM_PM_Quantity[Date],BL$1,RM_PM_Quantity[Location],$D14,RM_PM_Quantity[Section],$C14,RM_PM_Quantity[RM Name],$E14)+IF($D14="MIND/Pre-Production",SUMIFS(RM_PM_Quantity[Quantity],RM_PM_Quantity[Date],BL$1,RM_PM_Quantity[Location],"MIDC/Pre-Production",RM_PM_Quantity[Section],$C14,RM_PM_Quantity[RM Name],$E14),0)</f>
        <v>0</v>
      </c>
      <c r="BM14" s="84">
        <f>SUMIFS(RM_PM_Quantity[Quantity],RM_PM_Quantity[Date],BM$1,RM_PM_Quantity[Location],$D14,RM_PM_Quantity[Section],$C14,RM_PM_Quantity[RM Name],$E14)+IF($D14="MIND/Pre-Production",SUMIFS(RM_PM_Quantity[Quantity],RM_PM_Quantity[Date],BM$1,RM_PM_Quantity[Location],"MIDC/Pre-Production",RM_PM_Quantity[Section],$C14,RM_PM_Quantity[RM Name],$E14),0)</f>
        <v>0</v>
      </c>
      <c r="BN14" s="84">
        <f>SUMIFS(RM_PM_Quantity[Quantity],RM_PM_Quantity[Date],BN$1,RM_PM_Quantity[Location],$D14,RM_PM_Quantity[Section],$C14,RM_PM_Quantity[RM Name],$E14)+IF($D14="MIND/Pre-Production",SUMIFS(RM_PM_Quantity[Quantity],RM_PM_Quantity[Date],BN$1,RM_PM_Quantity[Location],"MIDC/Pre-Production",RM_PM_Quantity[Section],$C14,RM_PM_Quantity[RM Name],$E14),0)</f>
        <v>0</v>
      </c>
      <c r="BO14" s="84">
        <f>SUMIFS(RM_PM_Quantity[Quantity],RM_PM_Quantity[Date],BO$1,RM_PM_Quantity[Location],$D14,RM_PM_Quantity[Section],$C14,RM_PM_Quantity[RM Name],$E14)+IF($D14="MIND/Pre-Production",SUMIFS(RM_PM_Quantity[Quantity],RM_PM_Quantity[Date],BO$1,RM_PM_Quantity[Location],"MIDC/Pre-Production",RM_PM_Quantity[Section],$C14,RM_PM_Quantity[RM Name],$E14),0)</f>
        <v>0</v>
      </c>
      <c r="BP14" s="84">
        <f>SUMIFS(RM_PM_Quantity[Quantity],RM_PM_Quantity[Date],BP$1,RM_PM_Quantity[Location],$D14,RM_PM_Quantity[Section],$C14,RM_PM_Quantity[RM Name],$E14)+IF($D14="MIND/Pre-Production",SUMIFS(RM_PM_Quantity[Quantity],RM_PM_Quantity[Date],BP$1,RM_PM_Quantity[Location],"MIDC/Pre-Production",RM_PM_Quantity[Section],$C14,RM_PM_Quantity[RM Name],$E14),0)</f>
        <v>0</v>
      </c>
      <c r="BQ14" s="84">
        <f>SUMIFS(RM_PM_Quantity[Quantity],RM_PM_Quantity[Date],BQ$1,RM_PM_Quantity[Location],$D14,RM_PM_Quantity[Section],$C14,RM_PM_Quantity[RM Name],$E14)+IF($D14="MIND/Pre-Production",SUMIFS(RM_PM_Quantity[Quantity],RM_PM_Quantity[Date],BQ$1,RM_PM_Quantity[Location],"MIDC/Pre-Production",RM_PM_Quantity[Section],$C14,RM_PM_Quantity[RM Name],$E14),0)</f>
        <v>0</v>
      </c>
      <c r="BR14" s="84">
        <f>SUMIFS(RM_PM_Quantity[Quantity],RM_PM_Quantity[Date],BR$1,RM_PM_Quantity[Location],$D14,RM_PM_Quantity[Section],$C14,RM_PM_Quantity[RM Name],$E14)+IF($D14="MIND/Pre-Production",SUMIFS(RM_PM_Quantity[Quantity],RM_PM_Quantity[Date],BR$1,RM_PM_Quantity[Location],"MIDC/Pre-Production",RM_PM_Quantity[Section],$C14,RM_PM_Quantity[RM Name],$E14),0)</f>
        <v>0</v>
      </c>
      <c r="BS14" s="84">
        <f>SUMIFS(RM_PM_Quantity[Quantity],RM_PM_Quantity[Date],BS$1,RM_PM_Quantity[Location],$D14,RM_PM_Quantity[Section],$C14,RM_PM_Quantity[RM Name],$E14)+IF($D14="MIND/Pre-Production",SUMIFS(RM_PM_Quantity[Quantity],RM_PM_Quantity[Date],BS$1,RM_PM_Quantity[Location],"MIDC/Pre-Production",RM_PM_Quantity[Section],$C14,RM_PM_Quantity[RM Name],$E14),0)</f>
        <v>0</v>
      </c>
      <c r="BT14" s="84">
        <f>SUMIFS(RM_PM_Quantity[ID],RM_PM_Quantity[Location],BT$1,RM_PM_Quantity[Section],$D14,RM_PM_Quantity[RM Name],$C14,RM_PM_Quantity[Quantity],$E14)+IF($D14="MIND/Pre-Production",SUMIFS(RM_PM_Quantity[ID],RM_PM_Quantity[Location],BT$1,RM_PM_Quantity[Section],"MIDC/Pre-Production",RM_PM_Quantity[RM Name],$C14,RM_PM_Quantity[Quantity],$E14),0)</f>
        <v>0</v>
      </c>
      <c r="BU14" s="84">
        <f>SUMIFS(RM_PM_Quantity[Name of Supervisor],RM_PM_Quantity[Section],BU$1,RM_PM_Quantity[RM Name],$D14,RM_PM_Quantity[Quantity],$C14,RM_PM_Quantity[ID],$E14)+IF($D14="MIND/Pre-Production",SUMIFS(RM_PM_Quantity[Name of Supervisor],RM_PM_Quantity[Section],BU$1,RM_PM_Quantity[RM Name],"MIDC/Pre-Production",RM_PM_Quantity[Quantity],$C14,RM_PM_Quantity[ID],$E14),0)</f>
        <v>0</v>
      </c>
      <c r="BV14" s="84">
        <f>SUMIFS(RM_PM_Quantity[Date],RM_PM_Quantity[RM Name],BV$1,RM_PM_Quantity[Quantity],$D14,RM_PM_Quantity[ID],$C14,RM_PM_Quantity[Name of Supervisor],$E14)+IF($D14="MIND/Pre-Production",SUMIFS(RM_PM_Quantity[Date],RM_PM_Quantity[RM Name],BV$1,RM_PM_Quantity[Quantity],"MIDC/Pre-Production",RM_PM_Quantity[ID],$C14,RM_PM_Quantity[Name of Supervisor],$E14),0)</f>
        <v>0</v>
      </c>
      <c r="BW14" s="84">
        <f>SUMIFS(RM_PM_Quantity[Location],RM_PM_Quantity[Quantity],BW$1,RM_PM_Quantity[ID],$D14,RM_PM_Quantity[Name of Supervisor],$C14,RM_PM_Quantity[Date],$E14)+IF($D14="MIND/Pre-Production",SUMIFS(RM_PM_Quantity[Location],RM_PM_Quantity[Quantity],BW$1,RM_PM_Quantity[ID],"MIDC/Pre-Production",RM_PM_Quantity[Name of Supervisor],$C14,RM_PM_Quantity[Date],$E14),0)</f>
        <v>0</v>
      </c>
      <c r="BX14" s="84">
        <f>SUMIFS(RM_PM_Quantity[Section],RM_PM_Quantity[ID],BX$1,RM_PM_Quantity[Name of Supervisor],$D14,RM_PM_Quantity[Date],$C14,RM_PM_Quantity[Location],$E14)+IF($D14="MIND/Pre-Production",SUMIFS(RM_PM_Quantity[Section],RM_PM_Quantity[ID],BX$1,RM_PM_Quantity[Name of Supervisor],"MIDC/Pre-Production",RM_PM_Quantity[Date],$C14,RM_PM_Quantity[Location],$E14),0)</f>
        <v>0</v>
      </c>
      <c r="BY14" s="84">
        <f>SUMIFS(RM_PM_Quantity[RM Name],RM_PM_Quantity[Name of Supervisor],BY$1,RM_PM_Quantity[Date],$D14,RM_PM_Quantity[Location],$C14,RM_PM_Quantity[Section],$E14)+IF($D14="MIND/Pre-Production",SUMIFS(RM_PM_Quantity[RM Name],RM_PM_Quantity[Name of Supervisor],BY$1,RM_PM_Quantity[Date],"MIDC/Pre-Production",RM_PM_Quantity[Location],$C14,RM_PM_Quantity[Section],$E14),0)</f>
        <v>0</v>
      </c>
    </row>
    <row r="15" spans="1:77" ht="45.75" customHeight="1">
      <c r="A15" s="79">
        <v>14</v>
      </c>
      <c r="B15" s="79" t="s">
        <v>82</v>
      </c>
      <c r="C15" s="80" t="s">
        <v>67</v>
      </c>
      <c r="D15" s="81" t="s">
        <v>68</v>
      </c>
      <c r="E15" s="82" t="s">
        <v>83</v>
      </c>
      <c r="F15" s="83">
        <f>IFERROR(_xlfn.XLOOKUP(B15,'[1]RM Tracker'!B:B,'[1]RM Tracker'!E:E),"0")</f>
        <v>336.11</v>
      </c>
      <c r="G15" s="85">
        <f t="shared" si="2"/>
        <v>0</v>
      </c>
      <c r="H15" s="85">
        <f t="shared" si="0"/>
        <v>-336.11</v>
      </c>
      <c r="I15" s="91">
        <f t="shared" si="1"/>
        <v>0</v>
      </c>
      <c r="J15" s="84">
        <f>SUMIFS(RM_PM_Quantity[Quantity],RM_PM_Quantity[Date],J$1,RM_PM_Quantity[Location],$D15,RM_PM_Quantity[Section],$C15,RM_PM_Quantity[RM Name],$E15)+IF($D15="MIND/Pre-Production",SUMIFS(RM_PM_Quantity[Quantity],RM_PM_Quantity[Date],J$1,RM_PM_Quantity[Location],"MIDC/Pre-Production",RM_PM_Quantity[Section],$C15,RM_PM_Quantity[RM Name],$E15),0)</f>
        <v>0</v>
      </c>
      <c r="K15" s="84">
        <f>SUMIFS(RM_PM_Quantity[Quantity],RM_PM_Quantity[Date],K$1,RM_PM_Quantity[Location],$D15,RM_PM_Quantity[Section],$C15,RM_PM_Quantity[RM Name],$E15)+IF($D15="MIND/Pre-Production",SUMIFS(RM_PM_Quantity[Quantity],RM_PM_Quantity[Date],K$1,RM_PM_Quantity[Location],"MIDC/Pre-Production",RM_PM_Quantity[Section],$C15,RM_PM_Quantity[RM Name],$E15),0)</f>
        <v>0</v>
      </c>
      <c r="L15" s="84">
        <f>SUMIFS(RM_PM_Quantity[Quantity],RM_PM_Quantity[Date],L$1,RM_PM_Quantity[Location],$D15,RM_PM_Quantity[Section],$C15,RM_PM_Quantity[RM Name],$E15)+IF($D15="MIND/Pre-Production",SUMIFS(RM_PM_Quantity[Quantity],RM_PM_Quantity[Date],L$1,RM_PM_Quantity[Location],"MIDC/Pre-Production",RM_PM_Quantity[Section],$C15,RM_PM_Quantity[RM Name],$E15),0)</f>
        <v>0</v>
      </c>
      <c r="M15" s="84">
        <f>SUMIFS(RM_PM_Quantity[Quantity],RM_PM_Quantity[Date],M$1,RM_PM_Quantity[Location],$D15,RM_PM_Quantity[Section],$C15,RM_PM_Quantity[RM Name],$E15)+IF($D15="MIND/Pre-Production",SUMIFS(RM_PM_Quantity[Quantity],RM_PM_Quantity[Date],M$1,RM_PM_Quantity[Location],"MIDC/Pre-Production",RM_PM_Quantity[Section],$C15,RM_PM_Quantity[RM Name],$E15),0)</f>
        <v>0</v>
      </c>
      <c r="N15" s="84">
        <f>SUMIFS(RM_PM_Quantity[Quantity],RM_PM_Quantity[Date],N$1,RM_PM_Quantity[Location],$D15,RM_PM_Quantity[Section],$C15,RM_PM_Quantity[RM Name],$E15)+IF($D15="MIND/Pre-Production",SUMIFS(RM_PM_Quantity[Quantity],RM_PM_Quantity[Date],N$1,RM_PM_Quantity[Location],"MIDC/Pre-Production",RM_PM_Quantity[Section],$C15,RM_PM_Quantity[RM Name],$E15),0)</f>
        <v>0</v>
      </c>
      <c r="O15" s="84">
        <f>SUMIFS(RM_PM_Quantity[Quantity],RM_PM_Quantity[Date],O$1,RM_PM_Quantity[Location],$D15,RM_PM_Quantity[Section],$C15,RM_PM_Quantity[RM Name],$E15)+IF($D15="MIND/Pre-Production",SUMIFS(RM_PM_Quantity[Quantity],RM_PM_Quantity[Date],O$1,RM_PM_Quantity[Location],"MIDC/Pre-Production",RM_PM_Quantity[Section],$C15,RM_PM_Quantity[RM Name],$E15),0)</f>
        <v>0</v>
      </c>
      <c r="P15" s="84">
        <f>SUMIFS(RM_PM_Quantity[Quantity],RM_PM_Quantity[Date],P$1,RM_PM_Quantity[Location],$D15,RM_PM_Quantity[Section],$C15,RM_PM_Quantity[RM Name],$E15)+IF($D15="MIND/Pre-Production",SUMIFS(RM_PM_Quantity[Quantity],RM_PM_Quantity[Date],P$1,RM_PM_Quantity[Location],"MIDC/Pre-Production",RM_PM_Quantity[Section],$C15,RM_PM_Quantity[RM Name],$E15),0)</f>
        <v>0</v>
      </c>
      <c r="Q15" s="84">
        <f>SUMIFS(RM_PM_Quantity[Quantity],RM_PM_Quantity[Date],Q$1,RM_PM_Quantity[Location],$D15,RM_PM_Quantity[Section],$C15,RM_PM_Quantity[RM Name],$E15)+IF($D15="MIND/Pre-Production",SUMIFS(RM_PM_Quantity[Quantity],RM_PM_Quantity[Date],Q$1,RM_PM_Quantity[Location],"MIDC/Pre-Production",RM_PM_Quantity[Section],$C15,RM_PM_Quantity[RM Name],$E15),0)</f>
        <v>0</v>
      </c>
      <c r="R15" s="84">
        <f>SUMIFS(RM_PM_Quantity[Quantity],RM_PM_Quantity[Date],R$1,RM_PM_Quantity[Location],$D15,RM_PM_Quantity[Section],$C15,RM_PM_Quantity[RM Name],$E15)+IF($D15="MIND/Pre-Production",SUMIFS(RM_PM_Quantity[Quantity],RM_PM_Quantity[Date],R$1,RM_PM_Quantity[Location],"MIDC/Pre-Production",RM_PM_Quantity[Section],$C15,RM_PM_Quantity[RM Name],$E15),0)</f>
        <v>0</v>
      </c>
      <c r="S15" s="84">
        <f>SUMIFS(RM_PM_Quantity[Quantity],RM_PM_Quantity[Date],S$1,RM_PM_Quantity[Location],$D15,RM_PM_Quantity[Section],$C15,RM_PM_Quantity[RM Name],$E15)+IF($D15="MIND/Pre-Production",SUMIFS(RM_PM_Quantity[Quantity],RM_PM_Quantity[Date],S$1,RM_PM_Quantity[Location],"MIDC/Pre-Production",RM_PM_Quantity[Section],$C15,RM_PM_Quantity[RM Name],$E15),0)</f>
        <v>0</v>
      </c>
      <c r="T15" s="84">
        <f>SUMIFS(RM_PM_Quantity[Quantity],RM_PM_Quantity[Date],T$1,RM_PM_Quantity[Location],$D15,RM_PM_Quantity[Section],$C15,RM_PM_Quantity[RM Name],$E15)+IF($D15="MIND/Pre-Production",SUMIFS(RM_PM_Quantity[Quantity],RM_PM_Quantity[Date],T$1,RM_PM_Quantity[Location],"MIDC/Pre-Production",RM_PM_Quantity[Section],$C15,RM_PM_Quantity[RM Name],$E15),0)</f>
        <v>0</v>
      </c>
      <c r="U15" s="84">
        <f>SUMIFS(RM_PM_Quantity[Quantity],RM_PM_Quantity[Date],U$1,RM_PM_Quantity[Location],$D15,RM_PM_Quantity[Section],$C15,RM_PM_Quantity[RM Name],$E15)+IF($D15="MIND/Pre-Production",SUMIFS(RM_PM_Quantity[Quantity],RM_PM_Quantity[Date],U$1,RM_PM_Quantity[Location],"MIDC/Pre-Production",RM_PM_Quantity[Section],$C15,RM_PM_Quantity[RM Name],$E15),0)</f>
        <v>0</v>
      </c>
      <c r="V15" s="84">
        <f>SUMIFS(RM_PM_Quantity[Quantity],RM_PM_Quantity[Date],V$1,RM_PM_Quantity[Location],$D15,RM_PM_Quantity[Section],$C15,RM_PM_Quantity[RM Name],$E15)+IF($D15="MIND/Pre-Production",SUMIFS(RM_PM_Quantity[Quantity],RM_PM_Quantity[Date],V$1,RM_PM_Quantity[Location],"MIDC/Pre-Production",RM_PM_Quantity[Section],$C15,RM_PM_Quantity[RM Name],$E15),0)</f>
        <v>0</v>
      </c>
      <c r="W15" s="84">
        <f>SUMIFS(RM_PM_Quantity[Quantity],RM_PM_Quantity[Date],W$1,RM_PM_Quantity[Location],$D15,RM_PM_Quantity[Section],$C15,RM_PM_Quantity[RM Name],$E15)+IF($D15="MIND/Pre-Production",SUMIFS(RM_PM_Quantity[Quantity],RM_PM_Quantity[Date],W$1,RM_PM_Quantity[Location],"MIDC/Pre-Production",RM_PM_Quantity[Section],$C15,RM_PM_Quantity[RM Name],$E15),0)</f>
        <v>0</v>
      </c>
      <c r="X15" s="84">
        <f>SUMIFS(RM_PM_Quantity[Quantity],RM_PM_Quantity[Date],X$1,RM_PM_Quantity[Location],$D15,RM_PM_Quantity[Section],$C15,RM_PM_Quantity[RM Name],$E15)+IF($D15="MIND/Pre-Production",SUMIFS(RM_PM_Quantity[Quantity],RM_PM_Quantity[Date],X$1,RM_PM_Quantity[Location],"MIDC/Pre-Production",RM_PM_Quantity[Section],$C15,RM_PM_Quantity[RM Name],$E15),0)</f>
        <v>0</v>
      </c>
      <c r="Y15" s="84">
        <f>SUMIFS(RM_PM_Quantity[Quantity],RM_PM_Quantity[Date],Y$1,RM_PM_Quantity[Location],$D15,RM_PM_Quantity[Section],$C15,RM_PM_Quantity[RM Name],$E15)+IF($D15="MIND/Pre-Production",SUMIFS(RM_PM_Quantity[Quantity],RM_PM_Quantity[Date],Y$1,RM_PM_Quantity[Location],"MIDC/Pre-Production",RM_PM_Quantity[Section],$C15,RM_PM_Quantity[RM Name],$E15),0)</f>
        <v>0</v>
      </c>
      <c r="Z15" s="84">
        <f>SUMIFS(RM_PM_Quantity[Quantity],RM_PM_Quantity[Date],Z$1,RM_PM_Quantity[Location],$D15,RM_PM_Quantity[Section],$C15,RM_PM_Quantity[RM Name],$E15)+IF($D15="MIND/Pre-Production",SUMIFS(RM_PM_Quantity[Quantity],RM_PM_Quantity[Date],Z$1,RM_PM_Quantity[Location],"MIDC/Pre-Production",RM_PM_Quantity[Section],$C15,RM_PM_Quantity[RM Name],$E15),0)</f>
        <v>0</v>
      </c>
      <c r="AA15" s="84">
        <f>SUMIFS(RM_PM_Quantity[Quantity],RM_PM_Quantity[Date],AA$1,RM_PM_Quantity[Location],$D15,RM_PM_Quantity[Section],$C15,RM_PM_Quantity[RM Name],$E15)+IF($D15="MIND/Pre-Production",SUMIFS(RM_PM_Quantity[Quantity],RM_PM_Quantity[Date],AA$1,RM_PM_Quantity[Location],"MIDC/Pre-Production",RM_PM_Quantity[Section],$C15,RM_PM_Quantity[RM Name],$E15),0)</f>
        <v>0</v>
      </c>
      <c r="AB15" s="84">
        <f>SUMIFS(RM_PM_Quantity[Quantity],RM_PM_Quantity[Date],AB$1,RM_PM_Quantity[Location],$D15,RM_PM_Quantity[Section],$C15,RM_PM_Quantity[RM Name],$E15)+IF($D15="MIND/Pre-Production",SUMIFS(RM_PM_Quantity[Quantity],RM_PM_Quantity[Date],AB$1,RM_PM_Quantity[Location],"MIDC/Pre-Production",RM_PM_Quantity[Section],$C15,RM_PM_Quantity[RM Name],$E15),0)</f>
        <v>0</v>
      </c>
      <c r="AC15" s="84">
        <f>SUMIFS(RM_PM_Quantity[Quantity],RM_PM_Quantity[Date],AC$1,RM_PM_Quantity[Location],$D15,RM_PM_Quantity[Section],$C15,RM_PM_Quantity[RM Name],$E15)+IF($D15="MIND/Pre-Production",SUMIFS(RM_PM_Quantity[Quantity],RM_PM_Quantity[Date],AC$1,RM_PM_Quantity[Location],"MIDC/Pre-Production",RM_PM_Quantity[Section],$C15,RM_PM_Quantity[RM Name],$E15),0)</f>
        <v>0</v>
      </c>
      <c r="AD15" s="84">
        <f>SUMIFS(RM_PM_Quantity[Quantity],RM_PM_Quantity[Date],AD$1,RM_PM_Quantity[Location],$D15,RM_PM_Quantity[Section],$C15,RM_PM_Quantity[RM Name],$E15)+IF($D15="MIND/Pre-Production",SUMIFS(RM_PM_Quantity[Quantity],RM_PM_Quantity[Date],AD$1,RM_PM_Quantity[Location],"MIDC/Pre-Production",RM_PM_Quantity[Section],$C15,RM_PM_Quantity[RM Name],$E15),0)</f>
        <v>0</v>
      </c>
      <c r="AE15" s="84">
        <f>SUMIFS(RM_PM_Quantity[Quantity],RM_PM_Quantity[Date],AE$1,RM_PM_Quantity[Location],$D15,RM_PM_Quantity[Section],$C15,RM_PM_Quantity[RM Name],$E15)+IF($D15="MIND/Pre-Production",SUMIFS(RM_PM_Quantity[Quantity],RM_PM_Quantity[Date],AE$1,RM_PM_Quantity[Location],"MIDC/Pre-Production",RM_PM_Quantity[Section],$C15,RM_PM_Quantity[RM Name],$E15),0)</f>
        <v>0</v>
      </c>
      <c r="AF15" s="84">
        <f>SUMIFS(RM_PM_Quantity[Quantity],RM_PM_Quantity[Date],AF$1,RM_PM_Quantity[Location],$D15,RM_PM_Quantity[Section],$C15,RM_PM_Quantity[RM Name],$E15)+IF($D15="MIND/Pre-Production",SUMIFS(RM_PM_Quantity[Quantity],RM_PM_Quantity[Date],AF$1,RM_PM_Quantity[Location],"MIDC/Pre-Production",RM_PM_Quantity[Section],$C15,RM_PM_Quantity[RM Name],$E15),0)</f>
        <v>0</v>
      </c>
      <c r="AG15" s="84">
        <f>SUMIFS(RM_PM_Quantity[Quantity],RM_PM_Quantity[Date],AG$1,RM_PM_Quantity[Location],$D15,RM_PM_Quantity[Section],$C15,RM_PM_Quantity[RM Name],$E15)+IF($D15="MIND/Pre-Production",SUMIFS(RM_PM_Quantity[Quantity],RM_PM_Quantity[Date],AG$1,RM_PM_Quantity[Location],"MIDC/Pre-Production",RM_PM_Quantity[Section],$C15,RM_PM_Quantity[RM Name],$E15),0)</f>
        <v>0</v>
      </c>
      <c r="AH15" s="84">
        <f>SUMIFS(RM_PM_Quantity[Quantity],RM_PM_Quantity[Date],AH$1,RM_PM_Quantity[Location],$D15,RM_PM_Quantity[Section],$C15,RM_PM_Quantity[RM Name],$E15)+IF($D15="MIND/Pre-Production",SUMIFS(RM_PM_Quantity[Quantity],RM_PM_Quantity[Date],AH$1,RM_PM_Quantity[Location],"MIDC/Pre-Production",RM_PM_Quantity[Section],$C15,RM_PM_Quantity[RM Name],$E15),0)</f>
        <v>0</v>
      </c>
      <c r="AI15" s="84">
        <f>SUMIFS(RM_PM_Quantity[Quantity],RM_PM_Quantity[Date],AI$1,RM_PM_Quantity[Location],$D15,RM_PM_Quantity[Section],$C15,RM_PM_Quantity[RM Name],$E15)+IF($D15="MIND/Pre-Production",SUMIFS(RM_PM_Quantity[Quantity],RM_PM_Quantity[Date],AI$1,RM_PM_Quantity[Location],"MIDC/Pre-Production",RM_PM_Quantity[Section],$C15,RM_PM_Quantity[RM Name],$E15),0)</f>
        <v>0</v>
      </c>
      <c r="AJ15" s="84">
        <f>SUMIFS(RM_PM_Quantity[Quantity],RM_PM_Quantity[Date],AJ$1,RM_PM_Quantity[Location],$D15,RM_PM_Quantity[Section],$C15,RM_PM_Quantity[RM Name],$E15)+IF($D15="MIND/Pre-Production",SUMIFS(RM_PM_Quantity[Quantity],RM_PM_Quantity[Date],AJ$1,RM_PM_Quantity[Location],"MIDC/Pre-Production",RM_PM_Quantity[Section],$C15,RM_PM_Quantity[RM Name],$E15),0)</f>
        <v>0</v>
      </c>
      <c r="AK15" s="84">
        <f>SUMIFS(RM_PM_Quantity[Quantity],RM_PM_Quantity[Date],AK$1,RM_PM_Quantity[Location],$D15,RM_PM_Quantity[Section],$C15,RM_PM_Quantity[RM Name],$E15)+IF($D15="MIND/Pre-Production",SUMIFS(RM_PM_Quantity[Quantity],RM_PM_Quantity[Date],AK$1,RM_PM_Quantity[Location],"MIDC/Pre-Production",RM_PM_Quantity[Section],$C15,RM_PM_Quantity[RM Name],$E15),0)</f>
        <v>0</v>
      </c>
      <c r="AL15" s="84">
        <f>SUMIFS(RM_PM_Quantity[Quantity],RM_PM_Quantity[Date],AL$1,RM_PM_Quantity[Location],$D15,RM_PM_Quantity[Section],$C15,RM_PM_Quantity[RM Name],$E15)+IF($D15="MIND/Pre-Production",SUMIFS(RM_PM_Quantity[Quantity],RM_PM_Quantity[Date],AL$1,RM_PM_Quantity[Location],"MIDC/Pre-Production",RM_PM_Quantity[Section],$C15,RM_PM_Quantity[RM Name],$E15),0)</f>
        <v>0</v>
      </c>
      <c r="AM15" s="84">
        <f>SUMIFS(RM_PM_Quantity[Quantity],RM_PM_Quantity[Date],AM$1,RM_PM_Quantity[Location],$D15,RM_PM_Quantity[Section],$C15,RM_PM_Quantity[RM Name],$E15)+IF($D15="MIND/Pre-Production",SUMIFS(RM_PM_Quantity[Quantity],RM_PM_Quantity[Date],AM$1,RM_PM_Quantity[Location],"MIDC/Pre-Production",RM_PM_Quantity[Section],$C15,RM_PM_Quantity[RM Name],$E15),0)</f>
        <v>0</v>
      </c>
      <c r="AN15" s="84">
        <f>SUMIFS(RM_PM_Quantity[Quantity],RM_PM_Quantity[Date],AN$1,RM_PM_Quantity[Location],$D15,RM_PM_Quantity[Section],$C15,RM_PM_Quantity[RM Name],$E15)+IF($D15="MIND/Pre-Production",SUMIFS(RM_PM_Quantity[Quantity],RM_PM_Quantity[Date],AN$1,RM_PM_Quantity[Location],"MIDC/Pre-Production",RM_PM_Quantity[Section],$C15,RM_PM_Quantity[RM Name],$E15),0)</f>
        <v>0</v>
      </c>
      <c r="AO15" s="84">
        <f>SUMIFS(RM_PM_Quantity[Quantity],RM_PM_Quantity[Date],AO$1,RM_PM_Quantity[Location],$D15,RM_PM_Quantity[Section],$C15,RM_PM_Quantity[RM Name],$E15)+IF($D15="MIND/Pre-Production",SUMIFS(RM_PM_Quantity[Quantity],RM_PM_Quantity[Date],AO$1,RM_PM_Quantity[Location],"MIDC/Pre-Production",RM_PM_Quantity[Section],$C15,RM_PM_Quantity[RM Name],$E15),0)</f>
        <v>0</v>
      </c>
      <c r="AP15" s="84">
        <f>SUMIFS(RM_PM_Quantity[Quantity],RM_PM_Quantity[Date],AP$1,RM_PM_Quantity[Location],$D15,RM_PM_Quantity[Section],$C15,RM_PM_Quantity[RM Name],$E15)+IF($D15="MIND/Pre-Production",SUMIFS(RM_PM_Quantity[Quantity],RM_PM_Quantity[Date],AP$1,RM_PM_Quantity[Location],"MIDC/Pre-Production",RM_PM_Quantity[Section],$C15,RM_PM_Quantity[RM Name],$E15),0)</f>
        <v>0</v>
      </c>
      <c r="AQ15" s="84">
        <f>SUMIFS(RM_PM_Quantity[Quantity],RM_PM_Quantity[Date],AQ$1,RM_PM_Quantity[Location],$D15,RM_PM_Quantity[Section],$C15,RM_PM_Quantity[RM Name],$E15)+IF($D15="MIND/Pre-Production",SUMIFS(RM_PM_Quantity[Quantity],RM_PM_Quantity[Date],AQ$1,RM_PM_Quantity[Location],"MIDC/Pre-Production",RM_PM_Quantity[Section],$C15,RM_PM_Quantity[RM Name],$E15),0)</f>
        <v>0</v>
      </c>
      <c r="AR15" s="84">
        <f>SUMIFS(RM_PM_Quantity[Quantity],RM_PM_Quantity[Date],AR$1,RM_PM_Quantity[Location],$D15,RM_PM_Quantity[Section],$C15,RM_PM_Quantity[RM Name],$E15)+IF($D15="MIND/Pre-Production",SUMIFS(RM_PM_Quantity[Quantity],RM_PM_Quantity[Date],AR$1,RM_PM_Quantity[Location],"MIDC/Pre-Production",RM_PM_Quantity[Section],$C15,RM_PM_Quantity[RM Name],$E15),0)</f>
        <v>0</v>
      </c>
      <c r="AS15" s="84">
        <f>SUMIFS(RM_PM_Quantity[Quantity],RM_PM_Quantity[Date],AS$1,RM_PM_Quantity[Location],$D15,RM_PM_Quantity[Section],$C15,RM_PM_Quantity[RM Name],$E15)+IF($D15="MIND/Pre-Production",SUMIFS(RM_PM_Quantity[Quantity],RM_PM_Quantity[Date],AS$1,RM_PM_Quantity[Location],"MIDC/Pre-Production",RM_PM_Quantity[Section],$C15,RM_PM_Quantity[RM Name],$E15),0)</f>
        <v>0</v>
      </c>
      <c r="AT15" s="84">
        <f>SUMIFS(RM_PM_Quantity[Quantity],RM_PM_Quantity[Date],AT$1,RM_PM_Quantity[Location],$D15,RM_PM_Quantity[Section],$C15,RM_PM_Quantity[RM Name],$E15)+IF($D15="MIND/Pre-Production",SUMIFS(RM_PM_Quantity[Quantity],RM_PM_Quantity[Date],AT$1,RM_PM_Quantity[Location],"MIDC/Pre-Production",RM_PM_Quantity[Section],$C15,RM_PM_Quantity[RM Name],$E15),0)</f>
        <v>0</v>
      </c>
      <c r="AU15" s="84">
        <f>SUMIFS(RM_PM_Quantity[Quantity],RM_PM_Quantity[Date],AU$1,RM_PM_Quantity[Location],$D15,RM_PM_Quantity[Section],$C15,RM_PM_Quantity[RM Name],$E15)+IF($D15="MIND/Pre-Production",SUMIFS(RM_PM_Quantity[Quantity],RM_PM_Quantity[Date],AU$1,RM_PM_Quantity[Location],"MIDC/Pre-Production",RM_PM_Quantity[Section],$C15,RM_PM_Quantity[RM Name],$E15),0)</f>
        <v>0</v>
      </c>
      <c r="AV15" s="84">
        <f>SUMIFS(RM_PM_Quantity[Quantity],RM_PM_Quantity[Date],AV$1,RM_PM_Quantity[Location],$D15,RM_PM_Quantity[Section],$C15,RM_PM_Quantity[RM Name],$E15)+IF($D15="MIND/Pre-Production",SUMIFS(RM_PM_Quantity[Quantity],RM_PM_Quantity[Date],AV$1,RM_PM_Quantity[Location],"MIDC/Pre-Production",RM_PM_Quantity[Section],$C15,RM_PM_Quantity[RM Name],$E15),0)</f>
        <v>0</v>
      </c>
      <c r="AW15" s="84">
        <f>SUMIFS(RM_PM_Quantity[Quantity],RM_PM_Quantity[Date],AW$1,RM_PM_Quantity[Location],$D15,RM_PM_Quantity[Section],$C15,RM_PM_Quantity[RM Name],$E15)+IF($D15="MIND/Pre-Production",SUMIFS(RM_PM_Quantity[Quantity],RM_PM_Quantity[Date],AW$1,RM_PM_Quantity[Location],"MIDC/Pre-Production",RM_PM_Quantity[Section],$C15,RM_PM_Quantity[RM Name],$E15),0)</f>
        <v>0</v>
      </c>
      <c r="AX15" s="84">
        <f>SUMIFS(RM_PM_Quantity[Quantity],RM_PM_Quantity[Date],AX$1,RM_PM_Quantity[Location],$D15,RM_PM_Quantity[Section],$C15,RM_PM_Quantity[RM Name],$E15)+IF($D15="MIND/Pre-Production",SUMIFS(RM_PM_Quantity[Quantity],RM_PM_Quantity[Date],AX$1,RM_PM_Quantity[Location],"MIDC/Pre-Production",RM_PM_Quantity[Section],$C15,RM_PM_Quantity[RM Name],$E15),0)</f>
        <v>0</v>
      </c>
      <c r="AY15" s="84">
        <f>SUMIFS(RM_PM_Quantity[Quantity],RM_PM_Quantity[Date],AY$1,RM_PM_Quantity[Location],$D15,RM_PM_Quantity[Section],$C15,RM_PM_Quantity[RM Name],$E15)+IF($D15="MIND/Pre-Production",SUMIFS(RM_PM_Quantity[Quantity],RM_PM_Quantity[Date],AY$1,RM_PM_Quantity[Location],"MIDC/Pre-Production",RM_PM_Quantity[Section],$C15,RM_PM_Quantity[RM Name],$E15),0)</f>
        <v>0</v>
      </c>
      <c r="AZ15" s="84">
        <f>SUMIFS(RM_PM_Quantity[Quantity],RM_PM_Quantity[Date],AZ$1,RM_PM_Quantity[Location],$D15,RM_PM_Quantity[Section],$C15,RM_PM_Quantity[RM Name],$E15)+IF($D15="MIND/Pre-Production",SUMIFS(RM_PM_Quantity[Quantity],RM_PM_Quantity[Date],AZ$1,RM_PM_Quantity[Location],"MIDC/Pre-Production",RM_PM_Quantity[Section],$C15,RM_PM_Quantity[RM Name],$E15),0)</f>
        <v>0</v>
      </c>
      <c r="BA15" s="84">
        <f>SUMIFS(RM_PM_Quantity[Quantity],RM_PM_Quantity[Date],BA$1,RM_PM_Quantity[Location],$D15,RM_PM_Quantity[Section],$C15,RM_PM_Quantity[RM Name],$E15)+IF($D15="MIND/Pre-Production",SUMIFS(RM_PM_Quantity[Quantity],RM_PM_Quantity[Date],BA$1,RM_PM_Quantity[Location],"MIDC/Pre-Production",RM_PM_Quantity[Section],$C15,RM_PM_Quantity[RM Name],$E15),0)</f>
        <v>0</v>
      </c>
      <c r="BB15" s="84">
        <f>SUMIFS(RM_PM_Quantity[Quantity],RM_PM_Quantity[Date],BB$1,RM_PM_Quantity[Location],$D15,RM_PM_Quantity[Section],$C15,RM_PM_Quantity[RM Name],$E15)+IF($D15="MIND/Pre-Production",SUMIFS(RM_PM_Quantity[Quantity],RM_PM_Quantity[Date],BB$1,RM_PM_Quantity[Location],"MIDC/Pre-Production",RM_PM_Quantity[Section],$C15,RM_PM_Quantity[RM Name],$E15),0)</f>
        <v>0</v>
      </c>
      <c r="BC15" s="84">
        <f>SUMIFS(RM_PM_Quantity[Quantity],RM_PM_Quantity[Date],BC$1,RM_PM_Quantity[Location],$D15,RM_PM_Quantity[Section],$C15,RM_PM_Quantity[RM Name],$E15)+IF($D15="MIND/Pre-Production",SUMIFS(RM_PM_Quantity[Quantity],RM_PM_Quantity[Date],BC$1,RM_PM_Quantity[Location],"MIDC/Pre-Production",RM_PM_Quantity[Section],$C15,RM_PM_Quantity[RM Name],$E15),0)</f>
        <v>0</v>
      </c>
      <c r="BD15" s="84">
        <f>SUMIFS(RM_PM_Quantity[Quantity],RM_PM_Quantity[Date],BD$1,RM_PM_Quantity[Location],$D15,RM_PM_Quantity[Section],$C15,RM_PM_Quantity[RM Name],$E15)+IF($D15="MIND/Pre-Production",SUMIFS(RM_PM_Quantity[Quantity],RM_PM_Quantity[Date],BD$1,RM_PM_Quantity[Location],"MIDC/Pre-Production",RM_PM_Quantity[Section],$C15,RM_PM_Quantity[RM Name],$E15),0)</f>
        <v>0</v>
      </c>
      <c r="BE15" s="84">
        <f>SUMIFS(RM_PM_Quantity[Quantity],RM_PM_Quantity[Date],BE$1,RM_PM_Quantity[Location],$D15,RM_PM_Quantity[Section],$C15,RM_PM_Quantity[RM Name],$E15)+IF($D15="MIND/Pre-Production",SUMIFS(RM_PM_Quantity[Quantity],RM_PM_Quantity[Date],BE$1,RM_PM_Quantity[Location],"MIDC/Pre-Production",RM_PM_Quantity[Section],$C15,RM_PM_Quantity[RM Name],$E15),0)</f>
        <v>0</v>
      </c>
      <c r="BF15" s="84">
        <f>SUMIFS(RM_PM_Quantity[Quantity],RM_PM_Quantity[Date],BF$1,RM_PM_Quantity[Location],$D15,RM_PM_Quantity[Section],$C15,RM_PM_Quantity[RM Name],$E15)+IF($D15="MIND/Pre-Production",SUMIFS(RM_PM_Quantity[Quantity],RM_PM_Quantity[Date],BF$1,RM_PM_Quantity[Location],"MIDC/Pre-Production",RM_PM_Quantity[Section],$C15,RM_PM_Quantity[RM Name],$E15),0)</f>
        <v>0</v>
      </c>
      <c r="BG15" s="84">
        <f>SUMIFS(RM_PM_Quantity[Quantity],RM_PM_Quantity[Date],BG$1,RM_PM_Quantity[Location],$D15,RM_PM_Quantity[Section],$C15,RM_PM_Quantity[RM Name],$E15)+IF($D15="MIND/Pre-Production",SUMIFS(RM_PM_Quantity[Quantity],RM_PM_Quantity[Date],BG$1,RM_PM_Quantity[Location],"MIDC/Pre-Production",RM_PM_Quantity[Section],$C15,RM_PM_Quantity[RM Name],$E15),0)</f>
        <v>0</v>
      </c>
      <c r="BH15" s="84">
        <f>SUMIFS(RM_PM_Quantity[Quantity],RM_PM_Quantity[Date],BH$1,RM_PM_Quantity[Location],$D15,RM_PM_Quantity[Section],$C15,RM_PM_Quantity[RM Name],$E15)+IF($D15="MIND/Pre-Production",SUMIFS(RM_PM_Quantity[Quantity],RM_PM_Quantity[Date],BH$1,RM_PM_Quantity[Location],"MIDC/Pre-Production",RM_PM_Quantity[Section],$C15,RM_PM_Quantity[RM Name],$E15),0)</f>
        <v>0</v>
      </c>
      <c r="BI15" s="84">
        <f>SUMIFS(RM_PM_Quantity[Quantity],RM_PM_Quantity[Date],BI$1,RM_PM_Quantity[Location],$D15,RM_PM_Quantity[Section],$C15,RM_PM_Quantity[RM Name],$E15)+IF($D15="MIND/Pre-Production",SUMIFS(RM_PM_Quantity[Quantity],RM_PM_Quantity[Date],BI$1,RM_PM_Quantity[Location],"MIDC/Pre-Production",RM_PM_Quantity[Section],$C15,RM_PM_Quantity[RM Name],$E15),0)</f>
        <v>0</v>
      </c>
      <c r="BJ15" s="84">
        <f>SUMIFS(RM_PM_Quantity[Quantity],RM_PM_Quantity[Date],BJ$1,RM_PM_Quantity[Location],$D15,RM_PM_Quantity[Section],$C15,RM_PM_Quantity[RM Name],$E15)+IF($D15="MIND/Pre-Production",SUMIFS(RM_PM_Quantity[Quantity],RM_PM_Quantity[Date],BJ$1,RM_PM_Quantity[Location],"MIDC/Pre-Production",RM_PM_Quantity[Section],$C15,RM_PM_Quantity[RM Name],$E15),0)</f>
        <v>0</v>
      </c>
      <c r="BK15" s="84">
        <f>SUMIFS(RM_PM_Quantity[Quantity],RM_PM_Quantity[Date],BK$1,RM_PM_Quantity[Location],$D15,RM_PM_Quantity[Section],$C15,RM_PM_Quantity[RM Name],$E15)+IF($D15="MIND/Pre-Production",SUMIFS(RM_PM_Quantity[Quantity],RM_PM_Quantity[Date],BK$1,RM_PM_Quantity[Location],"MIDC/Pre-Production",RM_PM_Quantity[Section],$C15,RM_PM_Quantity[RM Name],$E15),0)</f>
        <v>0</v>
      </c>
      <c r="BL15" s="84">
        <f>SUMIFS(RM_PM_Quantity[Quantity],RM_PM_Quantity[Date],BL$1,RM_PM_Quantity[Location],$D15,RM_PM_Quantity[Section],$C15,RM_PM_Quantity[RM Name],$E15)+IF($D15="MIND/Pre-Production",SUMIFS(RM_PM_Quantity[Quantity],RM_PM_Quantity[Date],BL$1,RM_PM_Quantity[Location],"MIDC/Pre-Production",RM_PM_Quantity[Section],$C15,RM_PM_Quantity[RM Name],$E15),0)</f>
        <v>0</v>
      </c>
      <c r="BM15" s="84">
        <f>SUMIFS(RM_PM_Quantity[Quantity],RM_PM_Quantity[Date],BM$1,RM_PM_Quantity[Location],$D15,RM_PM_Quantity[Section],$C15,RM_PM_Quantity[RM Name],$E15)+IF($D15="MIND/Pre-Production",SUMIFS(RM_PM_Quantity[Quantity],RM_PM_Quantity[Date],BM$1,RM_PM_Quantity[Location],"MIDC/Pre-Production",RM_PM_Quantity[Section],$C15,RM_PM_Quantity[RM Name],$E15),0)</f>
        <v>0</v>
      </c>
      <c r="BN15" s="84">
        <f>SUMIFS(RM_PM_Quantity[Quantity],RM_PM_Quantity[Date],BN$1,RM_PM_Quantity[Location],$D15,RM_PM_Quantity[Section],$C15,RM_PM_Quantity[RM Name],$E15)+IF($D15="MIND/Pre-Production",SUMIFS(RM_PM_Quantity[Quantity],RM_PM_Quantity[Date],BN$1,RM_PM_Quantity[Location],"MIDC/Pre-Production",RM_PM_Quantity[Section],$C15,RM_PM_Quantity[RM Name],$E15),0)</f>
        <v>0</v>
      </c>
      <c r="BO15" s="84">
        <f>SUMIFS(RM_PM_Quantity[Quantity],RM_PM_Quantity[Date],BO$1,RM_PM_Quantity[Location],$D15,RM_PM_Quantity[Section],$C15,RM_PM_Quantity[RM Name],$E15)+IF($D15="MIND/Pre-Production",SUMIFS(RM_PM_Quantity[Quantity],RM_PM_Quantity[Date],BO$1,RM_PM_Quantity[Location],"MIDC/Pre-Production",RM_PM_Quantity[Section],$C15,RM_PM_Quantity[RM Name],$E15),0)</f>
        <v>0</v>
      </c>
      <c r="BP15" s="84">
        <f>SUMIFS(RM_PM_Quantity[Quantity],RM_PM_Quantity[Date],BP$1,RM_PM_Quantity[Location],$D15,RM_PM_Quantity[Section],$C15,RM_PM_Quantity[RM Name],$E15)+IF($D15="MIND/Pre-Production",SUMIFS(RM_PM_Quantity[Quantity],RM_PM_Quantity[Date],BP$1,RM_PM_Quantity[Location],"MIDC/Pre-Production",RM_PM_Quantity[Section],$C15,RM_PM_Quantity[RM Name],$E15),0)</f>
        <v>0</v>
      </c>
      <c r="BQ15" s="84">
        <f>SUMIFS(RM_PM_Quantity[Quantity],RM_PM_Quantity[Date],BQ$1,RM_PM_Quantity[Location],$D15,RM_PM_Quantity[Section],$C15,RM_PM_Quantity[RM Name],$E15)+IF($D15="MIND/Pre-Production",SUMIFS(RM_PM_Quantity[Quantity],RM_PM_Quantity[Date],BQ$1,RM_PM_Quantity[Location],"MIDC/Pre-Production",RM_PM_Quantity[Section],$C15,RM_PM_Quantity[RM Name],$E15),0)</f>
        <v>0</v>
      </c>
      <c r="BR15" s="84">
        <f>SUMIFS(RM_PM_Quantity[Quantity],RM_PM_Quantity[Date],BR$1,RM_PM_Quantity[Location],$D15,RM_PM_Quantity[Section],$C15,RM_PM_Quantity[RM Name],$E15)+IF($D15="MIND/Pre-Production",SUMIFS(RM_PM_Quantity[Quantity],RM_PM_Quantity[Date],BR$1,RM_PM_Quantity[Location],"MIDC/Pre-Production",RM_PM_Quantity[Section],$C15,RM_PM_Quantity[RM Name],$E15),0)</f>
        <v>0</v>
      </c>
      <c r="BS15" s="84">
        <f>SUMIFS(RM_PM_Quantity[Quantity],RM_PM_Quantity[Date],BS$1,RM_PM_Quantity[Location],$D15,RM_PM_Quantity[Section],$C15,RM_PM_Quantity[RM Name],$E15)+IF($D15="MIND/Pre-Production",SUMIFS(RM_PM_Quantity[Quantity],RM_PM_Quantity[Date],BS$1,RM_PM_Quantity[Location],"MIDC/Pre-Production",RM_PM_Quantity[Section],$C15,RM_PM_Quantity[RM Name],$E15),0)</f>
        <v>0</v>
      </c>
      <c r="BT15" s="84">
        <f>SUMIFS(RM_PM_Quantity[ID],RM_PM_Quantity[Location],BT$1,RM_PM_Quantity[Section],$D15,RM_PM_Quantity[RM Name],$C15,RM_PM_Quantity[Quantity],$E15)+IF($D15="MIND/Pre-Production",SUMIFS(RM_PM_Quantity[ID],RM_PM_Quantity[Location],BT$1,RM_PM_Quantity[Section],"MIDC/Pre-Production",RM_PM_Quantity[RM Name],$C15,RM_PM_Quantity[Quantity],$E15),0)</f>
        <v>0</v>
      </c>
      <c r="BU15" s="84">
        <f>SUMIFS(RM_PM_Quantity[Name of Supervisor],RM_PM_Quantity[Section],BU$1,RM_PM_Quantity[RM Name],$D15,RM_PM_Quantity[Quantity],$C15,RM_PM_Quantity[ID],$E15)+IF($D15="MIND/Pre-Production",SUMIFS(RM_PM_Quantity[Name of Supervisor],RM_PM_Quantity[Section],BU$1,RM_PM_Quantity[RM Name],"MIDC/Pre-Production",RM_PM_Quantity[Quantity],$C15,RM_PM_Quantity[ID],$E15),0)</f>
        <v>0</v>
      </c>
      <c r="BV15" s="84">
        <f>SUMIFS(RM_PM_Quantity[Date],RM_PM_Quantity[RM Name],BV$1,RM_PM_Quantity[Quantity],$D15,RM_PM_Quantity[ID],$C15,RM_PM_Quantity[Name of Supervisor],$E15)+IF($D15="MIND/Pre-Production",SUMIFS(RM_PM_Quantity[Date],RM_PM_Quantity[RM Name],BV$1,RM_PM_Quantity[Quantity],"MIDC/Pre-Production",RM_PM_Quantity[ID],$C15,RM_PM_Quantity[Name of Supervisor],$E15),0)</f>
        <v>0</v>
      </c>
      <c r="BW15" s="84">
        <f>SUMIFS(RM_PM_Quantity[Location],RM_PM_Quantity[Quantity],BW$1,RM_PM_Quantity[ID],$D15,RM_PM_Quantity[Name of Supervisor],$C15,RM_PM_Quantity[Date],$E15)+IF($D15="MIND/Pre-Production",SUMIFS(RM_PM_Quantity[Location],RM_PM_Quantity[Quantity],BW$1,RM_PM_Quantity[ID],"MIDC/Pre-Production",RM_PM_Quantity[Name of Supervisor],$C15,RM_PM_Quantity[Date],$E15),0)</f>
        <v>0</v>
      </c>
      <c r="BX15" s="84">
        <f>SUMIFS(RM_PM_Quantity[Section],RM_PM_Quantity[ID],BX$1,RM_PM_Quantity[Name of Supervisor],$D15,RM_PM_Quantity[Date],$C15,RM_PM_Quantity[Location],$E15)+IF($D15="MIND/Pre-Production",SUMIFS(RM_PM_Quantity[Section],RM_PM_Quantity[ID],BX$1,RM_PM_Quantity[Name of Supervisor],"MIDC/Pre-Production",RM_PM_Quantity[Date],$C15,RM_PM_Quantity[Location],$E15),0)</f>
        <v>0</v>
      </c>
      <c r="BY15" s="84">
        <f>SUMIFS(RM_PM_Quantity[RM Name],RM_PM_Quantity[Name of Supervisor],BY$1,RM_PM_Quantity[Date],$D15,RM_PM_Quantity[Location],$C15,RM_PM_Quantity[Section],$E15)+IF($D15="MIND/Pre-Production",SUMIFS(RM_PM_Quantity[RM Name],RM_PM_Quantity[Name of Supervisor],BY$1,RM_PM_Quantity[Date],"MIDC/Pre-Production",RM_PM_Quantity[Location],$C15,RM_PM_Quantity[Section],$E15),0)</f>
        <v>0</v>
      </c>
    </row>
    <row r="16" spans="1:77" ht="45.75" customHeight="1">
      <c r="A16" s="79">
        <v>15</v>
      </c>
      <c r="B16" s="79" t="s">
        <v>84</v>
      </c>
      <c r="C16" s="80" t="s">
        <v>67</v>
      </c>
      <c r="D16" s="81" t="s">
        <v>68</v>
      </c>
      <c r="E16" s="82" t="s">
        <v>85</v>
      </c>
      <c r="F16" s="83" t="str">
        <f>IFERROR(_xlfn.XLOOKUP(B16,'[1]RM Tracker'!B:B,'[1]RM Tracker'!E:E),"0")</f>
        <v>0</v>
      </c>
      <c r="G16" s="85">
        <f t="shared" si="2"/>
        <v>0</v>
      </c>
      <c r="H16" s="85">
        <f t="shared" si="0"/>
        <v>0</v>
      </c>
      <c r="I16" s="91">
        <f t="shared" si="1"/>
        <v>0</v>
      </c>
      <c r="J16" s="84">
        <f>SUMIFS(RM_PM_Quantity[Quantity],RM_PM_Quantity[Date],J$1,RM_PM_Quantity[Location],$D16,RM_PM_Quantity[Section],$C16,RM_PM_Quantity[RM Name],$E16)+IF($D16="MIND/Pre-Production",SUMIFS(RM_PM_Quantity[Quantity],RM_PM_Quantity[Date],J$1,RM_PM_Quantity[Location],"MIDC/Pre-Production",RM_PM_Quantity[Section],$C16,RM_PM_Quantity[RM Name],$E16),0)</f>
        <v>0</v>
      </c>
      <c r="K16" s="84">
        <f>SUMIFS(RM_PM_Quantity[Quantity],RM_PM_Quantity[Date],K$1,RM_PM_Quantity[Location],$D16,RM_PM_Quantity[Section],$C16,RM_PM_Quantity[RM Name],$E16)+IF($D16="MIND/Pre-Production",SUMIFS(RM_PM_Quantity[Quantity],RM_PM_Quantity[Date],K$1,RM_PM_Quantity[Location],"MIDC/Pre-Production",RM_PM_Quantity[Section],$C16,RM_PM_Quantity[RM Name],$E16),0)</f>
        <v>0</v>
      </c>
      <c r="L16" s="84">
        <f>SUMIFS(RM_PM_Quantity[Quantity],RM_PM_Quantity[Date],L$1,RM_PM_Quantity[Location],$D16,RM_PM_Quantity[Section],$C16,RM_PM_Quantity[RM Name],$E16)+IF($D16="MIND/Pre-Production",SUMIFS(RM_PM_Quantity[Quantity],RM_PM_Quantity[Date],L$1,RM_PM_Quantity[Location],"MIDC/Pre-Production",RM_PM_Quantity[Section],$C16,RM_PM_Quantity[RM Name],$E16),0)</f>
        <v>0</v>
      </c>
      <c r="M16" s="84">
        <f>SUMIFS(RM_PM_Quantity[Quantity],RM_PM_Quantity[Date],M$1,RM_PM_Quantity[Location],$D16,RM_PM_Quantity[Section],$C16,RM_PM_Quantity[RM Name],$E16)+IF($D16="MIND/Pre-Production",SUMIFS(RM_PM_Quantity[Quantity],RM_PM_Quantity[Date],M$1,RM_PM_Quantity[Location],"MIDC/Pre-Production",RM_PM_Quantity[Section],$C16,RM_PM_Quantity[RM Name],$E16),0)</f>
        <v>0</v>
      </c>
      <c r="N16" s="84">
        <f>SUMIFS(RM_PM_Quantity[Quantity],RM_PM_Quantity[Date],N$1,RM_PM_Quantity[Location],$D16,RM_PM_Quantity[Section],$C16,RM_PM_Quantity[RM Name],$E16)+IF($D16="MIND/Pre-Production",SUMIFS(RM_PM_Quantity[Quantity],RM_PM_Quantity[Date],N$1,RM_PM_Quantity[Location],"MIDC/Pre-Production",RM_PM_Quantity[Section],$C16,RM_PM_Quantity[RM Name],$E16),0)</f>
        <v>0</v>
      </c>
      <c r="O16" s="84">
        <f>SUMIFS(RM_PM_Quantity[Quantity],RM_PM_Quantity[Date],O$1,RM_PM_Quantity[Location],$D16,RM_PM_Quantity[Section],$C16,RM_PM_Quantity[RM Name],$E16)+IF($D16="MIND/Pre-Production",SUMIFS(RM_PM_Quantity[Quantity],RM_PM_Quantity[Date],O$1,RM_PM_Quantity[Location],"MIDC/Pre-Production",RM_PM_Quantity[Section],$C16,RM_PM_Quantity[RM Name],$E16),0)</f>
        <v>0</v>
      </c>
      <c r="P16" s="84">
        <f>SUMIFS(RM_PM_Quantity[Quantity],RM_PM_Quantity[Date],P$1,RM_PM_Quantity[Location],$D16,RM_PM_Quantity[Section],$C16,RM_PM_Quantity[RM Name],$E16)+IF($D16="MIND/Pre-Production",SUMIFS(RM_PM_Quantity[Quantity],RM_PM_Quantity[Date],P$1,RM_PM_Quantity[Location],"MIDC/Pre-Production",RM_PM_Quantity[Section],$C16,RM_PM_Quantity[RM Name],$E16),0)</f>
        <v>0</v>
      </c>
      <c r="Q16" s="84">
        <f>SUMIFS(RM_PM_Quantity[Quantity],RM_PM_Quantity[Date],Q$1,RM_PM_Quantity[Location],$D16,RM_PM_Quantity[Section],$C16,RM_PM_Quantity[RM Name],$E16)+IF($D16="MIND/Pre-Production",SUMIFS(RM_PM_Quantity[Quantity],RM_PM_Quantity[Date],Q$1,RM_PM_Quantity[Location],"MIDC/Pre-Production",RM_PM_Quantity[Section],$C16,RM_PM_Quantity[RM Name],$E16),0)</f>
        <v>0</v>
      </c>
      <c r="R16" s="84">
        <f>SUMIFS(RM_PM_Quantity[Quantity],RM_PM_Quantity[Date],R$1,RM_PM_Quantity[Location],$D16,RM_PM_Quantity[Section],$C16,RM_PM_Quantity[RM Name],$E16)+IF($D16="MIND/Pre-Production",SUMIFS(RM_PM_Quantity[Quantity],RM_PM_Quantity[Date],R$1,RM_PM_Quantity[Location],"MIDC/Pre-Production",RM_PM_Quantity[Section],$C16,RM_PM_Quantity[RM Name],$E16),0)</f>
        <v>0</v>
      </c>
      <c r="S16" s="84">
        <f>SUMIFS(RM_PM_Quantity[Quantity],RM_PM_Quantity[Date],S$1,RM_PM_Quantity[Location],$D16,RM_PM_Quantity[Section],$C16,RM_PM_Quantity[RM Name],$E16)+IF($D16="MIND/Pre-Production",SUMIFS(RM_PM_Quantity[Quantity],RM_PM_Quantity[Date],S$1,RM_PM_Quantity[Location],"MIDC/Pre-Production",RM_PM_Quantity[Section],$C16,RM_PM_Quantity[RM Name],$E16),0)</f>
        <v>0</v>
      </c>
      <c r="T16" s="84">
        <f>SUMIFS(RM_PM_Quantity[Quantity],RM_PM_Quantity[Date],T$1,RM_PM_Quantity[Location],$D16,RM_PM_Quantity[Section],$C16,RM_PM_Quantity[RM Name],$E16)+IF($D16="MIND/Pre-Production",SUMIFS(RM_PM_Quantity[Quantity],RM_PM_Quantity[Date],T$1,RM_PM_Quantity[Location],"MIDC/Pre-Production",RM_PM_Quantity[Section],$C16,RM_PM_Quantity[RM Name],$E16),0)</f>
        <v>0</v>
      </c>
      <c r="U16" s="84">
        <f>SUMIFS(RM_PM_Quantity[Quantity],RM_PM_Quantity[Date],U$1,RM_PM_Quantity[Location],$D16,RM_PM_Quantity[Section],$C16,RM_PM_Quantity[RM Name],$E16)+IF($D16="MIND/Pre-Production",SUMIFS(RM_PM_Quantity[Quantity],RM_PM_Quantity[Date],U$1,RM_PM_Quantity[Location],"MIDC/Pre-Production",RM_PM_Quantity[Section],$C16,RM_PM_Quantity[RM Name],$E16),0)</f>
        <v>0</v>
      </c>
      <c r="V16" s="84">
        <f>SUMIFS(RM_PM_Quantity[Quantity],RM_PM_Quantity[Date],V$1,RM_PM_Quantity[Location],$D16,RM_PM_Quantity[Section],$C16,RM_PM_Quantity[RM Name],$E16)+IF($D16="MIND/Pre-Production",SUMIFS(RM_PM_Quantity[Quantity],RM_PM_Quantity[Date],V$1,RM_PM_Quantity[Location],"MIDC/Pre-Production",RM_PM_Quantity[Section],$C16,RM_PM_Quantity[RM Name],$E16),0)</f>
        <v>0</v>
      </c>
      <c r="W16" s="84">
        <f>SUMIFS(RM_PM_Quantity[Quantity],RM_PM_Quantity[Date],W$1,RM_PM_Quantity[Location],$D16,RM_PM_Quantity[Section],$C16,RM_PM_Quantity[RM Name],$E16)+IF($D16="MIND/Pre-Production",SUMIFS(RM_PM_Quantity[Quantity],RM_PM_Quantity[Date],W$1,RM_PM_Quantity[Location],"MIDC/Pre-Production",RM_PM_Quantity[Section],$C16,RM_PM_Quantity[RM Name],$E16),0)</f>
        <v>0</v>
      </c>
      <c r="X16" s="84">
        <f>SUMIFS(RM_PM_Quantity[Quantity],RM_PM_Quantity[Date],X$1,RM_PM_Quantity[Location],$D16,RM_PM_Quantity[Section],$C16,RM_PM_Quantity[RM Name],$E16)+IF($D16="MIND/Pre-Production",SUMIFS(RM_PM_Quantity[Quantity],RM_PM_Quantity[Date],X$1,RM_PM_Quantity[Location],"MIDC/Pre-Production",RM_PM_Quantity[Section],$C16,RM_PM_Quantity[RM Name],$E16),0)</f>
        <v>0</v>
      </c>
      <c r="Y16" s="84">
        <f>SUMIFS(RM_PM_Quantity[Quantity],RM_PM_Quantity[Date],Y$1,RM_PM_Quantity[Location],$D16,RM_PM_Quantity[Section],$C16,RM_PM_Quantity[RM Name],$E16)+IF($D16="MIND/Pre-Production",SUMIFS(RM_PM_Quantity[Quantity],RM_PM_Quantity[Date],Y$1,RM_PM_Quantity[Location],"MIDC/Pre-Production",RM_PM_Quantity[Section],$C16,RM_PM_Quantity[RM Name],$E16),0)</f>
        <v>0</v>
      </c>
      <c r="Z16" s="84">
        <f>SUMIFS(RM_PM_Quantity[Quantity],RM_PM_Quantity[Date],Z$1,RM_PM_Quantity[Location],$D16,RM_PM_Quantity[Section],$C16,RM_PM_Quantity[RM Name],$E16)+IF($D16="MIND/Pre-Production",SUMIFS(RM_PM_Quantity[Quantity],RM_PM_Quantity[Date],Z$1,RM_PM_Quantity[Location],"MIDC/Pre-Production",RM_PM_Quantity[Section],$C16,RM_PM_Quantity[RM Name],$E16),0)</f>
        <v>0</v>
      </c>
      <c r="AA16" s="84">
        <f>SUMIFS(RM_PM_Quantity[Quantity],RM_PM_Quantity[Date],AA$1,RM_PM_Quantity[Location],$D16,RM_PM_Quantity[Section],$C16,RM_PM_Quantity[RM Name],$E16)+IF($D16="MIND/Pre-Production",SUMIFS(RM_PM_Quantity[Quantity],RM_PM_Quantity[Date],AA$1,RM_PM_Quantity[Location],"MIDC/Pre-Production",RM_PM_Quantity[Section],$C16,RM_PM_Quantity[RM Name],$E16),0)</f>
        <v>0</v>
      </c>
      <c r="AB16" s="84">
        <f>SUMIFS(RM_PM_Quantity[Quantity],RM_PM_Quantity[Date],AB$1,RM_PM_Quantity[Location],$D16,RM_PM_Quantity[Section],$C16,RM_PM_Quantity[RM Name],$E16)+IF($D16="MIND/Pre-Production",SUMIFS(RM_PM_Quantity[Quantity],RM_PM_Quantity[Date],AB$1,RM_PM_Quantity[Location],"MIDC/Pre-Production",RM_PM_Quantity[Section],$C16,RM_PM_Quantity[RM Name],$E16),0)</f>
        <v>0</v>
      </c>
      <c r="AC16" s="84">
        <f>SUMIFS(RM_PM_Quantity[Quantity],RM_PM_Quantity[Date],AC$1,RM_PM_Quantity[Location],$D16,RM_PM_Quantity[Section],$C16,RM_PM_Quantity[RM Name],$E16)+IF($D16="MIND/Pre-Production",SUMIFS(RM_PM_Quantity[Quantity],RM_PM_Quantity[Date],AC$1,RM_PM_Quantity[Location],"MIDC/Pre-Production",RM_PM_Quantity[Section],$C16,RM_PM_Quantity[RM Name],$E16),0)</f>
        <v>0</v>
      </c>
      <c r="AD16" s="84">
        <f>SUMIFS(RM_PM_Quantity[Quantity],RM_PM_Quantity[Date],AD$1,RM_PM_Quantity[Location],$D16,RM_PM_Quantity[Section],$C16,RM_PM_Quantity[RM Name],$E16)+IF($D16="MIND/Pre-Production",SUMIFS(RM_PM_Quantity[Quantity],RM_PM_Quantity[Date],AD$1,RM_PM_Quantity[Location],"MIDC/Pre-Production",RM_PM_Quantity[Section],$C16,RM_PM_Quantity[RM Name],$E16),0)</f>
        <v>0</v>
      </c>
      <c r="AE16" s="84">
        <f>SUMIFS(RM_PM_Quantity[Quantity],RM_PM_Quantity[Date],AE$1,RM_PM_Quantity[Location],$D16,RM_PM_Quantity[Section],$C16,RM_PM_Quantity[RM Name],$E16)+IF($D16="MIND/Pre-Production",SUMIFS(RM_PM_Quantity[Quantity],RM_PM_Quantity[Date],AE$1,RM_PM_Quantity[Location],"MIDC/Pre-Production",RM_PM_Quantity[Section],$C16,RM_PM_Quantity[RM Name],$E16),0)</f>
        <v>0</v>
      </c>
      <c r="AF16" s="84">
        <f>SUMIFS(RM_PM_Quantity[Quantity],RM_PM_Quantity[Date],AF$1,RM_PM_Quantity[Location],$D16,RM_PM_Quantity[Section],$C16,RM_PM_Quantity[RM Name],$E16)+IF($D16="MIND/Pre-Production",SUMIFS(RM_PM_Quantity[Quantity],RM_PM_Quantity[Date],AF$1,RM_PM_Quantity[Location],"MIDC/Pre-Production",RM_PM_Quantity[Section],$C16,RM_PM_Quantity[RM Name],$E16),0)</f>
        <v>0</v>
      </c>
      <c r="AG16" s="84">
        <f>SUMIFS(RM_PM_Quantity[Quantity],RM_PM_Quantity[Date],AG$1,RM_PM_Quantity[Location],$D16,RM_PM_Quantity[Section],$C16,RM_PM_Quantity[RM Name],$E16)+IF($D16="MIND/Pre-Production",SUMIFS(RM_PM_Quantity[Quantity],RM_PM_Quantity[Date],AG$1,RM_PM_Quantity[Location],"MIDC/Pre-Production",RM_PM_Quantity[Section],$C16,RM_PM_Quantity[RM Name],$E16),0)</f>
        <v>0</v>
      </c>
      <c r="AH16" s="84">
        <f>SUMIFS(RM_PM_Quantity[Quantity],RM_PM_Quantity[Date],AH$1,RM_PM_Quantity[Location],$D16,RM_PM_Quantity[Section],$C16,RM_PM_Quantity[RM Name],$E16)+IF($D16="MIND/Pre-Production",SUMIFS(RM_PM_Quantity[Quantity],RM_PM_Quantity[Date],AH$1,RM_PM_Quantity[Location],"MIDC/Pre-Production",RM_PM_Quantity[Section],$C16,RM_PM_Quantity[RM Name],$E16),0)</f>
        <v>0</v>
      </c>
      <c r="AI16" s="84">
        <f>SUMIFS(RM_PM_Quantity[Quantity],RM_PM_Quantity[Date],AI$1,RM_PM_Quantity[Location],$D16,RM_PM_Quantity[Section],$C16,RM_PM_Quantity[RM Name],$E16)+IF($D16="MIND/Pre-Production",SUMIFS(RM_PM_Quantity[Quantity],RM_PM_Quantity[Date],AI$1,RM_PM_Quantity[Location],"MIDC/Pre-Production",RM_PM_Quantity[Section],$C16,RM_PM_Quantity[RM Name],$E16),0)</f>
        <v>0</v>
      </c>
      <c r="AJ16" s="84">
        <f>SUMIFS(RM_PM_Quantity[Quantity],RM_PM_Quantity[Date],AJ$1,RM_PM_Quantity[Location],$D16,RM_PM_Quantity[Section],$C16,RM_PM_Quantity[RM Name],$E16)+IF($D16="MIND/Pre-Production",SUMIFS(RM_PM_Quantity[Quantity],RM_PM_Quantity[Date],AJ$1,RM_PM_Quantity[Location],"MIDC/Pre-Production",RM_PM_Quantity[Section],$C16,RM_PM_Quantity[RM Name],$E16),0)</f>
        <v>0</v>
      </c>
      <c r="AK16" s="84">
        <f>SUMIFS(RM_PM_Quantity[Quantity],RM_PM_Quantity[Date],AK$1,RM_PM_Quantity[Location],$D16,RM_PM_Quantity[Section],$C16,RM_PM_Quantity[RM Name],$E16)+IF($D16="MIND/Pre-Production",SUMIFS(RM_PM_Quantity[Quantity],RM_PM_Quantity[Date],AK$1,RM_PM_Quantity[Location],"MIDC/Pre-Production",RM_PM_Quantity[Section],$C16,RM_PM_Quantity[RM Name],$E16),0)</f>
        <v>0</v>
      </c>
      <c r="AL16" s="84">
        <f>SUMIFS(RM_PM_Quantity[Quantity],RM_PM_Quantity[Date],AL$1,RM_PM_Quantity[Location],$D16,RM_PM_Quantity[Section],$C16,RM_PM_Quantity[RM Name],$E16)+IF($D16="MIND/Pre-Production",SUMIFS(RM_PM_Quantity[Quantity],RM_PM_Quantity[Date],AL$1,RM_PM_Quantity[Location],"MIDC/Pre-Production",RM_PM_Quantity[Section],$C16,RM_PM_Quantity[RM Name],$E16),0)</f>
        <v>0</v>
      </c>
      <c r="AM16" s="84">
        <f>SUMIFS(RM_PM_Quantity[Quantity],RM_PM_Quantity[Date],AM$1,RM_PM_Quantity[Location],$D16,RM_PM_Quantity[Section],$C16,RM_PM_Quantity[RM Name],$E16)+IF($D16="MIND/Pre-Production",SUMIFS(RM_PM_Quantity[Quantity],RM_PM_Quantity[Date],AM$1,RM_PM_Quantity[Location],"MIDC/Pre-Production",RM_PM_Quantity[Section],$C16,RM_PM_Quantity[RM Name],$E16),0)</f>
        <v>0</v>
      </c>
      <c r="AN16" s="84">
        <f>SUMIFS(RM_PM_Quantity[Quantity],RM_PM_Quantity[Date],AN$1,RM_PM_Quantity[Location],$D16,RM_PM_Quantity[Section],$C16,RM_PM_Quantity[RM Name],$E16)+IF($D16="MIND/Pre-Production",SUMIFS(RM_PM_Quantity[Quantity],RM_PM_Quantity[Date],AN$1,RM_PM_Quantity[Location],"MIDC/Pre-Production",RM_PM_Quantity[Section],$C16,RM_PM_Quantity[RM Name],$E16),0)</f>
        <v>0</v>
      </c>
      <c r="AO16" s="84">
        <f>SUMIFS(RM_PM_Quantity[Quantity],RM_PM_Quantity[Date],AO$1,RM_PM_Quantity[Location],$D16,RM_PM_Quantity[Section],$C16,RM_PM_Quantity[RM Name],$E16)+IF($D16="MIND/Pre-Production",SUMIFS(RM_PM_Quantity[Quantity],RM_PM_Quantity[Date],AO$1,RM_PM_Quantity[Location],"MIDC/Pre-Production",RM_PM_Quantity[Section],$C16,RM_PM_Quantity[RM Name],$E16),0)</f>
        <v>0</v>
      </c>
      <c r="AP16" s="84">
        <f>SUMIFS(RM_PM_Quantity[Quantity],RM_PM_Quantity[Date],AP$1,RM_PM_Quantity[Location],$D16,RM_PM_Quantity[Section],$C16,RM_PM_Quantity[RM Name],$E16)+IF($D16="MIND/Pre-Production",SUMIFS(RM_PM_Quantity[Quantity],RM_PM_Quantity[Date],AP$1,RM_PM_Quantity[Location],"MIDC/Pre-Production",RM_PM_Quantity[Section],$C16,RM_PM_Quantity[RM Name],$E16),0)</f>
        <v>0</v>
      </c>
      <c r="AQ16" s="84">
        <f>SUMIFS(RM_PM_Quantity[Quantity],RM_PM_Quantity[Date],AQ$1,RM_PM_Quantity[Location],$D16,RM_PM_Quantity[Section],$C16,RM_PM_Quantity[RM Name],$E16)+IF($D16="MIND/Pre-Production",SUMIFS(RM_PM_Quantity[Quantity],RM_PM_Quantity[Date],AQ$1,RM_PM_Quantity[Location],"MIDC/Pre-Production",RM_PM_Quantity[Section],$C16,RM_PM_Quantity[RM Name],$E16),0)</f>
        <v>0</v>
      </c>
      <c r="AR16" s="84">
        <f>SUMIFS(RM_PM_Quantity[Quantity],RM_PM_Quantity[Date],AR$1,RM_PM_Quantity[Location],$D16,RM_PM_Quantity[Section],$C16,RM_PM_Quantity[RM Name],$E16)+IF($D16="MIND/Pre-Production",SUMIFS(RM_PM_Quantity[Quantity],RM_PM_Quantity[Date],AR$1,RM_PM_Quantity[Location],"MIDC/Pre-Production",RM_PM_Quantity[Section],$C16,RM_PM_Quantity[RM Name],$E16),0)</f>
        <v>0</v>
      </c>
      <c r="AS16" s="84">
        <f>SUMIFS(RM_PM_Quantity[Quantity],RM_PM_Quantity[Date],AS$1,RM_PM_Quantity[Location],$D16,RM_PM_Quantity[Section],$C16,RM_PM_Quantity[RM Name],$E16)+IF($D16="MIND/Pre-Production",SUMIFS(RM_PM_Quantity[Quantity],RM_PM_Quantity[Date],AS$1,RM_PM_Quantity[Location],"MIDC/Pre-Production",RM_PM_Quantity[Section],$C16,RM_PM_Quantity[RM Name],$E16),0)</f>
        <v>0</v>
      </c>
      <c r="AT16" s="84">
        <f>SUMIFS(RM_PM_Quantity[Quantity],RM_PM_Quantity[Date],AT$1,RM_PM_Quantity[Location],$D16,RM_PM_Quantity[Section],$C16,RM_PM_Quantity[RM Name],$E16)+IF($D16="MIND/Pre-Production",SUMIFS(RM_PM_Quantity[Quantity],RM_PM_Quantity[Date],AT$1,RM_PM_Quantity[Location],"MIDC/Pre-Production",RM_PM_Quantity[Section],$C16,RM_PM_Quantity[RM Name],$E16),0)</f>
        <v>0</v>
      </c>
      <c r="AU16" s="84">
        <f>SUMIFS(RM_PM_Quantity[Quantity],RM_PM_Quantity[Date],AU$1,RM_PM_Quantity[Location],$D16,RM_PM_Quantity[Section],$C16,RM_PM_Quantity[RM Name],$E16)+IF($D16="MIND/Pre-Production",SUMIFS(RM_PM_Quantity[Quantity],RM_PM_Quantity[Date],AU$1,RM_PM_Quantity[Location],"MIDC/Pre-Production",RM_PM_Quantity[Section],$C16,RM_PM_Quantity[RM Name],$E16),0)</f>
        <v>0</v>
      </c>
      <c r="AV16" s="84">
        <f>SUMIFS(RM_PM_Quantity[Quantity],RM_PM_Quantity[Date],AV$1,RM_PM_Quantity[Location],$D16,RM_PM_Quantity[Section],$C16,RM_PM_Quantity[RM Name],$E16)+IF($D16="MIND/Pre-Production",SUMIFS(RM_PM_Quantity[Quantity],RM_PM_Quantity[Date],AV$1,RM_PM_Quantity[Location],"MIDC/Pre-Production",RM_PM_Quantity[Section],$C16,RM_PM_Quantity[RM Name],$E16),0)</f>
        <v>0</v>
      </c>
      <c r="AW16" s="84">
        <f>SUMIFS(RM_PM_Quantity[Quantity],RM_PM_Quantity[Date],AW$1,RM_PM_Quantity[Location],$D16,RM_PM_Quantity[Section],$C16,RM_PM_Quantity[RM Name],$E16)+IF($D16="MIND/Pre-Production",SUMIFS(RM_PM_Quantity[Quantity],RM_PM_Quantity[Date],AW$1,RM_PM_Quantity[Location],"MIDC/Pre-Production",RM_PM_Quantity[Section],$C16,RM_PM_Quantity[RM Name],$E16),0)</f>
        <v>0</v>
      </c>
      <c r="AX16" s="84">
        <f>SUMIFS(RM_PM_Quantity[Quantity],RM_PM_Quantity[Date],AX$1,RM_PM_Quantity[Location],$D16,RM_PM_Quantity[Section],$C16,RM_PM_Quantity[RM Name],$E16)+IF($D16="MIND/Pre-Production",SUMIFS(RM_PM_Quantity[Quantity],RM_PM_Quantity[Date],AX$1,RM_PM_Quantity[Location],"MIDC/Pre-Production",RM_PM_Quantity[Section],$C16,RM_PM_Quantity[RM Name],$E16),0)</f>
        <v>0</v>
      </c>
      <c r="AY16" s="84">
        <f>SUMIFS(RM_PM_Quantity[Quantity],RM_PM_Quantity[Date],AY$1,RM_PM_Quantity[Location],$D16,RM_PM_Quantity[Section],$C16,RM_PM_Quantity[RM Name],$E16)+IF($D16="MIND/Pre-Production",SUMIFS(RM_PM_Quantity[Quantity],RM_PM_Quantity[Date],AY$1,RM_PM_Quantity[Location],"MIDC/Pre-Production",RM_PM_Quantity[Section],$C16,RM_PM_Quantity[RM Name],$E16),0)</f>
        <v>0</v>
      </c>
      <c r="AZ16" s="84">
        <f>SUMIFS(RM_PM_Quantity[Quantity],RM_PM_Quantity[Date],AZ$1,RM_PM_Quantity[Location],$D16,RM_PM_Quantity[Section],$C16,RM_PM_Quantity[RM Name],$E16)+IF($D16="MIND/Pre-Production",SUMIFS(RM_PM_Quantity[Quantity],RM_PM_Quantity[Date],AZ$1,RM_PM_Quantity[Location],"MIDC/Pre-Production",RM_PM_Quantity[Section],$C16,RM_PM_Quantity[RM Name],$E16),0)</f>
        <v>0</v>
      </c>
      <c r="BA16" s="84">
        <f>SUMIFS(RM_PM_Quantity[Quantity],RM_PM_Quantity[Date],BA$1,RM_PM_Quantity[Location],$D16,RM_PM_Quantity[Section],$C16,RM_PM_Quantity[RM Name],$E16)+IF($D16="MIND/Pre-Production",SUMIFS(RM_PM_Quantity[Quantity],RM_PM_Quantity[Date],BA$1,RM_PM_Quantity[Location],"MIDC/Pre-Production",RM_PM_Quantity[Section],$C16,RM_PM_Quantity[RM Name],$E16),0)</f>
        <v>0</v>
      </c>
      <c r="BB16" s="84">
        <f>SUMIFS(RM_PM_Quantity[Quantity],RM_PM_Quantity[Date],BB$1,RM_PM_Quantity[Location],$D16,RM_PM_Quantity[Section],$C16,RM_PM_Quantity[RM Name],$E16)+IF($D16="MIND/Pre-Production",SUMIFS(RM_PM_Quantity[Quantity],RM_PM_Quantity[Date],BB$1,RM_PM_Quantity[Location],"MIDC/Pre-Production",RM_PM_Quantity[Section],$C16,RM_PM_Quantity[RM Name],$E16),0)</f>
        <v>0</v>
      </c>
      <c r="BC16" s="84">
        <f>SUMIFS(RM_PM_Quantity[Quantity],RM_PM_Quantity[Date],BC$1,RM_PM_Quantity[Location],$D16,RM_PM_Quantity[Section],$C16,RM_PM_Quantity[RM Name],$E16)+IF($D16="MIND/Pre-Production",SUMIFS(RM_PM_Quantity[Quantity],RM_PM_Quantity[Date],BC$1,RM_PM_Quantity[Location],"MIDC/Pre-Production",RM_PM_Quantity[Section],$C16,RM_PM_Quantity[RM Name],$E16),0)</f>
        <v>0</v>
      </c>
      <c r="BD16" s="84">
        <f>SUMIFS(RM_PM_Quantity[Quantity],RM_PM_Quantity[Date],BD$1,RM_PM_Quantity[Location],$D16,RM_PM_Quantity[Section],$C16,RM_PM_Quantity[RM Name],$E16)+IF($D16="MIND/Pre-Production",SUMIFS(RM_PM_Quantity[Quantity],RM_PM_Quantity[Date],BD$1,RM_PM_Quantity[Location],"MIDC/Pre-Production",RM_PM_Quantity[Section],$C16,RM_PM_Quantity[RM Name],$E16),0)</f>
        <v>0</v>
      </c>
      <c r="BE16" s="84">
        <f>SUMIFS(RM_PM_Quantity[Quantity],RM_PM_Quantity[Date],BE$1,RM_PM_Quantity[Location],$D16,RM_PM_Quantity[Section],$C16,RM_PM_Quantity[RM Name],$E16)+IF($D16="MIND/Pre-Production",SUMIFS(RM_PM_Quantity[Quantity],RM_PM_Quantity[Date],BE$1,RM_PM_Quantity[Location],"MIDC/Pre-Production",RM_PM_Quantity[Section],$C16,RM_PM_Quantity[RM Name],$E16),0)</f>
        <v>0</v>
      </c>
      <c r="BF16" s="84">
        <f>SUMIFS(RM_PM_Quantity[Quantity],RM_PM_Quantity[Date],BF$1,RM_PM_Quantity[Location],$D16,RM_PM_Quantity[Section],$C16,RM_PM_Quantity[RM Name],$E16)+IF($D16="MIND/Pre-Production",SUMIFS(RM_PM_Quantity[Quantity],RM_PM_Quantity[Date],BF$1,RM_PM_Quantity[Location],"MIDC/Pre-Production",RM_PM_Quantity[Section],$C16,RM_PM_Quantity[RM Name],$E16),0)</f>
        <v>0</v>
      </c>
      <c r="BG16" s="84">
        <f>SUMIFS(RM_PM_Quantity[Quantity],RM_PM_Quantity[Date],BG$1,RM_PM_Quantity[Location],$D16,RM_PM_Quantity[Section],$C16,RM_PM_Quantity[RM Name],$E16)+IF($D16="MIND/Pre-Production",SUMIFS(RM_PM_Quantity[Quantity],RM_PM_Quantity[Date],BG$1,RM_PM_Quantity[Location],"MIDC/Pre-Production",RM_PM_Quantity[Section],$C16,RM_PM_Quantity[RM Name],$E16),0)</f>
        <v>0</v>
      </c>
      <c r="BH16" s="84">
        <f>SUMIFS(RM_PM_Quantity[Quantity],RM_PM_Quantity[Date],BH$1,RM_PM_Quantity[Location],$D16,RM_PM_Quantity[Section],$C16,RM_PM_Quantity[RM Name],$E16)+IF($D16="MIND/Pre-Production",SUMIFS(RM_PM_Quantity[Quantity],RM_PM_Quantity[Date],BH$1,RM_PM_Quantity[Location],"MIDC/Pre-Production",RM_PM_Quantity[Section],$C16,RM_PM_Quantity[RM Name],$E16),0)</f>
        <v>0</v>
      </c>
      <c r="BI16" s="84">
        <f>SUMIFS(RM_PM_Quantity[Quantity],RM_PM_Quantity[Date],BI$1,RM_PM_Quantity[Location],$D16,RM_PM_Quantity[Section],$C16,RM_PM_Quantity[RM Name],$E16)+IF($D16="MIND/Pre-Production",SUMIFS(RM_PM_Quantity[Quantity],RM_PM_Quantity[Date],BI$1,RM_PM_Quantity[Location],"MIDC/Pre-Production",RM_PM_Quantity[Section],$C16,RM_PM_Quantity[RM Name],$E16),0)</f>
        <v>0</v>
      </c>
      <c r="BJ16" s="84">
        <f>SUMIFS(RM_PM_Quantity[Quantity],RM_PM_Quantity[Date],BJ$1,RM_PM_Quantity[Location],$D16,RM_PM_Quantity[Section],$C16,RM_PM_Quantity[RM Name],$E16)+IF($D16="MIND/Pre-Production",SUMIFS(RM_PM_Quantity[Quantity],RM_PM_Quantity[Date],BJ$1,RM_PM_Quantity[Location],"MIDC/Pre-Production",RM_PM_Quantity[Section],$C16,RM_PM_Quantity[RM Name],$E16),0)</f>
        <v>0</v>
      </c>
      <c r="BK16" s="84">
        <f>SUMIFS(RM_PM_Quantity[Quantity],RM_PM_Quantity[Date],BK$1,RM_PM_Quantity[Location],$D16,RM_PM_Quantity[Section],$C16,RM_PM_Quantity[RM Name],$E16)+IF($D16="MIND/Pre-Production",SUMIFS(RM_PM_Quantity[Quantity],RM_PM_Quantity[Date],BK$1,RM_PM_Quantity[Location],"MIDC/Pre-Production",RM_PM_Quantity[Section],$C16,RM_PM_Quantity[RM Name],$E16),0)</f>
        <v>0</v>
      </c>
      <c r="BL16" s="84">
        <f>SUMIFS(RM_PM_Quantity[Quantity],RM_PM_Quantity[Date],BL$1,RM_PM_Quantity[Location],$D16,RM_PM_Quantity[Section],$C16,RM_PM_Quantity[RM Name],$E16)+IF($D16="MIND/Pre-Production",SUMIFS(RM_PM_Quantity[Quantity],RM_PM_Quantity[Date],BL$1,RM_PM_Quantity[Location],"MIDC/Pre-Production",RM_PM_Quantity[Section],$C16,RM_PM_Quantity[RM Name],$E16),0)</f>
        <v>0</v>
      </c>
      <c r="BM16" s="84">
        <f>SUMIFS(RM_PM_Quantity[Quantity],RM_PM_Quantity[Date],BM$1,RM_PM_Quantity[Location],$D16,RM_PM_Quantity[Section],$C16,RM_PM_Quantity[RM Name],$E16)+IF($D16="MIND/Pre-Production",SUMIFS(RM_PM_Quantity[Quantity],RM_PM_Quantity[Date],BM$1,RM_PM_Quantity[Location],"MIDC/Pre-Production",RM_PM_Quantity[Section],$C16,RM_PM_Quantity[RM Name],$E16),0)</f>
        <v>0</v>
      </c>
      <c r="BN16" s="84">
        <f>SUMIFS(RM_PM_Quantity[Quantity],RM_PM_Quantity[Date],BN$1,RM_PM_Quantity[Location],$D16,RM_PM_Quantity[Section],$C16,RM_PM_Quantity[RM Name],$E16)+IF($D16="MIND/Pre-Production",SUMIFS(RM_PM_Quantity[Quantity],RM_PM_Quantity[Date],BN$1,RM_PM_Quantity[Location],"MIDC/Pre-Production",RM_PM_Quantity[Section],$C16,RM_PM_Quantity[RM Name],$E16),0)</f>
        <v>0</v>
      </c>
      <c r="BO16" s="84">
        <f>SUMIFS(RM_PM_Quantity[Quantity],RM_PM_Quantity[Date],BO$1,RM_PM_Quantity[Location],$D16,RM_PM_Quantity[Section],$C16,RM_PM_Quantity[RM Name],$E16)+IF($D16="MIND/Pre-Production",SUMIFS(RM_PM_Quantity[Quantity],RM_PM_Quantity[Date],BO$1,RM_PM_Quantity[Location],"MIDC/Pre-Production",RM_PM_Quantity[Section],$C16,RM_PM_Quantity[RM Name],$E16),0)</f>
        <v>0</v>
      </c>
      <c r="BP16" s="84">
        <f>SUMIFS(RM_PM_Quantity[Quantity],RM_PM_Quantity[Date],BP$1,RM_PM_Quantity[Location],$D16,RM_PM_Quantity[Section],$C16,RM_PM_Quantity[RM Name],$E16)+IF($D16="MIND/Pre-Production",SUMIFS(RM_PM_Quantity[Quantity],RM_PM_Quantity[Date],BP$1,RM_PM_Quantity[Location],"MIDC/Pre-Production",RM_PM_Quantity[Section],$C16,RM_PM_Quantity[RM Name],$E16),0)</f>
        <v>0</v>
      </c>
      <c r="BQ16" s="84">
        <f>SUMIFS(RM_PM_Quantity[Quantity],RM_PM_Quantity[Date],BQ$1,RM_PM_Quantity[Location],$D16,RM_PM_Quantity[Section],$C16,RM_PM_Quantity[RM Name],$E16)+IF($D16="MIND/Pre-Production",SUMIFS(RM_PM_Quantity[Quantity],RM_PM_Quantity[Date],BQ$1,RM_PM_Quantity[Location],"MIDC/Pre-Production",RM_PM_Quantity[Section],$C16,RM_PM_Quantity[RM Name],$E16),0)</f>
        <v>0</v>
      </c>
      <c r="BR16" s="84">
        <f>SUMIFS(RM_PM_Quantity[Quantity],RM_PM_Quantity[Date],BR$1,RM_PM_Quantity[Location],$D16,RM_PM_Quantity[Section],$C16,RM_PM_Quantity[RM Name],$E16)+IF($D16="MIND/Pre-Production",SUMIFS(RM_PM_Quantity[Quantity],RM_PM_Quantity[Date],BR$1,RM_PM_Quantity[Location],"MIDC/Pre-Production",RM_PM_Quantity[Section],$C16,RM_PM_Quantity[RM Name],$E16),0)</f>
        <v>0</v>
      </c>
      <c r="BS16" s="84">
        <f>SUMIFS(RM_PM_Quantity[Quantity],RM_PM_Quantity[Date],BS$1,RM_PM_Quantity[Location],$D16,RM_PM_Quantity[Section],$C16,RM_PM_Quantity[RM Name],$E16)+IF($D16="MIND/Pre-Production",SUMIFS(RM_PM_Quantity[Quantity],RM_PM_Quantity[Date],BS$1,RM_PM_Quantity[Location],"MIDC/Pre-Production",RM_PM_Quantity[Section],$C16,RM_PM_Quantity[RM Name],$E16),0)</f>
        <v>0</v>
      </c>
      <c r="BT16" s="84">
        <f>SUMIFS(RM_PM_Quantity[ID],RM_PM_Quantity[Location],BT$1,RM_PM_Quantity[Section],$D16,RM_PM_Quantity[RM Name],$C16,RM_PM_Quantity[Quantity],$E16)+IF($D16="MIND/Pre-Production",SUMIFS(RM_PM_Quantity[ID],RM_PM_Quantity[Location],BT$1,RM_PM_Quantity[Section],"MIDC/Pre-Production",RM_PM_Quantity[RM Name],$C16,RM_PM_Quantity[Quantity],$E16),0)</f>
        <v>0</v>
      </c>
      <c r="BU16" s="84">
        <f>SUMIFS(RM_PM_Quantity[Name of Supervisor],RM_PM_Quantity[Section],BU$1,RM_PM_Quantity[RM Name],$D16,RM_PM_Quantity[Quantity],$C16,RM_PM_Quantity[ID],$E16)+IF($D16="MIND/Pre-Production",SUMIFS(RM_PM_Quantity[Name of Supervisor],RM_PM_Quantity[Section],BU$1,RM_PM_Quantity[RM Name],"MIDC/Pre-Production",RM_PM_Quantity[Quantity],$C16,RM_PM_Quantity[ID],$E16),0)</f>
        <v>0</v>
      </c>
      <c r="BV16" s="84">
        <f>SUMIFS(RM_PM_Quantity[Date],RM_PM_Quantity[RM Name],BV$1,RM_PM_Quantity[Quantity],$D16,RM_PM_Quantity[ID],$C16,RM_PM_Quantity[Name of Supervisor],$E16)+IF($D16="MIND/Pre-Production",SUMIFS(RM_PM_Quantity[Date],RM_PM_Quantity[RM Name],BV$1,RM_PM_Quantity[Quantity],"MIDC/Pre-Production",RM_PM_Quantity[ID],$C16,RM_PM_Quantity[Name of Supervisor],$E16),0)</f>
        <v>0</v>
      </c>
      <c r="BW16" s="84">
        <f>SUMIFS(RM_PM_Quantity[Location],RM_PM_Quantity[Quantity],BW$1,RM_PM_Quantity[ID],$D16,RM_PM_Quantity[Name of Supervisor],$C16,RM_PM_Quantity[Date],$E16)+IF($D16="MIND/Pre-Production",SUMIFS(RM_PM_Quantity[Location],RM_PM_Quantity[Quantity],BW$1,RM_PM_Quantity[ID],"MIDC/Pre-Production",RM_PM_Quantity[Name of Supervisor],$C16,RM_PM_Quantity[Date],$E16),0)</f>
        <v>0</v>
      </c>
      <c r="BX16" s="84">
        <f>SUMIFS(RM_PM_Quantity[Section],RM_PM_Quantity[ID],BX$1,RM_PM_Quantity[Name of Supervisor],$D16,RM_PM_Quantity[Date],$C16,RM_PM_Quantity[Location],$E16)+IF($D16="MIND/Pre-Production",SUMIFS(RM_PM_Quantity[Section],RM_PM_Quantity[ID],BX$1,RM_PM_Quantity[Name of Supervisor],"MIDC/Pre-Production",RM_PM_Quantity[Date],$C16,RM_PM_Quantity[Location],$E16),0)</f>
        <v>0</v>
      </c>
      <c r="BY16" s="84">
        <f>SUMIFS(RM_PM_Quantity[RM Name],RM_PM_Quantity[Name of Supervisor],BY$1,RM_PM_Quantity[Date],$D16,RM_PM_Quantity[Location],$C16,RM_PM_Quantity[Section],$E16)+IF($D16="MIND/Pre-Production",SUMIFS(RM_PM_Quantity[RM Name],RM_PM_Quantity[Name of Supervisor],BY$1,RM_PM_Quantity[Date],"MIDC/Pre-Production",RM_PM_Quantity[Location],$C16,RM_PM_Quantity[Section],$E16),0)</f>
        <v>0</v>
      </c>
    </row>
    <row r="17" spans="1:77" ht="45.75" customHeight="1">
      <c r="A17" s="79">
        <v>16</v>
      </c>
      <c r="B17" s="79" t="s">
        <v>86</v>
      </c>
      <c r="C17" s="80" t="s">
        <v>67</v>
      </c>
      <c r="D17" s="81" t="s">
        <v>68</v>
      </c>
      <c r="E17" s="82" t="s">
        <v>87</v>
      </c>
      <c r="F17" s="83">
        <f>IFERROR(_xlfn.XLOOKUP(B17,'[1]RM Tracker'!B:B,'[1]RM Tracker'!E:E),"0")</f>
        <v>0</v>
      </c>
      <c r="G17" s="85">
        <f t="shared" si="2"/>
        <v>0</v>
      </c>
      <c r="H17" s="85">
        <f t="shared" si="0"/>
        <v>0</v>
      </c>
      <c r="I17" s="91">
        <f t="shared" si="1"/>
        <v>0</v>
      </c>
      <c r="J17" s="84">
        <f>SUMIFS(RM_PM_Quantity[Quantity],RM_PM_Quantity[Date],J$1,RM_PM_Quantity[Location],$D17,RM_PM_Quantity[Section],$C17,RM_PM_Quantity[RM Name],$E17)+IF($D17="MIND/Pre-Production",SUMIFS(RM_PM_Quantity[Quantity],RM_PM_Quantity[Date],J$1,RM_PM_Quantity[Location],"MIDC/Pre-Production",RM_PM_Quantity[Section],$C17,RM_PM_Quantity[RM Name],$E17),0)</f>
        <v>0</v>
      </c>
      <c r="K17" s="84">
        <f>SUMIFS(RM_PM_Quantity[Quantity],RM_PM_Quantity[Date],K$1,RM_PM_Quantity[Location],$D17,RM_PM_Quantity[Section],$C17,RM_PM_Quantity[RM Name],$E17)+IF($D17="MIND/Pre-Production",SUMIFS(RM_PM_Quantity[Quantity],RM_PM_Quantity[Date],K$1,RM_PM_Quantity[Location],"MIDC/Pre-Production",RM_PM_Quantity[Section],$C17,RM_PM_Quantity[RM Name],$E17),0)</f>
        <v>500</v>
      </c>
      <c r="L17" s="84">
        <f>SUMIFS(RM_PM_Quantity[Quantity],RM_PM_Quantity[Date],L$1,RM_PM_Quantity[Location],$D17,RM_PM_Quantity[Section],$C17,RM_PM_Quantity[RM Name],$E17)+IF($D17="MIND/Pre-Production",SUMIFS(RM_PM_Quantity[Quantity],RM_PM_Quantity[Date],L$1,RM_PM_Quantity[Location],"MIDC/Pre-Production",RM_PM_Quantity[Section],$C17,RM_PM_Quantity[RM Name],$E17),0)</f>
        <v>0</v>
      </c>
      <c r="M17" s="84">
        <f>SUMIFS(RM_PM_Quantity[Quantity],RM_PM_Quantity[Date],M$1,RM_PM_Quantity[Location],$D17,RM_PM_Quantity[Section],$C17,RM_PM_Quantity[RM Name],$E17)+IF($D17="MIND/Pre-Production",SUMIFS(RM_PM_Quantity[Quantity],RM_PM_Quantity[Date],M$1,RM_PM_Quantity[Location],"MIDC/Pre-Production",RM_PM_Quantity[Section],$C17,RM_PM_Quantity[RM Name],$E17),0)</f>
        <v>4620</v>
      </c>
      <c r="N17" s="84">
        <f>SUMIFS(RM_PM_Quantity[Quantity],RM_PM_Quantity[Date],N$1,RM_PM_Quantity[Location],$D17,RM_PM_Quantity[Section],$C17,RM_PM_Quantity[RM Name],$E17)+IF($D17="MIND/Pre-Production",SUMIFS(RM_PM_Quantity[Quantity],RM_PM_Quantity[Date],N$1,RM_PM_Quantity[Location],"MIDC/Pre-Production",RM_PM_Quantity[Section],$C17,RM_PM_Quantity[RM Name],$E17),0)</f>
        <v>2150</v>
      </c>
      <c r="O17" s="84">
        <f>SUMIFS(RM_PM_Quantity[Quantity],RM_PM_Quantity[Date],O$1,RM_PM_Quantity[Location],$D17,RM_PM_Quantity[Section],$C17,RM_PM_Quantity[RM Name],$E17)+IF($D17="MIND/Pre-Production",SUMIFS(RM_PM_Quantity[Quantity],RM_PM_Quantity[Date],O$1,RM_PM_Quantity[Location],"MIDC/Pre-Production",RM_PM_Quantity[Section],$C17,RM_PM_Quantity[RM Name],$E17),0)</f>
        <v>0</v>
      </c>
      <c r="P17" s="84">
        <f>SUMIFS(RM_PM_Quantity[Quantity],RM_PM_Quantity[Date],P$1,RM_PM_Quantity[Location],$D17,RM_PM_Quantity[Section],$C17,RM_PM_Quantity[RM Name],$E17)+IF($D17="MIND/Pre-Production",SUMIFS(RM_PM_Quantity[Quantity],RM_PM_Quantity[Date],P$1,RM_PM_Quantity[Location],"MIDC/Pre-Production",RM_PM_Quantity[Section],$C17,RM_PM_Quantity[RM Name],$E17),0)</f>
        <v>0</v>
      </c>
      <c r="Q17" s="84">
        <f>SUMIFS(RM_PM_Quantity[Quantity],RM_PM_Quantity[Date],Q$1,RM_PM_Quantity[Location],$D17,RM_PM_Quantity[Section],$C17,RM_PM_Quantity[RM Name],$E17)+IF($D17="MIND/Pre-Production",SUMIFS(RM_PM_Quantity[Quantity],RM_PM_Quantity[Date],Q$1,RM_PM_Quantity[Location],"MIDC/Pre-Production",RM_PM_Quantity[Section],$C17,RM_PM_Quantity[RM Name],$E17),0)</f>
        <v>0</v>
      </c>
      <c r="R17" s="84">
        <f>SUMIFS(RM_PM_Quantity[Quantity],RM_PM_Quantity[Date],R$1,RM_PM_Quantity[Location],$D17,RM_PM_Quantity[Section],$C17,RM_PM_Quantity[RM Name],$E17)+IF($D17="MIND/Pre-Production",SUMIFS(RM_PM_Quantity[Quantity],RM_PM_Quantity[Date],R$1,RM_PM_Quantity[Location],"MIDC/Pre-Production",RM_PM_Quantity[Section],$C17,RM_PM_Quantity[RM Name],$E17),0)</f>
        <v>0</v>
      </c>
      <c r="S17" s="84">
        <f>SUMIFS(RM_PM_Quantity[Quantity],RM_PM_Quantity[Date],S$1,RM_PM_Quantity[Location],$D17,RM_PM_Quantity[Section],$C17,RM_PM_Quantity[RM Name],$E17)+IF($D17="MIND/Pre-Production",SUMIFS(RM_PM_Quantity[Quantity],RM_PM_Quantity[Date],S$1,RM_PM_Quantity[Location],"MIDC/Pre-Production",RM_PM_Quantity[Section],$C17,RM_PM_Quantity[RM Name],$E17),0)</f>
        <v>4500</v>
      </c>
      <c r="T17" s="84">
        <f>SUMIFS(RM_PM_Quantity[Quantity],RM_PM_Quantity[Date],T$1,RM_PM_Quantity[Location],$D17,RM_PM_Quantity[Section],$C17,RM_PM_Quantity[RM Name],$E17)+IF($D17="MIND/Pre-Production",SUMIFS(RM_PM_Quantity[Quantity],RM_PM_Quantity[Date],T$1,RM_PM_Quantity[Location],"MIDC/Pre-Production",RM_PM_Quantity[Section],$C17,RM_PM_Quantity[RM Name],$E17),0)</f>
        <v>8450</v>
      </c>
      <c r="U17" s="84">
        <f>SUMIFS(RM_PM_Quantity[Quantity],RM_PM_Quantity[Date],U$1,RM_PM_Quantity[Location],$D17,RM_PM_Quantity[Section],$C17,RM_PM_Quantity[RM Name],$E17)+IF($D17="MIND/Pre-Production",SUMIFS(RM_PM_Quantity[Quantity],RM_PM_Quantity[Date],U$1,RM_PM_Quantity[Location],"MIDC/Pre-Production",RM_PM_Quantity[Section],$C17,RM_PM_Quantity[RM Name],$E17),0)</f>
        <v>0</v>
      </c>
      <c r="V17" s="84">
        <f>SUMIFS(RM_PM_Quantity[Quantity],RM_PM_Quantity[Date],V$1,RM_PM_Quantity[Location],$D17,RM_PM_Quantity[Section],$C17,RM_PM_Quantity[RM Name],$E17)+IF($D17="MIND/Pre-Production",SUMIFS(RM_PM_Quantity[Quantity],RM_PM_Quantity[Date],V$1,RM_PM_Quantity[Location],"MIDC/Pre-Production",RM_PM_Quantity[Section],$C17,RM_PM_Quantity[RM Name],$E17),0)</f>
        <v>0</v>
      </c>
      <c r="W17" s="84">
        <f>SUMIFS(RM_PM_Quantity[Quantity],RM_PM_Quantity[Date],W$1,RM_PM_Quantity[Location],$D17,RM_PM_Quantity[Section],$C17,RM_PM_Quantity[RM Name],$E17)+IF($D17="MIND/Pre-Production",SUMIFS(RM_PM_Quantity[Quantity],RM_PM_Quantity[Date],W$1,RM_PM_Quantity[Location],"MIDC/Pre-Production",RM_PM_Quantity[Section],$C17,RM_PM_Quantity[RM Name],$E17),0)</f>
        <v>0</v>
      </c>
      <c r="X17" s="84">
        <f>SUMIFS(RM_PM_Quantity[Quantity],RM_PM_Quantity[Date],X$1,RM_PM_Quantity[Location],$D17,RM_PM_Quantity[Section],$C17,RM_PM_Quantity[RM Name],$E17)+IF($D17="MIND/Pre-Production",SUMIFS(RM_PM_Quantity[Quantity],RM_PM_Quantity[Date],X$1,RM_PM_Quantity[Location],"MIDC/Pre-Production",RM_PM_Quantity[Section],$C17,RM_PM_Quantity[RM Name],$E17),0)</f>
        <v>0</v>
      </c>
      <c r="Y17" s="84">
        <f>SUMIFS(RM_PM_Quantity[Quantity],RM_PM_Quantity[Date],Y$1,RM_PM_Quantity[Location],$D17,RM_PM_Quantity[Section],$C17,RM_PM_Quantity[RM Name],$E17)+IF($D17="MIND/Pre-Production",SUMIFS(RM_PM_Quantity[Quantity],RM_PM_Quantity[Date],Y$1,RM_PM_Quantity[Location],"MIDC/Pre-Production",RM_PM_Quantity[Section],$C17,RM_PM_Quantity[RM Name],$E17),0)</f>
        <v>3700</v>
      </c>
      <c r="Z17" s="84">
        <f>SUMIFS(RM_PM_Quantity[Quantity],RM_PM_Quantity[Date],Z$1,RM_PM_Quantity[Location],$D17,RM_PM_Quantity[Section],$C17,RM_PM_Quantity[RM Name],$E17)+IF($D17="MIND/Pre-Production",SUMIFS(RM_PM_Quantity[Quantity],RM_PM_Quantity[Date],Z$1,RM_PM_Quantity[Location],"MIDC/Pre-Production",RM_PM_Quantity[Section],$C17,RM_PM_Quantity[RM Name],$E17),0)</f>
        <v>0</v>
      </c>
      <c r="AA17" s="84">
        <f>SUMIFS(RM_PM_Quantity[Quantity],RM_PM_Quantity[Date],AA$1,RM_PM_Quantity[Location],$D17,RM_PM_Quantity[Section],$C17,RM_PM_Quantity[RM Name],$E17)+IF($D17="MIND/Pre-Production",SUMIFS(RM_PM_Quantity[Quantity],RM_PM_Quantity[Date],AA$1,RM_PM_Quantity[Location],"MIDC/Pre-Production",RM_PM_Quantity[Section],$C17,RM_PM_Quantity[RM Name],$E17),0)</f>
        <v>0</v>
      </c>
      <c r="AB17" s="84">
        <f>SUMIFS(RM_PM_Quantity[Quantity],RM_PM_Quantity[Date],AB$1,RM_PM_Quantity[Location],$D17,RM_PM_Quantity[Section],$C17,RM_PM_Quantity[RM Name],$E17)+IF($D17="MIND/Pre-Production",SUMIFS(RM_PM_Quantity[Quantity],RM_PM_Quantity[Date],AB$1,RM_PM_Quantity[Location],"MIDC/Pre-Production",RM_PM_Quantity[Section],$C17,RM_PM_Quantity[RM Name],$E17),0)</f>
        <v>0</v>
      </c>
      <c r="AC17" s="84">
        <f>SUMIFS(RM_PM_Quantity[Quantity],RM_PM_Quantity[Date],AC$1,RM_PM_Quantity[Location],$D17,RM_PM_Quantity[Section],$C17,RM_PM_Quantity[RM Name],$E17)+IF($D17="MIND/Pre-Production",SUMIFS(RM_PM_Quantity[Quantity],RM_PM_Quantity[Date],AC$1,RM_PM_Quantity[Location],"MIDC/Pre-Production",RM_PM_Quantity[Section],$C17,RM_PM_Quantity[RM Name],$E17),0)</f>
        <v>0</v>
      </c>
      <c r="AD17" s="84">
        <f>SUMIFS(RM_PM_Quantity[Quantity],RM_PM_Quantity[Date],AD$1,RM_PM_Quantity[Location],$D17,RM_PM_Quantity[Section],$C17,RM_PM_Quantity[RM Name],$E17)+IF($D17="MIND/Pre-Production",SUMIFS(RM_PM_Quantity[Quantity],RM_PM_Quantity[Date],AD$1,RM_PM_Quantity[Location],"MIDC/Pre-Production",RM_PM_Quantity[Section],$C17,RM_PM_Quantity[RM Name],$E17),0)</f>
        <v>0</v>
      </c>
      <c r="AE17" s="84">
        <f>SUMIFS(RM_PM_Quantity[Quantity],RM_PM_Quantity[Date],AE$1,RM_PM_Quantity[Location],$D17,RM_PM_Quantity[Section],$C17,RM_PM_Quantity[RM Name],$E17)+IF($D17="MIND/Pre-Production",SUMIFS(RM_PM_Quantity[Quantity],RM_PM_Quantity[Date],AE$1,RM_PM_Quantity[Location],"MIDC/Pre-Production",RM_PM_Quantity[Section],$C17,RM_PM_Quantity[RM Name],$E17),0)</f>
        <v>0</v>
      </c>
      <c r="AF17" s="84">
        <f>SUMIFS(RM_PM_Quantity[Quantity],RM_PM_Quantity[Date],AF$1,RM_PM_Quantity[Location],$D17,RM_PM_Quantity[Section],$C17,RM_PM_Quantity[RM Name],$E17)+IF($D17="MIND/Pre-Production",SUMIFS(RM_PM_Quantity[Quantity],RM_PM_Quantity[Date],AF$1,RM_PM_Quantity[Location],"MIDC/Pre-Production",RM_PM_Quantity[Section],$C17,RM_PM_Quantity[RM Name],$E17),0)</f>
        <v>0</v>
      </c>
      <c r="AG17" s="84">
        <f>SUMIFS(RM_PM_Quantity[Quantity],RM_PM_Quantity[Date],AG$1,RM_PM_Quantity[Location],$D17,RM_PM_Quantity[Section],$C17,RM_PM_Quantity[RM Name],$E17)+IF($D17="MIND/Pre-Production",SUMIFS(RM_PM_Quantity[Quantity],RM_PM_Quantity[Date],AG$1,RM_PM_Quantity[Location],"MIDC/Pre-Production",RM_PM_Quantity[Section],$C17,RM_PM_Quantity[RM Name],$E17),0)</f>
        <v>0</v>
      </c>
      <c r="AH17" s="84">
        <f>SUMIFS(RM_PM_Quantity[Quantity],RM_PM_Quantity[Date],AH$1,RM_PM_Quantity[Location],$D17,RM_PM_Quantity[Section],$C17,RM_PM_Quantity[RM Name],$E17)+IF($D17="MIND/Pre-Production",SUMIFS(RM_PM_Quantity[Quantity],RM_PM_Quantity[Date],AH$1,RM_PM_Quantity[Location],"MIDC/Pre-Production",RM_PM_Quantity[Section],$C17,RM_PM_Quantity[RM Name],$E17),0)</f>
        <v>0</v>
      </c>
      <c r="AI17" s="84">
        <f>SUMIFS(RM_PM_Quantity[Quantity],RM_PM_Quantity[Date],AI$1,RM_PM_Quantity[Location],$D17,RM_PM_Quantity[Section],$C17,RM_PM_Quantity[RM Name],$E17)+IF($D17="MIND/Pre-Production",SUMIFS(RM_PM_Quantity[Quantity],RM_PM_Quantity[Date],AI$1,RM_PM_Quantity[Location],"MIDC/Pre-Production",RM_PM_Quantity[Section],$C17,RM_PM_Quantity[RM Name],$E17),0)</f>
        <v>0</v>
      </c>
      <c r="AJ17" s="84">
        <f>SUMIFS(RM_PM_Quantity[Quantity],RM_PM_Quantity[Date],AJ$1,RM_PM_Quantity[Location],$D17,RM_PM_Quantity[Section],$C17,RM_PM_Quantity[RM Name],$E17)+IF($D17="MIND/Pre-Production",SUMIFS(RM_PM_Quantity[Quantity],RM_PM_Quantity[Date],AJ$1,RM_PM_Quantity[Location],"MIDC/Pre-Production",RM_PM_Quantity[Section],$C17,RM_PM_Quantity[RM Name],$E17),0)</f>
        <v>0</v>
      </c>
      <c r="AK17" s="84">
        <f>SUMIFS(RM_PM_Quantity[Quantity],RM_PM_Quantity[Date],AK$1,RM_PM_Quantity[Location],$D17,RM_PM_Quantity[Section],$C17,RM_PM_Quantity[RM Name],$E17)+IF($D17="MIND/Pre-Production",SUMIFS(RM_PM_Quantity[Quantity],RM_PM_Quantity[Date],AK$1,RM_PM_Quantity[Location],"MIDC/Pre-Production",RM_PM_Quantity[Section],$C17,RM_PM_Quantity[RM Name],$E17),0)</f>
        <v>0</v>
      </c>
      <c r="AL17" s="84">
        <f>SUMIFS(RM_PM_Quantity[Quantity],RM_PM_Quantity[Date],AL$1,RM_PM_Quantity[Location],$D17,RM_PM_Quantity[Section],$C17,RM_PM_Quantity[RM Name],$E17)+IF($D17="MIND/Pre-Production",SUMIFS(RM_PM_Quantity[Quantity],RM_PM_Quantity[Date],AL$1,RM_PM_Quantity[Location],"MIDC/Pre-Production",RM_PM_Quantity[Section],$C17,RM_PM_Quantity[RM Name],$E17),0)</f>
        <v>0</v>
      </c>
      <c r="AM17" s="84">
        <f>SUMIFS(RM_PM_Quantity[Quantity],RM_PM_Quantity[Date],AM$1,RM_PM_Quantity[Location],$D17,RM_PM_Quantity[Section],$C17,RM_PM_Quantity[RM Name],$E17)+IF($D17="MIND/Pre-Production",SUMIFS(RM_PM_Quantity[Quantity],RM_PM_Quantity[Date],AM$1,RM_PM_Quantity[Location],"MIDC/Pre-Production",RM_PM_Quantity[Section],$C17,RM_PM_Quantity[RM Name],$E17),0)</f>
        <v>0</v>
      </c>
      <c r="AN17" s="84">
        <f>SUMIFS(RM_PM_Quantity[Quantity],RM_PM_Quantity[Date],AN$1,RM_PM_Quantity[Location],$D17,RM_PM_Quantity[Section],$C17,RM_PM_Quantity[RM Name],$E17)+IF($D17="MIND/Pre-Production",SUMIFS(RM_PM_Quantity[Quantity],RM_PM_Quantity[Date],AN$1,RM_PM_Quantity[Location],"MIDC/Pre-Production",RM_PM_Quantity[Section],$C17,RM_PM_Quantity[RM Name],$E17),0)</f>
        <v>4050</v>
      </c>
      <c r="AO17" s="84">
        <f>SUMIFS(RM_PM_Quantity[Quantity],RM_PM_Quantity[Date],AO$1,RM_PM_Quantity[Location],$D17,RM_PM_Quantity[Section],$C17,RM_PM_Quantity[RM Name],$E17)+IF($D17="MIND/Pre-Production",SUMIFS(RM_PM_Quantity[Quantity],RM_PM_Quantity[Date],AO$1,RM_PM_Quantity[Location],"MIDC/Pre-Production",RM_PM_Quantity[Section],$C17,RM_PM_Quantity[RM Name],$E17),0)</f>
        <v>0</v>
      </c>
      <c r="AP17" s="84">
        <f>SUMIFS(RM_PM_Quantity[Quantity],RM_PM_Quantity[Date],AP$1,RM_PM_Quantity[Location],$D17,RM_PM_Quantity[Section],$C17,RM_PM_Quantity[RM Name],$E17)+IF($D17="MIND/Pre-Production",SUMIFS(RM_PM_Quantity[Quantity],RM_PM_Quantity[Date],AP$1,RM_PM_Quantity[Location],"MIDC/Pre-Production",RM_PM_Quantity[Section],$C17,RM_PM_Quantity[RM Name],$E17),0)</f>
        <v>0</v>
      </c>
      <c r="AQ17" s="84">
        <f>SUMIFS(RM_PM_Quantity[Quantity],RM_PM_Quantity[Date],AQ$1,RM_PM_Quantity[Location],$D17,RM_PM_Quantity[Section],$C17,RM_PM_Quantity[RM Name],$E17)+IF($D17="MIND/Pre-Production",SUMIFS(RM_PM_Quantity[Quantity],RM_PM_Quantity[Date],AQ$1,RM_PM_Quantity[Location],"MIDC/Pre-Production",RM_PM_Quantity[Section],$C17,RM_PM_Quantity[RM Name],$E17),0)</f>
        <v>0</v>
      </c>
      <c r="AR17" s="84">
        <f>SUMIFS(RM_PM_Quantity[Quantity],RM_PM_Quantity[Date],AR$1,RM_PM_Quantity[Location],$D17,RM_PM_Quantity[Section],$C17,RM_PM_Quantity[RM Name],$E17)+IF($D17="MIND/Pre-Production",SUMIFS(RM_PM_Quantity[Quantity],RM_PM_Quantity[Date],AR$1,RM_PM_Quantity[Location],"MIDC/Pre-Production",RM_PM_Quantity[Section],$C17,RM_PM_Quantity[RM Name],$E17),0)</f>
        <v>0</v>
      </c>
      <c r="AS17" s="84">
        <f>SUMIFS(RM_PM_Quantity[Quantity],RM_PM_Quantity[Date],AS$1,RM_PM_Quantity[Location],$D17,RM_PM_Quantity[Section],$C17,RM_PM_Quantity[RM Name],$E17)+IF($D17="MIND/Pre-Production",SUMIFS(RM_PM_Quantity[Quantity],RM_PM_Quantity[Date],AS$1,RM_PM_Quantity[Location],"MIDC/Pre-Production",RM_PM_Quantity[Section],$C17,RM_PM_Quantity[RM Name],$E17),0)</f>
        <v>0</v>
      </c>
      <c r="AT17" s="84">
        <f>SUMIFS(RM_PM_Quantity[Quantity],RM_PM_Quantity[Date],AT$1,RM_PM_Quantity[Location],$D17,RM_PM_Quantity[Section],$C17,RM_PM_Quantity[RM Name],$E17)+IF($D17="MIND/Pre-Production",SUMIFS(RM_PM_Quantity[Quantity],RM_PM_Quantity[Date],AT$1,RM_PM_Quantity[Location],"MIDC/Pre-Production",RM_PM_Quantity[Section],$C17,RM_PM_Quantity[RM Name],$E17),0)</f>
        <v>0</v>
      </c>
      <c r="AU17" s="84">
        <f>SUMIFS(RM_PM_Quantity[Quantity],RM_PM_Quantity[Date],AU$1,RM_PM_Quantity[Location],$D17,RM_PM_Quantity[Section],$C17,RM_PM_Quantity[RM Name],$E17)+IF($D17="MIND/Pre-Production",SUMIFS(RM_PM_Quantity[Quantity],RM_PM_Quantity[Date],AU$1,RM_PM_Quantity[Location],"MIDC/Pre-Production",RM_PM_Quantity[Section],$C17,RM_PM_Quantity[RM Name],$E17),0)</f>
        <v>0</v>
      </c>
      <c r="AV17" s="84">
        <f>SUMIFS(RM_PM_Quantity[Quantity],RM_PM_Quantity[Date],AV$1,RM_PM_Quantity[Location],$D17,RM_PM_Quantity[Section],$C17,RM_PM_Quantity[RM Name],$E17)+IF($D17="MIND/Pre-Production",SUMIFS(RM_PM_Quantity[Quantity],RM_PM_Quantity[Date],AV$1,RM_PM_Quantity[Location],"MIDC/Pre-Production",RM_PM_Quantity[Section],$C17,RM_PM_Quantity[RM Name],$E17),0)</f>
        <v>0</v>
      </c>
      <c r="AW17" s="84">
        <f>SUMIFS(RM_PM_Quantity[Quantity],RM_PM_Quantity[Date],AW$1,RM_PM_Quantity[Location],$D17,RM_PM_Quantity[Section],$C17,RM_PM_Quantity[RM Name],$E17)+IF($D17="MIND/Pre-Production",SUMIFS(RM_PM_Quantity[Quantity],RM_PM_Quantity[Date],AW$1,RM_PM_Quantity[Location],"MIDC/Pre-Production",RM_PM_Quantity[Section],$C17,RM_PM_Quantity[RM Name],$E17),0)</f>
        <v>0</v>
      </c>
      <c r="AX17" s="84">
        <f>SUMIFS(RM_PM_Quantity[Quantity],RM_PM_Quantity[Date],AX$1,RM_PM_Quantity[Location],$D17,RM_PM_Quantity[Section],$C17,RM_PM_Quantity[RM Name],$E17)+IF($D17="MIND/Pre-Production",SUMIFS(RM_PM_Quantity[Quantity],RM_PM_Quantity[Date],AX$1,RM_PM_Quantity[Location],"MIDC/Pre-Production",RM_PM_Quantity[Section],$C17,RM_PM_Quantity[RM Name],$E17),0)</f>
        <v>0</v>
      </c>
      <c r="AY17" s="84">
        <f>SUMIFS(RM_PM_Quantity[Quantity],RM_PM_Quantity[Date],AY$1,RM_PM_Quantity[Location],$D17,RM_PM_Quantity[Section],$C17,RM_PM_Quantity[RM Name],$E17)+IF($D17="MIND/Pre-Production",SUMIFS(RM_PM_Quantity[Quantity],RM_PM_Quantity[Date],AY$1,RM_PM_Quantity[Location],"MIDC/Pre-Production",RM_PM_Quantity[Section],$C17,RM_PM_Quantity[RM Name],$E17),0)</f>
        <v>0</v>
      </c>
      <c r="AZ17" s="84">
        <f>SUMIFS(RM_PM_Quantity[Quantity],RM_PM_Quantity[Date],AZ$1,RM_PM_Quantity[Location],$D17,RM_PM_Quantity[Section],$C17,RM_PM_Quantity[RM Name],$E17)+IF($D17="MIND/Pre-Production",SUMIFS(RM_PM_Quantity[Quantity],RM_PM_Quantity[Date],AZ$1,RM_PM_Quantity[Location],"MIDC/Pre-Production",RM_PM_Quantity[Section],$C17,RM_PM_Quantity[RM Name],$E17),0)</f>
        <v>0</v>
      </c>
      <c r="BA17" s="84">
        <f>SUMIFS(RM_PM_Quantity[Quantity],RM_PM_Quantity[Date],BA$1,RM_PM_Quantity[Location],$D17,RM_PM_Quantity[Section],$C17,RM_PM_Quantity[RM Name],$E17)+IF($D17="MIND/Pre-Production",SUMIFS(RM_PM_Quantity[Quantity],RM_PM_Quantity[Date],BA$1,RM_PM_Quantity[Location],"MIDC/Pre-Production",RM_PM_Quantity[Section],$C17,RM_PM_Quantity[RM Name],$E17),0)</f>
        <v>0</v>
      </c>
      <c r="BB17" s="84">
        <f>SUMIFS(RM_PM_Quantity[Quantity],RM_PM_Quantity[Date],BB$1,RM_PM_Quantity[Location],$D17,RM_PM_Quantity[Section],$C17,RM_PM_Quantity[RM Name],$E17)+IF($D17="MIND/Pre-Production",SUMIFS(RM_PM_Quantity[Quantity],RM_PM_Quantity[Date],BB$1,RM_PM_Quantity[Location],"MIDC/Pre-Production",RM_PM_Quantity[Section],$C17,RM_PM_Quantity[RM Name],$E17),0)</f>
        <v>0</v>
      </c>
      <c r="BC17" s="84">
        <f>SUMIFS(RM_PM_Quantity[Quantity],RM_PM_Quantity[Date],BC$1,RM_PM_Quantity[Location],$D17,RM_PM_Quantity[Section],$C17,RM_PM_Quantity[RM Name],$E17)+IF($D17="MIND/Pre-Production",SUMIFS(RM_PM_Quantity[Quantity],RM_PM_Quantity[Date],BC$1,RM_PM_Quantity[Location],"MIDC/Pre-Production",RM_PM_Quantity[Section],$C17,RM_PM_Quantity[RM Name],$E17),0)</f>
        <v>0</v>
      </c>
      <c r="BD17" s="84">
        <f>SUMIFS(RM_PM_Quantity[Quantity],RM_PM_Quantity[Date],BD$1,RM_PM_Quantity[Location],$D17,RM_PM_Quantity[Section],$C17,RM_PM_Quantity[RM Name],$E17)+IF($D17="MIND/Pre-Production",SUMIFS(RM_PM_Quantity[Quantity],RM_PM_Quantity[Date],BD$1,RM_PM_Quantity[Location],"MIDC/Pre-Production",RM_PM_Quantity[Section],$C17,RM_PM_Quantity[RM Name],$E17),0)</f>
        <v>0</v>
      </c>
      <c r="BE17" s="84">
        <f>SUMIFS(RM_PM_Quantity[Quantity],RM_PM_Quantity[Date],BE$1,RM_PM_Quantity[Location],$D17,RM_PM_Quantity[Section],$C17,RM_PM_Quantity[RM Name],$E17)+IF($D17="MIND/Pre-Production",SUMIFS(RM_PM_Quantity[Quantity],RM_PM_Quantity[Date],BE$1,RM_PM_Quantity[Location],"MIDC/Pre-Production",RM_PM_Quantity[Section],$C17,RM_PM_Quantity[RM Name],$E17),0)</f>
        <v>0</v>
      </c>
      <c r="BF17" s="84">
        <f>SUMIFS(RM_PM_Quantity[Quantity],RM_PM_Quantity[Date],BF$1,RM_PM_Quantity[Location],$D17,RM_PM_Quantity[Section],$C17,RM_PM_Quantity[RM Name],$E17)+IF($D17="MIND/Pre-Production",SUMIFS(RM_PM_Quantity[Quantity],RM_PM_Quantity[Date],BF$1,RM_PM_Quantity[Location],"MIDC/Pre-Production",RM_PM_Quantity[Section],$C17,RM_PM_Quantity[RM Name],$E17),0)</f>
        <v>0</v>
      </c>
      <c r="BG17" s="84">
        <f>SUMIFS(RM_PM_Quantity[Quantity],RM_PM_Quantity[Date],BG$1,RM_PM_Quantity[Location],$D17,RM_PM_Quantity[Section],$C17,RM_PM_Quantity[RM Name],$E17)+IF($D17="MIND/Pre-Production",SUMIFS(RM_PM_Quantity[Quantity],RM_PM_Quantity[Date],BG$1,RM_PM_Quantity[Location],"MIDC/Pre-Production",RM_PM_Quantity[Section],$C17,RM_PM_Quantity[RM Name],$E17),0)</f>
        <v>0</v>
      </c>
      <c r="BH17" s="84">
        <f>SUMIFS(RM_PM_Quantity[Quantity],RM_PM_Quantity[Date],BH$1,RM_PM_Quantity[Location],$D17,RM_PM_Quantity[Section],$C17,RM_PM_Quantity[RM Name],$E17)+IF($D17="MIND/Pre-Production",SUMIFS(RM_PM_Quantity[Quantity],RM_PM_Quantity[Date],BH$1,RM_PM_Quantity[Location],"MIDC/Pre-Production",RM_PM_Quantity[Section],$C17,RM_PM_Quantity[RM Name],$E17),0)</f>
        <v>0</v>
      </c>
      <c r="BI17" s="84">
        <f>SUMIFS(RM_PM_Quantity[Quantity],RM_PM_Quantity[Date],BI$1,RM_PM_Quantity[Location],$D17,RM_PM_Quantity[Section],$C17,RM_PM_Quantity[RM Name],$E17)+IF($D17="MIND/Pre-Production",SUMIFS(RM_PM_Quantity[Quantity],RM_PM_Quantity[Date],BI$1,RM_PM_Quantity[Location],"MIDC/Pre-Production",RM_PM_Quantity[Section],$C17,RM_PM_Quantity[RM Name],$E17),0)</f>
        <v>0</v>
      </c>
      <c r="BJ17" s="84">
        <f>SUMIFS(RM_PM_Quantity[Quantity],RM_PM_Quantity[Date],BJ$1,RM_PM_Quantity[Location],$D17,RM_PM_Quantity[Section],$C17,RM_PM_Quantity[RM Name],$E17)+IF($D17="MIND/Pre-Production",SUMIFS(RM_PM_Quantity[Quantity],RM_PM_Quantity[Date],BJ$1,RM_PM_Quantity[Location],"MIDC/Pre-Production",RM_PM_Quantity[Section],$C17,RM_PM_Quantity[RM Name],$E17),0)</f>
        <v>0</v>
      </c>
      <c r="BK17" s="84">
        <f>SUMIFS(RM_PM_Quantity[Quantity],RM_PM_Quantity[Date],BK$1,RM_PM_Quantity[Location],$D17,RM_PM_Quantity[Section],$C17,RM_PM_Quantity[RM Name],$E17)+IF($D17="MIND/Pre-Production",SUMIFS(RM_PM_Quantity[Quantity],RM_PM_Quantity[Date],BK$1,RM_PM_Quantity[Location],"MIDC/Pre-Production",RM_PM_Quantity[Section],$C17,RM_PM_Quantity[RM Name],$E17),0)</f>
        <v>0</v>
      </c>
      <c r="BL17" s="84">
        <f>SUMIFS(RM_PM_Quantity[Quantity],RM_PM_Quantity[Date],BL$1,RM_PM_Quantity[Location],$D17,RM_PM_Quantity[Section],$C17,RM_PM_Quantity[RM Name],$E17)+IF($D17="MIND/Pre-Production",SUMIFS(RM_PM_Quantity[Quantity],RM_PM_Quantity[Date],BL$1,RM_PM_Quantity[Location],"MIDC/Pre-Production",RM_PM_Quantity[Section],$C17,RM_PM_Quantity[RM Name],$E17),0)</f>
        <v>0</v>
      </c>
      <c r="BM17" s="84">
        <f>SUMIFS(RM_PM_Quantity[Quantity],RM_PM_Quantity[Date],BM$1,RM_PM_Quantity[Location],$D17,RM_PM_Quantity[Section],$C17,RM_PM_Quantity[RM Name],$E17)+IF($D17="MIND/Pre-Production",SUMIFS(RM_PM_Quantity[Quantity],RM_PM_Quantity[Date],BM$1,RM_PM_Quantity[Location],"MIDC/Pre-Production",RM_PM_Quantity[Section],$C17,RM_PM_Quantity[RM Name],$E17),0)</f>
        <v>0</v>
      </c>
      <c r="BN17" s="84">
        <f>SUMIFS(RM_PM_Quantity[Quantity],RM_PM_Quantity[Date],BN$1,RM_PM_Quantity[Location],$D17,RM_PM_Quantity[Section],$C17,RM_PM_Quantity[RM Name],$E17)+IF($D17="MIND/Pre-Production",SUMIFS(RM_PM_Quantity[Quantity],RM_PM_Quantity[Date],BN$1,RM_PM_Quantity[Location],"MIDC/Pre-Production",RM_PM_Quantity[Section],$C17,RM_PM_Quantity[RM Name],$E17),0)</f>
        <v>0</v>
      </c>
      <c r="BO17" s="84">
        <f>SUMIFS(RM_PM_Quantity[Quantity],RM_PM_Quantity[Date],BO$1,RM_PM_Quantity[Location],$D17,RM_PM_Quantity[Section],$C17,RM_PM_Quantity[RM Name],$E17)+IF($D17="MIND/Pre-Production",SUMIFS(RM_PM_Quantity[Quantity],RM_PM_Quantity[Date],BO$1,RM_PM_Quantity[Location],"MIDC/Pre-Production",RM_PM_Quantity[Section],$C17,RM_PM_Quantity[RM Name],$E17),0)</f>
        <v>0</v>
      </c>
      <c r="BP17" s="84">
        <f>SUMIFS(RM_PM_Quantity[Quantity],RM_PM_Quantity[Date],BP$1,RM_PM_Quantity[Location],$D17,RM_PM_Quantity[Section],$C17,RM_PM_Quantity[RM Name],$E17)+IF($D17="MIND/Pre-Production",SUMIFS(RM_PM_Quantity[Quantity],RM_PM_Quantity[Date],BP$1,RM_PM_Quantity[Location],"MIDC/Pre-Production",RM_PM_Quantity[Section],$C17,RM_PM_Quantity[RM Name],$E17),0)</f>
        <v>0</v>
      </c>
      <c r="BQ17" s="84">
        <f>SUMIFS(RM_PM_Quantity[Quantity],RM_PM_Quantity[Date],BQ$1,RM_PM_Quantity[Location],$D17,RM_PM_Quantity[Section],$C17,RM_PM_Quantity[RM Name],$E17)+IF($D17="MIND/Pre-Production",SUMIFS(RM_PM_Quantity[Quantity],RM_PM_Quantity[Date],BQ$1,RM_PM_Quantity[Location],"MIDC/Pre-Production",RM_PM_Quantity[Section],$C17,RM_PM_Quantity[RM Name],$E17),0)</f>
        <v>0</v>
      </c>
      <c r="BR17" s="84">
        <f>SUMIFS(RM_PM_Quantity[Quantity],RM_PM_Quantity[Date],BR$1,RM_PM_Quantity[Location],$D17,RM_PM_Quantity[Section],$C17,RM_PM_Quantity[RM Name],$E17)+IF($D17="MIND/Pre-Production",SUMIFS(RM_PM_Quantity[Quantity],RM_PM_Quantity[Date],BR$1,RM_PM_Quantity[Location],"MIDC/Pre-Production",RM_PM_Quantity[Section],$C17,RM_PM_Quantity[RM Name],$E17),0)</f>
        <v>0</v>
      </c>
      <c r="BS17" s="84">
        <f>SUMIFS(RM_PM_Quantity[Quantity],RM_PM_Quantity[Date],BS$1,RM_PM_Quantity[Location],$D17,RM_PM_Quantity[Section],$C17,RM_PM_Quantity[RM Name],$E17)+IF($D17="MIND/Pre-Production",SUMIFS(RM_PM_Quantity[Quantity],RM_PM_Quantity[Date],BS$1,RM_PM_Quantity[Location],"MIDC/Pre-Production",RM_PM_Quantity[Section],$C17,RM_PM_Quantity[RM Name],$E17),0)</f>
        <v>0</v>
      </c>
      <c r="BT17" s="84">
        <f>SUMIFS(RM_PM_Quantity[ID],RM_PM_Quantity[Location],BT$1,RM_PM_Quantity[Section],$D17,RM_PM_Quantity[RM Name],$C17,RM_PM_Quantity[Quantity],$E17)+IF($D17="MIND/Pre-Production",SUMIFS(RM_PM_Quantity[ID],RM_PM_Quantity[Location],BT$1,RM_PM_Quantity[Section],"MIDC/Pre-Production",RM_PM_Quantity[RM Name],$C17,RM_PM_Quantity[Quantity],$E17),0)</f>
        <v>0</v>
      </c>
      <c r="BU17" s="84">
        <f>SUMIFS(RM_PM_Quantity[Name of Supervisor],RM_PM_Quantity[Section],BU$1,RM_PM_Quantity[RM Name],$D17,RM_PM_Quantity[Quantity],$C17,RM_PM_Quantity[ID],$E17)+IF($D17="MIND/Pre-Production",SUMIFS(RM_PM_Quantity[Name of Supervisor],RM_PM_Quantity[Section],BU$1,RM_PM_Quantity[RM Name],"MIDC/Pre-Production",RM_PM_Quantity[Quantity],$C17,RM_PM_Quantity[ID],$E17),0)</f>
        <v>0</v>
      </c>
      <c r="BV17" s="84">
        <f>SUMIFS(RM_PM_Quantity[Date],RM_PM_Quantity[RM Name],BV$1,RM_PM_Quantity[Quantity],$D17,RM_PM_Quantity[ID],$C17,RM_PM_Quantity[Name of Supervisor],$E17)+IF($D17="MIND/Pre-Production",SUMIFS(RM_PM_Quantity[Date],RM_PM_Quantity[RM Name],BV$1,RM_PM_Quantity[Quantity],"MIDC/Pre-Production",RM_PM_Quantity[ID],$C17,RM_PM_Quantity[Name of Supervisor],$E17),0)</f>
        <v>0</v>
      </c>
      <c r="BW17" s="84">
        <f>SUMIFS(RM_PM_Quantity[Location],RM_PM_Quantity[Quantity],BW$1,RM_PM_Quantity[ID],$D17,RM_PM_Quantity[Name of Supervisor],$C17,RM_PM_Quantity[Date],$E17)+IF($D17="MIND/Pre-Production",SUMIFS(RM_PM_Quantity[Location],RM_PM_Quantity[Quantity],BW$1,RM_PM_Quantity[ID],"MIDC/Pre-Production",RM_PM_Quantity[Name of Supervisor],$C17,RM_PM_Quantity[Date],$E17),0)</f>
        <v>0</v>
      </c>
      <c r="BX17" s="84">
        <f>SUMIFS(RM_PM_Quantity[Section],RM_PM_Quantity[ID],BX$1,RM_PM_Quantity[Name of Supervisor],$D17,RM_PM_Quantity[Date],$C17,RM_PM_Quantity[Location],$E17)+IF($D17="MIND/Pre-Production",SUMIFS(RM_PM_Quantity[Section],RM_PM_Quantity[ID],BX$1,RM_PM_Quantity[Name of Supervisor],"MIDC/Pre-Production",RM_PM_Quantity[Date],$C17,RM_PM_Quantity[Location],$E17),0)</f>
        <v>0</v>
      </c>
      <c r="BY17" s="84">
        <f>SUMIFS(RM_PM_Quantity[RM Name],RM_PM_Quantity[Name of Supervisor],BY$1,RM_PM_Quantity[Date],$D17,RM_PM_Quantity[Location],$C17,RM_PM_Quantity[Section],$E17)+IF($D17="MIND/Pre-Production",SUMIFS(RM_PM_Quantity[RM Name],RM_PM_Quantity[Name of Supervisor],BY$1,RM_PM_Quantity[Date],"MIDC/Pre-Production",RM_PM_Quantity[Location],$C17,RM_PM_Quantity[Section],$E17),0)</f>
        <v>0</v>
      </c>
    </row>
    <row r="18" spans="1:77" ht="45.75" customHeight="1">
      <c r="A18" s="79">
        <v>17</v>
      </c>
      <c r="B18" s="79" t="s">
        <v>88</v>
      </c>
      <c r="C18" s="80" t="s">
        <v>67</v>
      </c>
      <c r="D18" s="81" t="s">
        <v>68</v>
      </c>
      <c r="E18" s="82" t="s">
        <v>89</v>
      </c>
      <c r="F18" s="83">
        <f>IFERROR(_xlfn.XLOOKUP(B18,'[1]RM Tracker'!B:B,'[1]RM Tracker'!E:E),"0")</f>
        <v>31825.54</v>
      </c>
      <c r="G18" s="85">
        <f t="shared" si="2"/>
        <v>0</v>
      </c>
      <c r="H18" s="85">
        <f t="shared" si="0"/>
        <v>-31825.54</v>
      </c>
      <c r="I18" s="91">
        <f t="shared" si="1"/>
        <v>0</v>
      </c>
      <c r="J18" s="84">
        <f>SUMIFS(RM_PM_Quantity[Quantity],RM_PM_Quantity[Date],J$1,RM_PM_Quantity[Location],$D18,RM_PM_Quantity[Section],$C18,RM_PM_Quantity[RM Name],$E18)+IF($D18="MIND/Pre-Production",SUMIFS(RM_PM_Quantity[Quantity],RM_PM_Quantity[Date],J$1,RM_PM_Quantity[Location],"MIDC/Pre-Production",RM_PM_Quantity[Section],$C18,RM_PM_Quantity[RM Name],$E18),0)</f>
        <v>0</v>
      </c>
      <c r="K18" s="84">
        <f>SUMIFS(RM_PM_Quantity[Quantity],RM_PM_Quantity[Date],K$1,RM_PM_Quantity[Location],$D18,RM_PM_Quantity[Section],$C18,RM_PM_Quantity[RM Name],$E18)+IF($D18="MIND/Pre-Production",SUMIFS(RM_PM_Quantity[Quantity],RM_PM_Quantity[Date],K$1,RM_PM_Quantity[Location],"MIDC/Pre-Production",RM_PM_Quantity[Section],$C18,RM_PM_Quantity[RM Name],$E18),0)</f>
        <v>0</v>
      </c>
      <c r="L18" s="84">
        <f>SUMIFS(RM_PM_Quantity[Quantity],RM_PM_Quantity[Date],L$1,RM_PM_Quantity[Location],$D18,RM_PM_Quantity[Section],$C18,RM_PM_Quantity[RM Name],$E18)+IF($D18="MIND/Pre-Production",SUMIFS(RM_PM_Quantity[Quantity],RM_PM_Quantity[Date],L$1,RM_PM_Quantity[Location],"MIDC/Pre-Production",RM_PM_Quantity[Section],$C18,RM_PM_Quantity[RM Name],$E18),0)</f>
        <v>0</v>
      </c>
      <c r="M18" s="84">
        <f>SUMIFS(RM_PM_Quantity[Quantity],RM_PM_Quantity[Date],M$1,RM_PM_Quantity[Location],$D18,RM_PM_Quantity[Section],$C18,RM_PM_Quantity[RM Name],$E18)+IF($D18="MIND/Pre-Production",SUMIFS(RM_PM_Quantity[Quantity],RM_PM_Quantity[Date],M$1,RM_PM_Quantity[Location],"MIDC/Pre-Production",RM_PM_Quantity[Section],$C18,RM_PM_Quantity[RM Name],$E18),0)</f>
        <v>0</v>
      </c>
      <c r="N18" s="84">
        <f>SUMIFS(RM_PM_Quantity[Quantity],RM_PM_Quantity[Date],N$1,RM_PM_Quantity[Location],$D18,RM_PM_Quantity[Section],$C18,RM_PM_Quantity[RM Name],$E18)+IF($D18="MIND/Pre-Production",SUMIFS(RM_PM_Quantity[Quantity],RM_PM_Quantity[Date],N$1,RM_PM_Quantity[Location],"MIDC/Pre-Production",RM_PM_Quantity[Section],$C18,RM_PM_Quantity[RM Name],$E18),0)</f>
        <v>0</v>
      </c>
      <c r="O18" s="84">
        <f>SUMIFS(RM_PM_Quantity[Quantity],RM_PM_Quantity[Date],O$1,RM_PM_Quantity[Location],$D18,RM_PM_Quantity[Section],$C18,RM_PM_Quantity[RM Name],$E18)+IF($D18="MIND/Pre-Production",SUMIFS(RM_PM_Quantity[Quantity],RM_PM_Quantity[Date],O$1,RM_PM_Quantity[Location],"MIDC/Pre-Production",RM_PM_Quantity[Section],$C18,RM_PM_Quantity[RM Name],$E18),0)</f>
        <v>0</v>
      </c>
      <c r="P18" s="84">
        <f>SUMIFS(RM_PM_Quantity[Quantity],RM_PM_Quantity[Date],P$1,RM_PM_Quantity[Location],$D18,RM_PM_Quantity[Section],$C18,RM_PM_Quantity[RM Name],$E18)+IF($D18="MIND/Pre-Production",SUMIFS(RM_PM_Quantity[Quantity],RM_PM_Quantity[Date],P$1,RM_PM_Quantity[Location],"MIDC/Pre-Production",RM_PM_Quantity[Section],$C18,RM_PM_Quantity[RM Name],$E18),0)</f>
        <v>0</v>
      </c>
      <c r="Q18" s="84">
        <f>SUMIFS(RM_PM_Quantity[Quantity],RM_PM_Quantity[Date],Q$1,RM_PM_Quantity[Location],$D18,RM_PM_Quantity[Section],$C18,RM_PM_Quantity[RM Name],$E18)+IF($D18="MIND/Pre-Production",SUMIFS(RM_PM_Quantity[Quantity],RM_PM_Quantity[Date],Q$1,RM_PM_Quantity[Location],"MIDC/Pre-Production",RM_PM_Quantity[Section],$C18,RM_PM_Quantity[RM Name],$E18),0)</f>
        <v>0</v>
      </c>
      <c r="R18" s="84">
        <f>SUMIFS(RM_PM_Quantity[Quantity],RM_PM_Quantity[Date],R$1,RM_PM_Quantity[Location],$D18,RM_PM_Quantity[Section],$C18,RM_PM_Quantity[RM Name],$E18)+IF($D18="MIND/Pre-Production",SUMIFS(RM_PM_Quantity[Quantity],RM_PM_Quantity[Date],R$1,RM_PM_Quantity[Location],"MIDC/Pre-Production",RM_PM_Quantity[Section],$C18,RM_PM_Quantity[RM Name],$E18),0)</f>
        <v>0</v>
      </c>
      <c r="S18" s="84">
        <f>SUMIFS(RM_PM_Quantity[Quantity],RM_PM_Quantity[Date],S$1,RM_PM_Quantity[Location],$D18,RM_PM_Quantity[Section],$C18,RM_PM_Quantity[RM Name],$E18)+IF($D18="MIND/Pre-Production",SUMIFS(RM_PM_Quantity[Quantity],RM_PM_Quantity[Date],S$1,RM_PM_Quantity[Location],"MIDC/Pre-Production",RM_PM_Quantity[Section],$C18,RM_PM_Quantity[RM Name],$E18),0)</f>
        <v>0</v>
      </c>
      <c r="T18" s="84">
        <f>SUMIFS(RM_PM_Quantity[Quantity],RM_PM_Quantity[Date],T$1,RM_PM_Quantity[Location],$D18,RM_PM_Quantity[Section],$C18,RM_PM_Quantity[RM Name],$E18)+IF($D18="MIND/Pre-Production",SUMIFS(RM_PM_Quantity[Quantity],RM_PM_Quantity[Date],T$1,RM_PM_Quantity[Location],"MIDC/Pre-Production",RM_PM_Quantity[Section],$C18,RM_PM_Quantity[RM Name],$E18),0)</f>
        <v>0</v>
      </c>
      <c r="U18" s="84">
        <f>SUMIFS(RM_PM_Quantity[Quantity],RM_PM_Quantity[Date],U$1,RM_PM_Quantity[Location],$D18,RM_PM_Quantity[Section],$C18,RM_PM_Quantity[RM Name],$E18)+IF($D18="MIND/Pre-Production",SUMIFS(RM_PM_Quantity[Quantity],RM_PM_Quantity[Date],U$1,RM_PM_Quantity[Location],"MIDC/Pre-Production",RM_PM_Quantity[Section],$C18,RM_PM_Quantity[RM Name],$E18),0)</f>
        <v>0</v>
      </c>
      <c r="V18" s="84">
        <f>SUMIFS(RM_PM_Quantity[Quantity],RM_PM_Quantity[Date],V$1,RM_PM_Quantity[Location],$D18,RM_PM_Quantity[Section],$C18,RM_PM_Quantity[RM Name],$E18)+IF($D18="MIND/Pre-Production",SUMIFS(RM_PM_Quantity[Quantity],RM_PM_Quantity[Date],V$1,RM_PM_Quantity[Location],"MIDC/Pre-Production",RM_PM_Quantity[Section],$C18,RM_PM_Quantity[RM Name],$E18),0)</f>
        <v>0</v>
      </c>
      <c r="W18" s="84">
        <f>SUMIFS(RM_PM_Quantity[Quantity],RM_PM_Quantity[Date],W$1,RM_PM_Quantity[Location],$D18,RM_PM_Quantity[Section],$C18,RM_PM_Quantity[RM Name],$E18)+IF($D18="MIND/Pre-Production",SUMIFS(RM_PM_Quantity[Quantity],RM_PM_Quantity[Date],W$1,RM_PM_Quantity[Location],"MIDC/Pre-Production",RM_PM_Quantity[Section],$C18,RM_PM_Quantity[RM Name],$E18),0)</f>
        <v>0</v>
      </c>
      <c r="X18" s="84">
        <f>SUMIFS(RM_PM_Quantity[Quantity],RM_PM_Quantity[Date],X$1,RM_PM_Quantity[Location],$D18,RM_PM_Quantity[Section],$C18,RM_PM_Quantity[RM Name],$E18)+IF($D18="MIND/Pre-Production",SUMIFS(RM_PM_Quantity[Quantity],RM_PM_Quantity[Date],X$1,RM_PM_Quantity[Location],"MIDC/Pre-Production",RM_PM_Quantity[Section],$C18,RM_PM_Quantity[RM Name],$E18),0)</f>
        <v>0</v>
      </c>
      <c r="Y18" s="84">
        <f>SUMIFS(RM_PM_Quantity[Quantity],RM_PM_Quantity[Date],Y$1,RM_PM_Quantity[Location],$D18,RM_PM_Quantity[Section],$C18,RM_PM_Quantity[RM Name],$E18)+IF($D18="MIND/Pre-Production",SUMIFS(RM_PM_Quantity[Quantity],RM_PM_Quantity[Date],Y$1,RM_PM_Quantity[Location],"MIDC/Pre-Production",RM_PM_Quantity[Section],$C18,RM_PM_Quantity[RM Name],$E18),0)</f>
        <v>0</v>
      </c>
      <c r="Z18" s="84">
        <f>SUMIFS(RM_PM_Quantity[Quantity],RM_PM_Quantity[Date],Z$1,RM_PM_Quantity[Location],$D18,RM_PM_Quantity[Section],$C18,RM_PM_Quantity[RM Name],$E18)+IF($D18="MIND/Pre-Production",SUMIFS(RM_PM_Quantity[Quantity],RM_PM_Quantity[Date],Z$1,RM_PM_Quantity[Location],"MIDC/Pre-Production",RM_PM_Quantity[Section],$C18,RM_PM_Quantity[RM Name],$E18),0)</f>
        <v>0</v>
      </c>
      <c r="AA18" s="84">
        <f>SUMIFS(RM_PM_Quantity[Quantity],RM_PM_Quantity[Date],AA$1,RM_PM_Quantity[Location],$D18,RM_PM_Quantity[Section],$C18,RM_PM_Quantity[RM Name],$E18)+IF($D18="MIND/Pre-Production",SUMIFS(RM_PM_Quantity[Quantity],RM_PM_Quantity[Date],AA$1,RM_PM_Quantity[Location],"MIDC/Pre-Production",RM_PM_Quantity[Section],$C18,RM_PM_Quantity[RM Name],$E18),0)</f>
        <v>0</v>
      </c>
      <c r="AB18" s="84">
        <f>SUMIFS(RM_PM_Quantity[Quantity],RM_PM_Quantity[Date],AB$1,RM_PM_Quantity[Location],$D18,RM_PM_Quantity[Section],$C18,RM_PM_Quantity[RM Name],$E18)+IF($D18="MIND/Pre-Production",SUMIFS(RM_PM_Quantity[Quantity],RM_PM_Quantity[Date],AB$1,RM_PM_Quantity[Location],"MIDC/Pre-Production",RM_PM_Quantity[Section],$C18,RM_PM_Quantity[RM Name],$E18),0)</f>
        <v>0</v>
      </c>
      <c r="AC18" s="84">
        <f>SUMIFS(RM_PM_Quantity[Quantity],RM_PM_Quantity[Date],AC$1,RM_PM_Quantity[Location],$D18,RM_PM_Quantity[Section],$C18,RM_PM_Quantity[RM Name],$E18)+IF($D18="MIND/Pre-Production",SUMIFS(RM_PM_Quantity[Quantity],RM_PM_Quantity[Date],AC$1,RM_PM_Quantity[Location],"MIDC/Pre-Production",RM_PM_Quantity[Section],$C18,RM_PM_Quantity[RM Name],$E18),0)</f>
        <v>0</v>
      </c>
      <c r="AD18" s="84">
        <f>SUMIFS(RM_PM_Quantity[Quantity],RM_PM_Quantity[Date],AD$1,RM_PM_Quantity[Location],$D18,RM_PM_Quantity[Section],$C18,RM_PM_Quantity[RM Name],$E18)+IF($D18="MIND/Pre-Production",SUMIFS(RM_PM_Quantity[Quantity],RM_PM_Quantity[Date],AD$1,RM_PM_Quantity[Location],"MIDC/Pre-Production",RM_PM_Quantity[Section],$C18,RM_PM_Quantity[RM Name],$E18),0)</f>
        <v>0</v>
      </c>
      <c r="AE18" s="84">
        <f>SUMIFS(RM_PM_Quantity[Quantity],RM_PM_Quantity[Date],AE$1,RM_PM_Quantity[Location],$D18,RM_PM_Quantity[Section],$C18,RM_PM_Quantity[RM Name],$E18)+IF($D18="MIND/Pre-Production",SUMIFS(RM_PM_Quantity[Quantity],RM_PM_Quantity[Date],AE$1,RM_PM_Quantity[Location],"MIDC/Pre-Production",RM_PM_Quantity[Section],$C18,RM_PM_Quantity[RM Name],$E18),0)</f>
        <v>0</v>
      </c>
      <c r="AF18" s="84">
        <f>SUMIFS(RM_PM_Quantity[Quantity],RM_PM_Quantity[Date],AF$1,RM_PM_Quantity[Location],$D18,RM_PM_Quantity[Section],$C18,RM_PM_Quantity[RM Name],$E18)+IF($D18="MIND/Pre-Production",SUMIFS(RM_PM_Quantity[Quantity],RM_PM_Quantity[Date],AF$1,RM_PM_Quantity[Location],"MIDC/Pre-Production",RM_PM_Quantity[Section],$C18,RM_PM_Quantity[RM Name],$E18),0)</f>
        <v>0</v>
      </c>
      <c r="AG18" s="84">
        <f>SUMIFS(RM_PM_Quantity[Quantity],RM_PM_Quantity[Date],AG$1,RM_PM_Quantity[Location],$D18,RM_PM_Quantity[Section],$C18,RM_PM_Quantity[RM Name],$E18)+IF($D18="MIND/Pre-Production",SUMIFS(RM_PM_Quantity[Quantity],RM_PM_Quantity[Date],AG$1,RM_PM_Quantity[Location],"MIDC/Pre-Production",RM_PM_Quantity[Section],$C18,RM_PM_Quantity[RM Name],$E18),0)</f>
        <v>0</v>
      </c>
      <c r="AH18" s="84">
        <f>SUMIFS(RM_PM_Quantity[Quantity],RM_PM_Quantity[Date],AH$1,RM_PM_Quantity[Location],$D18,RM_PM_Quantity[Section],$C18,RM_PM_Quantity[RM Name],$E18)+IF($D18="MIND/Pre-Production",SUMIFS(RM_PM_Quantity[Quantity],RM_PM_Quantity[Date],AH$1,RM_PM_Quantity[Location],"MIDC/Pre-Production",RM_PM_Quantity[Section],$C18,RM_PM_Quantity[RM Name],$E18),0)</f>
        <v>0</v>
      </c>
      <c r="AI18" s="84">
        <f>SUMIFS(RM_PM_Quantity[Quantity],RM_PM_Quantity[Date],AI$1,RM_PM_Quantity[Location],$D18,RM_PM_Quantity[Section],$C18,RM_PM_Quantity[RM Name],$E18)+IF($D18="MIND/Pre-Production",SUMIFS(RM_PM_Quantity[Quantity],RM_PM_Quantity[Date],AI$1,RM_PM_Quantity[Location],"MIDC/Pre-Production",RM_PM_Quantity[Section],$C18,RM_PM_Quantity[RM Name],$E18),0)</f>
        <v>0</v>
      </c>
      <c r="AJ18" s="84">
        <f>SUMIFS(RM_PM_Quantity[Quantity],RM_PM_Quantity[Date],AJ$1,RM_PM_Quantity[Location],$D18,RM_PM_Quantity[Section],$C18,RM_PM_Quantity[RM Name],$E18)+IF($D18="MIND/Pre-Production",SUMIFS(RM_PM_Quantity[Quantity],RM_PM_Quantity[Date],AJ$1,RM_PM_Quantity[Location],"MIDC/Pre-Production",RM_PM_Quantity[Section],$C18,RM_PM_Quantity[RM Name],$E18),0)</f>
        <v>0</v>
      </c>
      <c r="AK18" s="84">
        <f>SUMIFS(RM_PM_Quantity[Quantity],RM_PM_Quantity[Date],AK$1,RM_PM_Quantity[Location],$D18,RM_PM_Quantity[Section],$C18,RM_PM_Quantity[RM Name],$E18)+IF($D18="MIND/Pre-Production",SUMIFS(RM_PM_Quantity[Quantity],RM_PM_Quantity[Date],AK$1,RM_PM_Quantity[Location],"MIDC/Pre-Production",RM_PM_Quantity[Section],$C18,RM_PM_Quantity[RM Name],$E18),0)</f>
        <v>0</v>
      </c>
      <c r="AL18" s="84">
        <f>SUMIFS(RM_PM_Quantity[Quantity],RM_PM_Quantity[Date],AL$1,RM_PM_Quantity[Location],$D18,RM_PM_Quantity[Section],$C18,RM_PM_Quantity[RM Name],$E18)+IF($D18="MIND/Pre-Production",SUMIFS(RM_PM_Quantity[Quantity],RM_PM_Quantity[Date],AL$1,RM_PM_Quantity[Location],"MIDC/Pre-Production",RM_PM_Quantity[Section],$C18,RM_PM_Quantity[RM Name],$E18),0)</f>
        <v>0</v>
      </c>
      <c r="AM18" s="84">
        <f>SUMIFS(RM_PM_Quantity[Quantity],RM_PM_Quantity[Date],AM$1,RM_PM_Quantity[Location],$D18,RM_PM_Quantity[Section],$C18,RM_PM_Quantity[RM Name],$E18)+IF($D18="MIND/Pre-Production",SUMIFS(RM_PM_Quantity[Quantity],RM_PM_Quantity[Date],AM$1,RM_PM_Quantity[Location],"MIDC/Pre-Production",RM_PM_Quantity[Section],$C18,RM_PM_Quantity[RM Name],$E18),0)</f>
        <v>0</v>
      </c>
      <c r="AN18" s="84">
        <f>SUMIFS(RM_PM_Quantity[Quantity],RM_PM_Quantity[Date],AN$1,RM_PM_Quantity[Location],$D18,RM_PM_Quantity[Section],$C18,RM_PM_Quantity[RM Name],$E18)+IF($D18="MIND/Pre-Production",SUMIFS(RM_PM_Quantity[Quantity],RM_PM_Quantity[Date],AN$1,RM_PM_Quantity[Location],"MIDC/Pre-Production",RM_PM_Quantity[Section],$C18,RM_PM_Quantity[RM Name],$E18),0)</f>
        <v>0</v>
      </c>
      <c r="AO18" s="84">
        <f>SUMIFS(RM_PM_Quantity[Quantity],RM_PM_Quantity[Date],AO$1,RM_PM_Quantity[Location],$D18,RM_PM_Quantity[Section],$C18,RM_PM_Quantity[RM Name],$E18)+IF($D18="MIND/Pre-Production",SUMIFS(RM_PM_Quantity[Quantity],RM_PM_Quantity[Date],AO$1,RM_PM_Quantity[Location],"MIDC/Pre-Production",RM_PM_Quantity[Section],$C18,RM_PM_Quantity[RM Name],$E18),0)</f>
        <v>0</v>
      </c>
      <c r="AP18" s="84">
        <f>SUMIFS(RM_PM_Quantity[Quantity],RM_PM_Quantity[Date],AP$1,RM_PM_Quantity[Location],$D18,RM_PM_Quantity[Section],$C18,RM_PM_Quantity[RM Name],$E18)+IF($D18="MIND/Pre-Production",SUMIFS(RM_PM_Quantity[Quantity],RM_PM_Quantity[Date],AP$1,RM_PM_Quantity[Location],"MIDC/Pre-Production",RM_PM_Quantity[Section],$C18,RM_PM_Quantity[RM Name],$E18),0)</f>
        <v>0</v>
      </c>
      <c r="AQ18" s="84">
        <f>SUMIFS(RM_PM_Quantity[Quantity],RM_PM_Quantity[Date],AQ$1,RM_PM_Quantity[Location],$D18,RM_PM_Quantity[Section],$C18,RM_PM_Quantity[RM Name],$E18)+IF($D18="MIND/Pre-Production",SUMIFS(RM_PM_Quantity[Quantity],RM_PM_Quantity[Date],AQ$1,RM_PM_Quantity[Location],"MIDC/Pre-Production",RM_PM_Quantity[Section],$C18,RM_PM_Quantity[RM Name],$E18),0)</f>
        <v>0</v>
      </c>
      <c r="AR18" s="84">
        <f>SUMIFS(RM_PM_Quantity[Quantity],RM_PM_Quantity[Date],AR$1,RM_PM_Quantity[Location],$D18,RM_PM_Quantity[Section],$C18,RM_PM_Quantity[RM Name],$E18)+IF($D18="MIND/Pre-Production",SUMIFS(RM_PM_Quantity[Quantity],RM_PM_Quantity[Date],AR$1,RM_PM_Quantity[Location],"MIDC/Pre-Production",RM_PM_Quantity[Section],$C18,RM_PM_Quantity[RM Name],$E18),0)</f>
        <v>0</v>
      </c>
      <c r="AS18" s="84">
        <f>SUMIFS(RM_PM_Quantity[Quantity],RM_PM_Quantity[Date],AS$1,RM_PM_Quantity[Location],$D18,RM_PM_Quantity[Section],$C18,RM_PM_Quantity[RM Name],$E18)+IF($D18="MIND/Pre-Production",SUMIFS(RM_PM_Quantity[Quantity],RM_PM_Quantity[Date],AS$1,RM_PM_Quantity[Location],"MIDC/Pre-Production",RM_PM_Quantity[Section],$C18,RM_PM_Quantity[RM Name],$E18),0)</f>
        <v>0</v>
      </c>
      <c r="AT18" s="84">
        <f>SUMIFS(RM_PM_Quantity[Quantity],RM_PM_Quantity[Date],AT$1,RM_PM_Quantity[Location],$D18,RM_PM_Quantity[Section],$C18,RM_PM_Quantity[RM Name],$E18)+IF($D18="MIND/Pre-Production",SUMIFS(RM_PM_Quantity[Quantity],RM_PM_Quantity[Date],AT$1,RM_PM_Quantity[Location],"MIDC/Pre-Production",RM_PM_Quantity[Section],$C18,RM_PM_Quantity[RM Name],$E18),0)</f>
        <v>0</v>
      </c>
      <c r="AU18" s="84">
        <f>SUMIFS(RM_PM_Quantity[Quantity],RM_PM_Quantity[Date],AU$1,RM_PM_Quantity[Location],$D18,RM_PM_Quantity[Section],$C18,RM_PM_Quantity[RM Name],$E18)+IF($D18="MIND/Pre-Production",SUMIFS(RM_PM_Quantity[Quantity],RM_PM_Quantity[Date],AU$1,RM_PM_Quantity[Location],"MIDC/Pre-Production",RM_PM_Quantity[Section],$C18,RM_PM_Quantity[RM Name],$E18),0)</f>
        <v>0</v>
      </c>
      <c r="AV18" s="84">
        <f>SUMIFS(RM_PM_Quantity[Quantity],RM_PM_Quantity[Date],AV$1,RM_PM_Quantity[Location],$D18,RM_PM_Quantity[Section],$C18,RM_PM_Quantity[RM Name],$E18)+IF($D18="MIND/Pre-Production",SUMIFS(RM_PM_Quantity[Quantity],RM_PM_Quantity[Date],AV$1,RM_PM_Quantity[Location],"MIDC/Pre-Production",RM_PM_Quantity[Section],$C18,RM_PM_Quantity[RM Name],$E18),0)</f>
        <v>0</v>
      </c>
      <c r="AW18" s="84">
        <f>SUMIFS(RM_PM_Quantity[Quantity],RM_PM_Quantity[Date],AW$1,RM_PM_Quantity[Location],$D18,RM_PM_Quantity[Section],$C18,RM_PM_Quantity[RM Name],$E18)+IF($D18="MIND/Pre-Production",SUMIFS(RM_PM_Quantity[Quantity],RM_PM_Quantity[Date],AW$1,RM_PM_Quantity[Location],"MIDC/Pre-Production",RM_PM_Quantity[Section],$C18,RM_PM_Quantity[RM Name],$E18),0)</f>
        <v>0</v>
      </c>
      <c r="AX18" s="84">
        <f>SUMIFS(RM_PM_Quantity[Quantity],RM_PM_Quantity[Date],AX$1,RM_PM_Quantity[Location],$D18,RM_PM_Quantity[Section],$C18,RM_PM_Quantity[RM Name],$E18)+IF($D18="MIND/Pre-Production",SUMIFS(RM_PM_Quantity[Quantity],RM_PM_Quantity[Date],AX$1,RM_PM_Quantity[Location],"MIDC/Pre-Production",RM_PM_Quantity[Section],$C18,RM_PM_Quantity[RM Name],$E18),0)</f>
        <v>0</v>
      </c>
      <c r="AY18" s="84">
        <f>SUMIFS(RM_PM_Quantity[Quantity],RM_PM_Quantity[Date],AY$1,RM_PM_Quantity[Location],$D18,RM_PM_Quantity[Section],$C18,RM_PM_Quantity[RM Name],$E18)+IF($D18="MIND/Pre-Production",SUMIFS(RM_PM_Quantity[Quantity],RM_PM_Quantity[Date],AY$1,RM_PM_Quantity[Location],"MIDC/Pre-Production",RM_PM_Quantity[Section],$C18,RM_PM_Quantity[RM Name],$E18),0)</f>
        <v>0</v>
      </c>
      <c r="AZ18" s="84">
        <f>SUMIFS(RM_PM_Quantity[Quantity],RM_PM_Quantity[Date],AZ$1,RM_PM_Quantity[Location],$D18,RM_PM_Quantity[Section],$C18,RM_PM_Quantity[RM Name],$E18)+IF($D18="MIND/Pre-Production",SUMIFS(RM_PM_Quantity[Quantity],RM_PM_Quantity[Date],AZ$1,RM_PM_Quantity[Location],"MIDC/Pre-Production",RM_PM_Quantity[Section],$C18,RM_PM_Quantity[RM Name],$E18),0)</f>
        <v>0</v>
      </c>
      <c r="BA18" s="84">
        <f>SUMIFS(RM_PM_Quantity[Quantity],RM_PM_Quantity[Date],BA$1,RM_PM_Quantity[Location],$D18,RM_PM_Quantity[Section],$C18,RM_PM_Quantity[RM Name],$E18)+IF($D18="MIND/Pre-Production",SUMIFS(RM_PM_Quantity[Quantity],RM_PM_Quantity[Date],BA$1,RM_PM_Quantity[Location],"MIDC/Pre-Production",RM_PM_Quantity[Section],$C18,RM_PM_Quantity[RM Name],$E18),0)</f>
        <v>0</v>
      </c>
      <c r="BB18" s="84">
        <f>SUMIFS(RM_PM_Quantity[Quantity],RM_PM_Quantity[Date],BB$1,RM_PM_Quantity[Location],$D18,RM_PM_Quantity[Section],$C18,RM_PM_Quantity[RM Name],$E18)+IF($D18="MIND/Pre-Production",SUMIFS(RM_PM_Quantity[Quantity],RM_PM_Quantity[Date],BB$1,RM_PM_Quantity[Location],"MIDC/Pre-Production",RM_PM_Quantity[Section],$C18,RM_PM_Quantity[RM Name],$E18),0)</f>
        <v>0</v>
      </c>
      <c r="BC18" s="84">
        <f>SUMIFS(RM_PM_Quantity[Quantity],RM_PM_Quantity[Date],BC$1,RM_PM_Quantity[Location],$D18,RM_PM_Quantity[Section],$C18,RM_PM_Quantity[RM Name],$E18)+IF($D18="MIND/Pre-Production",SUMIFS(RM_PM_Quantity[Quantity],RM_PM_Quantity[Date],BC$1,RM_PM_Quantity[Location],"MIDC/Pre-Production",RM_PM_Quantity[Section],$C18,RM_PM_Quantity[RM Name],$E18),0)</f>
        <v>0</v>
      </c>
      <c r="BD18" s="84">
        <f>SUMIFS(RM_PM_Quantity[Quantity],RM_PM_Quantity[Date],BD$1,RM_PM_Quantity[Location],$D18,RM_PM_Quantity[Section],$C18,RM_PM_Quantity[RM Name],$E18)+IF($D18="MIND/Pre-Production",SUMIFS(RM_PM_Quantity[Quantity],RM_PM_Quantity[Date],BD$1,RM_PM_Quantity[Location],"MIDC/Pre-Production",RM_PM_Quantity[Section],$C18,RM_PM_Quantity[RM Name],$E18),0)</f>
        <v>0</v>
      </c>
      <c r="BE18" s="84">
        <f>SUMIFS(RM_PM_Quantity[Quantity],RM_PM_Quantity[Date],BE$1,RM_PM_Quantity[Location],$D18,RM_PM_Quantity[Section],$C18,RM_PM_Quantity[RM Name],$E18)+IF($D18="MIND/Pre-Production",SUMIFS(RM_PM_Quantity[Quantity],RM_PM_Quantity[Date],BE$1,RM_PM_Quantity[Location],"MIDC/Pre-Production",RM_PM_Quantity[Section],$C18,RM_PM_Quantity[RM Name],$E18),0)</f>
        <v>0</v>
      </c>
      <c r="BF18" s="84">
        <f>SUMIFS(RM_PM_Quantity[Quantity],RM_PM_Quantity[Date],BF$1,RM_PM_Quantity[Location],$D18,RM_PM_Quantity[Section],$C18,RM_PM_Quantity[RM Name],$E18)+IF($D18="MIND/Pre-Production",SUMIFS(RM_PM_Quantity[Quantity],RM_PM_Quantity[Date],BF$1,RM_PM_Quantity[Location],"MIDC/Pre-Production",RM_PM_Quantity[Section],$C18,RM_PM_Quantity[RM Name],$E18),0)</f>
        <v>0</v>
      </c>
      <c r="BG18" s="84">
        <f>SUMIFS(RM_PM_Quantity[Quantity],RM_PM_Quantity[Date],BG$1,RM_PM_Quantity[Location],$D18,RM_PM_Quantity[Section],$C18,RM_PM_Quantity[RM Name],$E18)+IF($D18="MIND/Pre-Production",SUMIFS(RM_PM_Quantity[Quantity],RM_PM_Quantity[Date],BG$1,RM_PM_Quantity[Location],"MIDC/Pre-Production",RM_PM_Quantity[Section],$C18,RM_PM_Quantity[RM Name],$E18),0)</f>
        <v>0</v>
      </c>
      <c r="BH18" s="84">
        <f>SUMIFS(RM_PM_Quantity[Quantity],RM_PM_Quantity[Date],BH$1,RM_PM_Quantity[Location],$D18,RM_PM_Quantity[Section],$C18,RM_PM_Quantity[RM Name],$E18)+IF($D18="MIND/Pre-Production",SUMIFS(RM_PM_Quantity[Quantity],RM_PM_Quantity[Date],BH$1,RM_PM_Quantity[Location],"MIDC/Pre-Production",RM_PM_Quantity[Section],$C18,RM_PM_Quantity[RM Name],$E18),0)</f>
        <v>0</v>
      </c>
      <c r="BI18" s="84">
        <f>SUMIFS(RM_PM_Quantity[Quantity],RM_PM_Quantity[Date],BI$1,RM_PM_Quantity[Location],$D18,RM_PM_Quantity[Section],$C18,RM_PM_Quantity[RM Name],$E18)+IF($D18="MIND/Pre-Production",SUMIFS(RM_PM_Quantity[Quantity],RM_PM_Quantity[Date],BI$1,RM_PM_Quantity[Location],"MIDC/Pre-Production",RM_PM_Quantity[Section],$C18,RM_PM_Quantity[RM Name],$E18),0)</f>
        <v>0</v>
      </c>
      <c r="BJ18" s="84">
        <f>SUMIFS(RM_PM_Quantity[Quantity],RM_PM_Quantity[Date],BJ$1,RM_PM_Quantity[Location],$D18,RM_PM_Quantity[Section],$C18,RM_PM_Quantity[RM Name],$E18)+IF($D18="MIND/Pre-Production",SUMIFS(RM_PM_Quantity[Quantity],RM_PM_Quantity[Date],BJ$1,RM_PM_Quantity[Location],"MIDC/Pre-Production",RM_PM_Quantity[Section],$C18,RM_PM_Quantity[RM Name],$E18),0)</f>
        <v>0</v>
      </c>
      <c r="BK18" s="84">
        <f>SUMIFS(RM_PM_Quantity[Quantity],RM_PM_Quantity[Date],BK$1,RM_PM_Quantity[Location],$D18,RM_PM_Quantity[Section],$C18,RM_PM_Quantity[RM Name],$E18)+IF($D18="MIND/Pre-Production",SUMIFS(RM_PM_Quantity[Quantity],RM_PM_Quantity[Date],BK$1,RM_PM_Quantity[Location],"MIDC/Pre-Production",RM_PM_Quantity[Section],$C18,RM_PM_Quantity[RM Name],$E18),0)</f>
        <v>0</v>
      </c>
      <c r="BL18" s="84">
        <f>SUMIFS(RM_PM_Quantity[Quantity],RM_PM_Quantity[Date],BL$1,RM_PM_Quantity[Location],$D18,RM_PM_Quantity[Section],$C18,RM_PM_Quantity[RM Name],$E18)+IF($D18="MIND/Pre-Production",SUMIFS(RM_PM_Quantity[Quantity],RM_PM_Quantity[Date],BL$1,RM_PM_Quantity[Location],"MIDC/Pre-Production",RM_PM_Quantity[Section],$C18,RM_PM_Quantity[RM Name],$E18),0)</f>
        <v>0</v>
      </c>
      <c r="BM18" s="84">
        <f>SUMIFS(RM_PM_Quantity[Quantity],RM_PM_Quantity[Date],BM$1,RM_PM_Quantity[Location],$D18,RM_PM_Quantity[Section],$C18,RM_PM_Quantity[RM Name],$E18)+IF($D18="MIND/Pre-Production",SUMIFS(RM_PM_Quantity[Quantity],RM_PM_Quantity[Date],BM$1,RM_PM_Quantity[Location],"MIDC/Pre-Production",RM_PM_Quantity[Section],$C18,RM_PM_Quantity[RM Name],$E18),0)</f>
        <v>0</v>
      </c>
      <c r="BN18" s="84">
        <f>SUMIFS(RM_PM_Quantity[Quantity],RM_PM_Quantity[Date],BN$1,RM_PM_Quantity[Location],$D18,RM_PM_Quantity[Section],$C18,RM_PM_Quantity[RM Name],$E18)+IF($D18="MIND/Pre-Production",SUMIFS(RM_PM_Quantity[Quantity],RM_PM_Quantity[Date],BN$1,RM_PM_Quantity[Location],"MIDC/Pre-Production",RM_PM_Quantity[Section],$C18,RM_PM_Quantity[RM Name],$E18),0)</f>
        <v>0</v>
      </c>
      <c r="BO18" s="84">
        <f>SUMIFS(RM_PM_Quantity[Quantity],RM_PM_Quantity[Date],BO$1,RM_PM_Quantity[Location],$D18,RM_PM_Quantity[Section],$C18,RM_PM_Quantity[RM Name],$E18)+IF($D18="MIND/Pre-Production",SUMIFS(RM_PM_Quantity[Quantity],RM_PM_Quantity[Date],BO$1,RM_PM_Quantity[Location],"MIDC/Pre-Production",RM_PM_Quantity[Section],$C18,RM_PM_Quantity[RM Name],$E18),0)</f>
        <v>0</v>
      </c>
      <c r="BP18" s="84">
        <f>SUMIFS(RM_PM_Quantity[Quantity],RM_PM_Quantity[Date],BP$1,RM_PM_Quantity[Location],$D18,RM_PM_Quantity[Section],$C18,RM_PM_Quantity[RM Name],$E18)+IF($D18="MIND/Pre-Production",SUMIFS(RM_PM_Quantity[Quantity],RM_PM_Quantity[Date],BP$1,RM_PM_Quantity[Location],"MIDC/Pre-Production",RM_PM_Quantity[Section],$C18,RM_PM_Quantity[RM Name],$E18),0)</f>
        <v>0</v>
      </c>
      <c r="BQ18" s="84">
        <f>SUMIFS(RM_PM_Quantity[Quantity],RM_PM_Quantity[Date],BQ$1,RM_PM_Quantity[Location],$D18,RM_PM_Quantity[Section],$C18,RM_PM_Quantity[RM Name],$E18)+IF($D18="MIND/Pre-Production",SUMIFS(RM_PM_Quantity[Quantity],RM_PM_Quantity[Date],BQ$1,RM_PM_Quantity[Location],"MIDC/Pre-Production",RM_PM_Quantity[Section],$C18,RM_PM_Quantity[RM Name],$E18),0)</f>
        <v>0</v>
      </c>
      <c r="BR18" s="84">
        <f>SUMIFS(RM_PM_Quantity[Quantity],RM_PM_Quantity[Date],BR$1,RM_PM_Quantity[Location],$D18,RM_PM_Quantity[Section],$C18,RM_PM_Quantity[RM Name],$E18)+IF($D18="MIND/Pre-Production",SUMIFS(RM_PM_Quantity[Quantity],RM_PM_Quantity[Date],BR$1,RM_PM_Quantity[Location],"MIDC/Pre-Production",RM_PM_Quantity[Section],$C18,RM_PM_Quantity[RM Name],$E18),0)</f>
        <v>0</v>
      </c>
      <c r="BS18" s="84">
        <f>SUMIFS(RM_PM_Quantity[Quantity],RM_PM_Quantity[Date],BS$1,RM_PM_Quantity[Location],$D18,RM_PM_Quantity[Section],$C18,RM_PM_Quantity[RM Name],$E18)+IF($D18="MIND/Pre-Production",SUMIFS(RM_PM_Quantity[Quantity],RM_PM_Quantity[Date],BS$1,RM_PM_Quantity[Location],"MIDC/Pre-Production",RM_PM_Quantity[Section],$C18,RM_PM_Quantity[RM Name],$E18),0)</f>
        <v>0</v>
      </c>
      <c r="BT18" s="84">
        <f>SUMIFS(RM_PM_Quantity[ID],RM_PM_Quantity[Location],BT$1,RM_PM_Quantity[Section],$D18,RM_PM_Quantity[RM Name],$C18,RM_PM_Quantity[Quantity],$E18)+IF($D18="MIND/Pre-Production",SUMIFS(RM_PM_Quantity[ID],RM_PM_Quantity[Location],BT$1,RM_PM_Quantity[Section],"MIDC/Pre-Production",RM_PM_Quantity[RM Name],$C18,RM_PM_Quantity[Quantity],$E18),0)</f>
        <v>0</v>
      </c>
      <c r="BU18" s="84">
        <f>SUMIFS(RM_PM_Quantity[Name of Supervisor],RM_PM_Quantity[Section],BU$1,RM_PM_Quantity[RM Name],$D18,RM_PM_Quantity[Quantity],$C18,RM_PM_Quantity[ID],$E18)+IF($D18="MIND/Pre-Production",SUMIFS(RM_PM_Quantity[Name of Supervisor],RM_PM_Quantity[Section],BU$1,RM_PM_Quantity[RM Name],"MIDC/Pre-Production",RM_PM_Quantity[Quantity],$C18,RM_PM_Quantity[ID],$E18),0)</f>
        <v>0</v>
      </c>
      <c r="BV18" s="84">
        <f>SUMIFS(RM_PM_Quantity[Date],RM_PM_Quantity[RM Name],BV$1,RM_PM_Quantity[Quantity],$D18,RM_PM_Quantity[ID],$C18,RM_PM_Quantity[Name of Supervisor],$E18)+IF($D18="MIND/Pre-Production",SUMIFS(RM_PM_Quantity[Date],RM_PM_Quantity[RM Name],BV$1,RM_PM_Quantity[Quantity],"MIDC/Pre-Production",RM_PM_Quantity[ID],$C18,RM_PM_Quantity[Name of Supervisor],$E18),0)</f>
        <v>0</v>
      </c>
      <c r="BW18" s="84">
        <f>SUMIFS(RM_PM_Quantity[Location],RM_PM_Quantity[Quantity],BW$1,RM_PM_Quantity[ID],$D18,RM_PM_Quantity[Name of Supervisor],$C18,RM_PM_Quantity[Date],$E18)+IF($D18="MIND/Pre-Production",SUMIFS(RM_PM_Quantity[Location],RM_PM_Quantity[Quantity],BW$1,RM_PM_Quantity[ID],"MIDC/Pre-Production",RM_PM_Quantity[Name of Supervisor],$C18,RM_PM_Quantity[Date],$E18),0)</f>
        <v>0</v>
      </c>
      <c r="BX18" s="84">
        <f>SUMIFS(RM_PM_Quantity[Section],RM_PM_Quantity[ID],BX$1,RM_PM_Quantity[Name of Supervisor],$D18,RM_PM_Quantity[Date],$C18,RM_PM_Quantity[Location],$E18)+IF($D18="MIND/Pre-Production",SUMIFS(RM_PM_Quantity[Section],RM_PM_Quantity[ID],BX$1,RM_PM_Quantity[Name of Supervisor],"MIDC/Pre-Production",RM_PM_Quantity[Date],$C18,RM_PM_Quantity[Location],$E18),0)</f>
        <v>0</v>
      </c>
      <c r="BY18" s="84">
        <f>SUMIFS(RM_PM_Quantity[RM Name],RM_PM_Quantity[Name of Supervisor],BY$1,RM_PM_Quantity[Date],$D18,RM_PM_Quantity[Location],$C18,RM_PM_Quantity[Section],$E18)+IF($D18="MIND/Pre-Production",SUMIFS(RM_PM_Quantity[RM Name],RM_PM_Quantity[Name of Supervisor],BY$1,RM_PM_Quantity[Date],"MIDC/Pre-Production",RM_PM_Quantity[Location],$C18,RM_PM_Quantity[Section],$E18),0)</f>
        <v>0</v>
      </c>
    </row>
    <row r="19" spans="1:77" ht="45.75" customHeight="1">
      <c r="A19" s="79">
        <v>18</v>
      </c>
      <c r="B19" s="79" t="s">
        <v>90</v>
      </c>
      <c r="C19" s="80" t="s">
        <v>67</v>
      </c>
      <c r="D19" s="81" t="s">
        <v>68</v>
      </c>
      <c r="E19" s="82" t="s">
        <v>91</v>
      </c>
      <c r="F19" s="83">
        <f>IFERROR(_xlfn.XLOOKUP(B19,'[1]RM Tracker'!B:B,'[1]RM Tracker'!E:E),"0")</f>
        <v>5.5099999999999909</v>
      </c>
      <c r="G19" s="85">
        <f t="shared" si="2"/>
        <v>0</v>
      </c>
      <c r="H19" s="85">
        <f t="shared" si="0"/>
        <v>-5.5099999999999909</v>
      </c>
      <c r="I19" s="91">
        <f t="shared" si="1"/>
        <v>0</v>
      </c>
      <c r="J19" s="84">
        <f>SUMIFS(RM_PM_Quantity[Quantity],RM_PM_Quantity[Date],J$1,RM_PM_Quantity[Location],$D19,RM_PM_Quantity[Section],$C19,RM_PM_Quantity[RM Name],$E19)+IF($D19="MIND/Pre-Production",SUMIFS(RM_PM_Quantity[Quantity],RM_PM_Quantity[Date],J$1,RM_PM_Quantity[Location],"MIDC/Pre-Production",RM_PM_Quantity[Section],$C19,RM_PM_Quantity[RM Name],$E19),0)</f>
        <v>0</v>
      </c>
      <c r="K19" s="84">
        <f>SUMIFS(RM_PM_Quantity[Quantity],RM_PM_Quantity[Date],K$1,RM_PM_Quantity[Location],$D19,RM_PM_Quantity[Section],$C19,RM_PM_Quantity[RM Name],$E19)+IF($D19="MIND/Pre-Production",SUMIFS(RM_PM_Quantity[Quantity],RM_PM_Quantity[Date],K$1,RM_PM_Quantity[Location],"MIDC/Pre-Production",RM_PM_Quantity[Section],$C19,RM_PM_Quantity[RM Name],$E19),0)</f>
        <v>0</v>
      </c>
      <c r="L19" s="84">
        <f>SUMIFS(RM_PM_Quantity[Quantity],RM_PM_Quantity[Date],L$1,RM_PM_Quantity[Location],$D19,RM_PM_Quantity[Section],$C19,RM_PM_Quantity[RM Name],$E19)+IF($D19="MIND/Pre-Production",SUMIFS(RM_PM_Quantity[Quantity],RM_PM_Quantity[Date],L$1,RM_PM_Quantity[Location],"MIDC/Pre-Production",RM_PM_Quantity[Section],$C19,RM_PM_Quantity[RM Name],$E19),0)</f>
        <v>0</v>
      </c>
      <c r="M19" s="84">
        <f>SUMIFS(RM_PM_Quantity[Quantity],RM_PM_Quantity[Date],M$1,RM_PM_Quantity[Location],$D19,RM_PM_Quantity[Section],$C19,RM_PM_Quantity[RM Name],$E19)+IF($D19="MIND/Pre-Production",SUMIFS(RM_PM_Quantity[Quantity],RM_PM_Quantity[Date],M$1,RM_PM_Quantity[Location],"MIDC/Pre-Production",RM_PM_Quantity[Section],$C19,RM_PM_Quantity[RM Name],$E19),0)</f>
        <v>0</v>
      </c>
      <c r="N19" s="84">
        <f>SUMIFS(RM_PM_Quantity[Quantity],RM_PM_Quantity[Date],N$1,RM_PM_Quantity[Location],$D19,RM_PM_Quantity[Section],$C19,RM_PM_Quantity[RM Name],$E19)+IF($D19="MIND/Pre-Production",SUMIFS(RM_PM_Quantity[Quantity],RM_PM_Quantity[Date],N$1,RM_PM_Quantity[Location],"MIDC/Pre-Production",RM_PM_Quantity[Section],$C19,RM_PM_Quantity[RM Name],$E19),0)</f>
        <v>0</v>
      </c>
      <c r="O19" s="84">
        <f>SUMIFS(RM_PM_Quantity[Quantity],RM_PM_Quantity[Date],O$1,RM_PM_Quantity[Location],$D19,RM_PM_Quantity[Section],$C19,RM_PM_Quantity[RM Name],$E19)+IF($D19="MIND/Pre-Production",SUMIFS(RM_PM_Quantity[Quantity],RM_PM_Quantity[Date],O$1,RM_PM_Quantity[Location],"MIDC/Pre-Production",RM_PM_Quantity[Section],$C19,RM_PM_Quantity[RM Name],$E19),0)</f>
        <v>0</v>
      </c>
      <c r="P19" s="84">
        <f>SUMIFS(RM_PM_Quantity[Quantity],RM_PM_Quantity[Date],P$1,RM_PM_Quantity[Location],$D19,RM_PM_Quantity[Section],$C19,RM_PM_Quantity[RM Name],$E19)+IF($D19="MIND/Pre-Production",SUMIFS(RM_PM_Quantity[Quantity],RM_PM_Quantity[Date],P$1,RM_PM_Quantity[Location],"MIDC/Pre-Production",RM_PM_Quantity[Section],$C19,RM_PM_Quantity[RM Name],$E19),0)</f>
        <v>0</v>
      </c>
      <c r="Q19" s="84">
        <f>SUMIFS(RM_PM_Quantity[Quantity],RM_PM_Quantity[Date],Q$1,RM_PM_Quantity[Location],$D19,RM_PM_Quantity[Section],$C19,RM_PM_Quantity[RM Name],$E19)+IF($D19="MIND/Pre-Production",SUMIFS(RM_PM_Quantity[Quantity],RM_PM_Quantity[Date],Q$1,RM_PM_Quantity[Location],"MIDC/Pre-Production",RM_PM_Quantity[Section],$C19,RM_PM_Quantity[RM Name],$E19),0)</f>
        <v>0</v>
      </c>
      <c r="R19" s="84">
        <f>SUMIFS(RM_PM_Quantity[Quantity],RM_PM_Quantity[Date],R$1,RM_PM_Quantity[Location],$D19,RM_PM_Quantity[Section],$C19,RM_PM_Quantity[RM Name],$E19)+IF($D19="MIND/Pre-Production",SUMIFS(RM_PM_Quantity[Quantity],RM_PM_Quantity[Date],R$1,RM_PM_Quantity[Location],"MIDC/Pre-Production",RM_PM_Quantity[Section],$C19,RM_PM_Quantity[RM Name],$E19),0)</f>
        <v>0</v>
      </c>
      <c r="S19" s="84">
        <f>SUMIFS(RM_PM_Quantity[Quantity],RM_PM_Quantity[Date],S$1,RM_PM_Quantity[Location],$D19,RM_PM_Quantity[Section],$C19,RM_PM_Quantity[RM Name],$E19)+IF($D19="MIND/Pre-Production",SUMIFS(RM_PM_Quantity[Quantity],RM_PM_Quantity[Date],S$1,RM_PM_Quantity[Location],"MIDC/Pre-Production",RM_PM_Quantity[Section],$C19,RM_PM_Quantity[RM Name],$E19),0)</f>
        <v>0</v>
      </c>
      <c r="T19" s="84">
        <f>SUMIFS(RM_PM_Quantity[Quantity],RM_PM_Quantity[Date],T$1,RM_PM_Quantity[Location],$D19,RM_PM_Quantity[Section],$C19,RM_PM_Quantity[RM Name],$E19)+IF($D19="MIND/Pre-Production",SUMIFS(RM_PM_Quantity[Quantity],RM_PM_Quantity[Date],T$1,RM_PM_Quantity[Location],"MIDC/Pre-Production",RM_PM_Quantity[Section],$C19,RM_PM_Quantity[RM Name],$E19),0)</f>
        <v>0</v>
      </c>
      <c r="U19" s="84">
        <f>SUMIFS(RM_PM_Quantity[Quantity],RM_PM_Quantity[Date],U$1,RM_PM_Quantity[Location],$D19,RM_PM_Quantity[Section],$C19,RM_PM_Quantity[RM Name],$E19)+IF($D19="MIND/Pre-Production",SUMIFS(RM_PM_Quantity[Quantity],RM_PM_Quantity[Date],U$1,RM_PM_Quantity[Location],"MIDC/Pre-Production",RM_PM_Quantity[Section],$C19,RM_PM_Quantity[RM Name],$E19),0)</f>
        <v>0</v>
      </c>
      <c r="V19" s="84">
        <f>SUMIFS(RM_PM_Quantity[Quantity],RM_PM_Quantity[Date],V$1,RM_PM_Quantity[Location],$D19,RM_PM_Quantity[Section],$C19,RM_PM_Quantity[RM Name],$E19)+IF($D19="MIND/Pre-Production",SUMIFS(RM_PM_Quantity[Quantity],RM_PM_Quantity[Date],V$1,RM_PM_Quantity[Location],"MIDC/Pre-Production",RM_PM_Quantity[Section],$C19,RM_PM_Quantity[RM Name],$E19),0)</f>
        <v>0</v>
      </c>
      <c r="W19" s="84">
        <f>SUMIFS(RM_PM_Quantity[Quantity],RM_PM_Quantity[Date],W$1,RM_PM_Quantity[Location],$D19,RM_PM_Quantity[Section],$C19,RM_PM_Quantity[RM Name],$E19)+IF($D19="MIND/Pre-Production",SUMIFS(RM_PM_Quantity[Quantity],RM_PM_Quantity[Date],W$1,RM_PM_Quantity[Location],"MIDC/Pre-Production",RM_PM_Quantity[Section],$C19,RM_PM_Quantity[RM Name],$E19),0)</f>
        <v>0</v>
      </c>
      <c r="X19" s="84">
        <f>SUMIFS(RM_PM_Quantity[Quantity],RM_PM_Quantity[Date],X$1,RM_PM_Quantity[Location],$D19,RM_PM_Quantity[Section],$C19,RM_PM_Quantity[RM Name],$E19)+IF($D19="MIND/Pre-Production",SUMIFS(RM_PM_Quantity[Quantity],RM_PM_Quantity[Date],X$1,RM_PM_Quantity[Location],"MIDC/Pre-Production",RM_PM_Quantity[Section],$C19,RM_PM_Quantity[RM Name],$E19),0)</f>
        <v>0</v>
      </c>
      <c r="Y19" s="84">
        <f>SUMIFS(RM_PM_Quantity[Quantity],RM_PM_Quantity[Date],Y$1,RM_PM_Quantity[Location],$D19,RM_PM_Quantity[Section],$C19,RM_PM_Quantity[RM Name],$E19)+IF($D19="MIND/Pre-Production",SUMIFS(RM_PM_Quantity[Quantity],RM_PM_Quantity[Date],Y$1,RM_PM_Quantity[Location],"MIDC/Pre-Production",RM_PM_Quantity[Section],$C19,RM_PM_Quantity[RM Name],$E19),0)</f>
        <v>0</v>
      </c>
      <c r="Z19" s="84">
        <f>SUMIFS(RM_PM_Quantity[Quantity],RM_PM_Quantity[Date],Z$1,RM_PM_Quantity[Location],$D19,RM_PM_Quantity[Section],$C19,RM_PM_Quantity[RM Name],$E19)+IF($D19="MIND/Pre-Production",SUMIFS(RM_PM_Quantity[Quantity],RM_PM_Quantity[Date],Z$1,RM_PM_Quantity[Location],"MIDC/Pre-Production",RM_PM_Quantity[Section],$C19,RM_PM_Quantity[RM Name],$E19),0)</f>
        <v>0</v>
      </c>
      <c r="AA19" s="84">
        <f>SUMIFS(RM_PM_Quantity[Quantity],RM_PM_Quantity[Date],AA$1,RM_PM_Quantity[Location],$D19,RM_PM_Quantity[Section],$C19,RM_PM_Quantity[RM Name],$E19)+IF($D19="MIND/Pre-Production",SUMIFS(RM_PM_Quantity[Quantity],RM_PM_Quantity[Date],AA$1,RM_PM_Quantity[Location],"MIDC/Pre-Production",RM_PM_Quantity[Section],$C19,RM_PM_Quantity[RM Name],$E19),0)</f>
        <v>0</v>
      </c>
      <c r="AB19" s="84">
        <f>SUMIFS(RM_PM_Quantity[Quantity],RM_PM_Quantity[Date],AB$1,RM_PM_Quantity[Location],$D19,RM_PM_Quantity[Section],$C19,RM_PM_Quantity[RM Name],$E19)+IF($D19="MIND/Pre-Production",SUMIFS(RM_PM_Quantity[Quantity],RM_PM_Quantity[Date],AB$1,RM_PM_Quantity[Location],"MIDC/Pre-Production",RM_PM_Quantity[Section],$C19,RM_PM_Quantity[RM Name],$E19),0)</f>
        <v>0</v>
      </c>
      <c r="AC19" s="84">
        <f>SUMIFS(RM_PM_Quantity[Quantity],RM_PM_Quantity[Date],AC$1,RM_PM_Quantity[Location],$D19,RM_PM_Quantity[Section],$C19,RM_PM_Quantity[RM Name],$E19)+IF($D19="MIND/Pre-Production",SUMIFS(RM_PM_Quantity[Quantity],RM_PM_Quantity[Date],AC$1,RM_PM_Quantity[Location],"MIDC/Pre-Production",RM_PM_Quantity[Section],$C19,RM_PM_Quantity[RM Name],$E19),0)</f>
        <v>0</v>
      </c>
      <c r="AD19" s="84">
        <f>SUMIFS(RM_PM_Quantity[Quantity],RM_PM_Quantity[Date],AD$1,RM_PM_Quantity[Location],$D19,RM_PM_Quantity[Section],$C19,RM_PM_Quantity[RM Name],$E19)+IF($D19="MIND/Pre-Production",SUMIFS(RM_PM_Quantity[Quantity],RM_PM_Quantity[Date],AD$1,RM_PM_Quantity[Location],"MIDC/Pre-Production",RM_PM_Quantity[Section],$C19,RM_PM_Quantity[RM Name],$E19),0)</f>
        <v>0</v>
      </c>
      <c r="AE19" s="84">
        <f>SUMIFS(RM_PM_Quantity[Quantity],RM_PM_Quantity[Date],AE$1,RM_PM_Quantity[Location],$D19,RM_PM_Quantity[Section],$C19,RM_PM_Quantity[RM Name],$E19)+IF($D19="MIND/Pre-Production",SUMIFS(RM_PM_Quantity[Quantity],RM_PM_Quantity[Date],AE$1,RM_PM_Quantity[Location],"MIDC/Pre-Production",RM_PM_Quantity[Section],$C19,RM_PM_Quantity[RM Name],$E19),0)</f>
        <v>0</v>
      </c>
      <c r="AF19" s="84">
        <f>SUMIFS(RM_PM_Quantity[Quantity],RM_PM_Quantity[Date],AF$1,RM_PM_Quantity[Location],$D19,RM_PM_Quantity[Section],$C19,RM_PM_Quantity[RM Name],$E19)+IF($D19="MIND/Pre-Production",SUMIFS(RM_PM_Quantity[Quantity],RM_PM_Quantity[Date],AF$1,RM_PM_Quantity[Location],"MIDC/Pre-Production",RM_PM_Quantity[Section],$C19,RM_PM_Quantity[RM Name],$E19),0)</f>
        <v>0</v>
      </c>
      <c r="AG19" s="84">
        <f>SUMIFS(RM_PM_Quantity[Quantity],RM_PM_Quantity[Date],AG$1,RM_PM_Quantity[Location],$D19,RM_PM_Quantity[Section],$C19,RM_PM_Quantity[RM Name],$E19)+IF($D19="MIND/Pre-Production",SUMIFS(RM_PM_Quantity[Quantity],RM_PM_Quantity[Date],AG$1,RM_PM_Quantity[Location],"MIDC/Pre-Production",RM_PM_Quantity[Section],$C19,RM_PM_Quantity[RM Name],$E19),0)</f>
        <v>0</v>
      </c>
      <c r="AH19" s="84">
        <f>SUMIFS(RM_PM_Quantity[Quantity],RM_PM_Quantity[Date],AH$1,RM_PM_Quantity[Location],$D19,RM_PM_Quantity[Section],$C19,RM_PM_Quantity[RM Name],$E19)+IF($D19="MIND/Pre-Production",SUMIFS(RM_PM_Quantity[Quantity],RM_PM_Quantity[Date],AH$1,RM_PM_Quantity[Location],"MIDC/Pre-Production",RM_PM_Quantity[Section],$C19,RM_PM_Quantity[RM Name],$E19),0)</f>
        <v>0</v>
      </c>
      <c r="AI19" s="84">
        <f>SUMIFS(RM_PM_Quantity[Quantity],RM_PM_Quantity[Date],AI$1,RM_PM_Quantity[Location],$D19,RM_PM_Quantity[Section],$C19,RM_PM_Quantity[RM Name],$E19)+IF($D19="MIND/Pre-Production",SUMIFS(RM_PM_Quantity[Quantity],RM_PM_Quantity[Date],AI$1,RM_PM_Quantity[Location],"MIDC/Pre-Production",RM_PM_Quantity[Section],$C19,RM_PM_Quantity[RM Name],$E19),0)</f>
        <v>0</v>
      </c>
      <c r="AJ19" s="84">
        <f>SUMIFS(RM_PM_Quantity[Quantity],RM_PM_Quantity[Date],AJ$1,RM_PM_Quantity[Location],$D19,RM_PM_Quantity[Section],$C19,RM_PM_Quantity[RM Name],$E19)+IF($D19="MIND/Pre-Production",SUMIFS(RM_PM_Quantity[Quantity],RM_PM_Quantity[Date],AJ$1,RM_PM_Quantity[Location],"MIDC/Pre-Production",RM_PM_Quantity[Section],$C19,RM_PM_Quantity[RM Name],$E19),0)</f>
        <v>0</v>
      </c>
      <c r="AK19" s="84">
        <f>SUMIFS(RM_PM_Quantity[Quantity],RM_PM_Quantity[Date],AK$1,RM_PM_Quantity[Location],$D19,RM_PM_Quantity[Section],$C19,RM_PM_Quantity[RM Name],$E19)+IF($D19="MIND/Pre-Production",SUMIFS(RM_PM_Quantity[Quantity],RM_PM_Quantity[Date],AK$1,RM_PM_Quantity[Location],"MIDC/Pre-Production",RM_PM_Quantity[Section],$C19,RM_PM_Quantity[RM Name],$E19),0)</f>
        <v>0</v>
      </c>
      <c r="AL19" s="84">
        <f>SUMIFS(RM_PM_Quantity[Quantity],RM_PM_Quantity[Date],AL$1,RM_PM_Quantity[Location],$D19,RM_PM_Quantity[Section],$C19,RM_PM_Quantity[RM Name],$E19)+IF($D19="MIND/Pre-Production",SUMIFS(RM_PM_Quantity[Quantity],RM_PM_Quantity[Date],AL$1,RM_PM_Quantity[Location],"MIDC/Pre-Production",RM_PM_Quantity[Section],$C19,RM_PM_Quantity[RM Name],$E19),0)</f>
        <v>0</v>
      </c>
      <c r="AM19" s="84">
        <f>SUMIFS(RM_PM_Quantity[Quantity],RM_PM_Quantity[Date],AM$1,RM_PM_Quantity[Location],$D19,RM_PM_Quantity[Section],$C19,RM_PM_Quantity[RM Name],$E19)+IF($D19="MIND/Pre-Production",SUMIFS(RM_PM_Quantity[Quantity],RM_PM_Quantity[Date],AM$1,RM_PM_Quantity[Location],"MIDC/Pre-Production",RM_PM_Quantity[Section],$C19,RM_PM_Quantity[RM Name],$E19),0)</f>
        <v>0</v>
      </c>
      <c r="AN19" s="84">
        <f>SUMIFS(RM_PM_Quantity[Quantity],RM_PM_Quantity[Date],AN$1,RM_PM_Quantity[Location],$D19,RM_PM_Quantity[Section],$C19,RM_PM_Quantity[RM Name],$E19)+IF($D19="MIND/Pre-Production",SUMIFS(RM_PM_Quantity[Quantity],RM_PM_Quantity[Date],AN$1,RM_PM_Quantity[Location],"MIDC/Pre-Production",RM_PM_Quantity[Section],$C19,RM_PM_Quantity[RM Name],$E19),0)</f>
        <v>0</v>
      </c>
      <c r="AO19" s="84">
        <f>SUMIFS(RM_PM_Quantity[Quantity],RM_PM_Quantity[Date],AO$1,RM_PM_Quantity[Location],$D19,RM_PM_Quantity[Section],$C19,RM_PM_Quantity[RM Name],$E19)+IF($D19="MIND/Pre-Production",SUMIFS(RM_PM_Quantity[Quantity],RM_PM_Quantity[Date],AO$1,RM_PM_Quantity[Location],"MIDC/Pre-Production",RM_PM_Quantity[Section],$C19,RM_PM_Quantity[RM Name],$E19),0)</f>
        <v>0</v>
      </c>
      <c r="AP19" s="84">
        <f>SUMIFS(RM_PM_Quantity[Quantity],RM_PM_Quantity[Date],AP$1,RM_PM_Quantity[Location],$D19,RM_PM_Quantity[Section],$C19,RM_PM_Quantity[RM Name],$E19)+IF($D19="MIND/Pre-Production",SUMIFS(RM_PM_Quantity[Quantity],RM_PM_Quantity[Date],AP$1,RM_PM_Quantity[Location],"MIDC/Pre-Production",RM_PM_Quantity[Section],$C19,RM_PM_Quantity[RM Name],$E19),0)</f>
        <v>0</v>
      </c>
      <c r="AQ19" s="84">
        <f>SUMIFS(RM_PM_Quantity[Quantity],RM_PM_Quantity[Date],AQ$1,RM_PM_Quantity[Location],$D19,RM_PM_Quantity[Section],$C19,RM_PM_Quantity[RM Name],$E19)+IF($D19="MIND/Pre-Production",SUMIFS(RM_PM_Quantity[Quantity],RM_PM_Quantity[Date],AQ$1,RM_PM_Quantity[Location],"MIDC/Pre-Production",RM_PM_Quantity[Section],$C19,RM_PM_Quantity[RM Name],$E19),0)</f>
        <v>0</v>
      </c>
      <c r="AR19" s="84">
        <f>SUMIFS(RM_PM_Quantity[Quantity],RM_PM_Quantity[Date],AR$1,RM_PM_Quantity[Location],$D19,RM_PM_Quantity[Section],$C19,RM_PM_Quantity[RM Name],$E19)+IF($D19="MIND/Pre-Production",SUMIFS(RM_PM_Quantity[Quantity],RM_PM_Quantity[Date],AR$1,RM_PM_Quantity[Location],"MIDC/Pre-Production",RM_PM_Quantity[Section],$C19,RM_PM_Quantity[RM Name],$E19),0)</f>
        <v>0</v>
      </c>
      <c r="AS19" s="84">
        <f>SUMIFS(RM_PM_Quantity[Quantity],RM_PM_Quantity[Date],AS$1,RM_PM_Quantity[Location],$D19,RM_PM_Quantity[Section],$C19,RM_PM_Quantity[RM Name],$E19)+IF($D19="MIND/Pre-Production",SUMIFS(RM_PM_Quantity[Quantity],RM_PM_Quantity[Date],AS$1,RM_PM_Quantity[Location],"MIDC/Pre-Production",RM_PM_Quantity[Section],$C19,RM_PM_Quantity[RM Name],$E19),0)</f>
        <v>0</v>
      </c>
      <c r="AT19" s="84">
        <f>SUMIFS(RM_PM_Quantity[Quantity],RM_PM_Quantity[Date],AT$1,RM_PM_Quantity[Location],$D19,RM_PM_Quantity[Section],$C19,RM_PM_Quantity[RM Name],$E19)+IF($D19="MIND/Pre-Production",SUMIFS(RM_PM_Quantity[Quantity],RM_PM_Quantity[Date],AT$1,RM_PM_Quantity[Location],"MIDC/Pre-Production",RM_PM_Quantity[Section],$C19,RM_PM_Quantity[RM Name],$E19),0)</f>
        <v>0</v>
      </c>
      <c r="AU19" s="84">
        <f>SUMIFS(RM_PM_Quantity[Quantity],RM_PM_Quantity[Date],AU$1,RM_PM_Quantity[Location],$D19,RM_PM_Quantity[Section],$C19,RM_PM_Quantity[RM Name],$E19)+IF($D19="MIND/Pre-Production",SUMIFS(RM_PM_Quantity[Quantity],RM_PM_Quantity[Date],AU$1,RM_PM_Quantity[Location],"MIDC/Pre-Production",RM_PM_Quantity[Section],$C19,RM_PM_Quantity[RM Name],$E19),0)</f>
        <v>0</v>
      </c>
      <c r="AV19" s="84">
        <f>SUMIFS(RM_PM_Quantity[Quantity],RM_PM_Quantity[Date],AV$1,RM_PM_Quantity[Location],$D19,RM_PM_Quantity[Section],$C19,RM_PM_Quantity[RM Name],$E19)+IF($D19="MIND/Pre-Production",SUMIFS(RM_PM_Quantity[Quantity],RM_PM_Quantity[Date],AV$1,RM_PM_Quantity[Location],"MIDC/Pre-Production",RM_PM_Quantity[Section],$C19,RM_PM_Quantity[RM Name],$E19),0)</f>
        <v>0</v>
      </c>
      <c r="AW19" s="84">
        <f>SUMIFS(RM_PM_Quantity[Quantity],RM_PM_Quantity[Date],AW$1,RM_PM_Quantity[Location],$D19,RM_PM_Quantity[Section],$C19,RM_PM_Quantity[RM Name],$E19)+IF($D19="MIND/Pre-Production",SUMIFS(RM_PM_Quantity[Quantity],RM_PM_Quantity[Date],AW$1,RM_PM_Quantity[Location],"MIDC/Pre-Production",RM_PM_Quantity[Section],$C19,RM_PM_Quantity[RM Name],$E19),0)</f>
        <v>0</v>
      </c>
      <c r="AX19" s="84">
        <f>SUMIFS(RM_PM_Quantity[Quantity],RM_PM_Quantity[Date],AX$1,RM_PM_Quantity[Location],$D19,RM_PM_Quantity[Section],$C19,RM_PM_Quantity[RM Name],$E19)+IF($D19="MIND/Pre-Production",SUMIFS(RM_PM_Quantity[Quantity],RM_PM_Quantity[Date],AX$1,RM_PM_Quantity[Location],"MIDC/Pre-Production",RM_PM_Quantity[Section],$C19,RM_PM_Quantity[RM Name],$E19),0)</f>
        <v>0</v>
      </c>
      <c r="AY19" s="84">
        <f>SUMIFS(RM_PM_Quantity[Quantity],RM_PM_Quantity[Date],AY$1,RM_PM_Quantity[Location],$D19,RM_PM_Quantity[Section],$C19,RM_PM_Quantity[RM Name],$E19)+IF($D19="MIND/Pre-Production",SUMIFS(RM_PM_Quantity[Quantity],RM_PM_Quantity[Date],AY$1,RM_PM_Quantity[Location],"MIDC/Pre-Production",RM_PM_Quantity[Section],$C19,RM_PM_Quantity[RM Name],$E19),0)</f>
        <v>0</v>
      </c>
      <c r="AZ19" s="84">
        <f>SUMIFS(RM_PM_Quantity[Quantity],RM_PM_Quantity[Date],AZ$1,RM_PM_Quantity[Location],$D19,RM_PM_Quantity[Section],$C19,RM_PM_Quantity[RM Name],$E19)+IF($D19="MIND/Pre-Production",SUMIFS(RM_PM_Quantity[Quantity],RM_PM_Quantity[Date],AZ$1,RM_PM_Quantity[Location],"MIDC/Pre-Production",RM_PM_Quantity[Section],$C19,RM_PM_Quantity[RM Name],$E19),0)</f>
        <v>0</v>
      </c>
      <c r="BA19" s="84">
        <f>SUMIFS(RM_PM_Quantity[Quantity],RM_PM_Quantity[Date],BA$1,RM_PM_Quantity[Location],$D19,RM_PM_Quantity[Section],$C19,RM_PM_Quantity[RM Name],$E19)+IF($D19="MIND/Pre-Production",SUMIFS(RM_PM_Quantity[Quantity],RM_PM_Quantity[Date],BA$1,RM_PM_Quantity[Location],"MIDC/Pre-Production",RM_PM_Quantity[Section],$C19,RM_PM_Quantity[RM Name],$E19),0)</f>
        <v>0</v>
      </c>
      <c r="BB19" s="84">
        <f>SUMIFS(RM_PM_Quantity[Quantity],RM_PM_Quantity[Date],BB$1,RM_PM_Quantity[Location],$D19,RM_PM_Quantity[Section],$C19,RM_PM_Quantity[RM Name],$E19)+IF($D19="MIND/Pre-Production",SUMIFS(RM_PM_Quantity[Quantity],RM_PM_Quantity[Date],BB$1,RM_PM_Quantity[Location],"MIDC/Pre-Production",RM_PM_Quantity[Section],$C19,RM_PM_Quantity[RM Name],$E19),0)</f>
        <v>0</v>
      </c>
      <c r="BC19" s="84">
        <f>SUMIFS(RM_PM_Quantity[Quantity],RM_PM_Quantity[Date],BC$1,RM_PM_Quantity[Location],$D19,RM_PM_Quantity[Section],$C19,RM_PM_Quantity[RM Name],$E19)+IF($D19="MIND/Pre-Production",SUMIFS(RM_PM_Quantity[Quantity],RM_PM_Quantity[Date],BC$1,RM_PM_Quantity[Location],"MIDC/Pre-Production",RM_PM_Quantity[Section],$C19,RM_PM_Quantity[RM Name],$E19),0)</f>
        <v>0</v>
      </c>
      <c r="BD19" s="84">
        <f>SUMIFS(RM_PM_Quantity[Quantity],RM_PM_Quantity[Date],BD$1,RM_PM_Quantity[Location],$D19,RM_PM_Quantity[Section],$C19,RM_PM_Quantity[RM Name],$E19)+IF($D19="MIND/Pre-Production",SUMIFS(RM_PM_Quantity[Quantity],RM_PM_Quantity[Date],BD$1,RM_PM_Quantity[Location],"MIDC/Pre-Production",RM_PM_Quantity[Section],$C19,RM_PM_Quantity[RM Name],$E19),0)</f>
        <v>0</v>
      </c>
      <c r="BE19" s="84">
        <f>SUMIFS(RM_PM_Quantity[Quantity],RM_PM_Quantity[Date],BE$1,RM_PM_Quantity[Location],$D19,RM_PM_Quantity[Section],$C19,RM_PM_Quantity[RM Name],$E19)+IF($D19="MIND/Pre-Production",SUMIFS(RM_PM_Quantity[Quantity],RM_PM_Quantity[Date],BE$1,RM_PM_Quantity[Location],"MIDC/Pre-Production",RM_PM_Quantity[Section],$C19,RM_PM_Quantity[RM Name],$E19),0)</f>
        <v>0</v>
      </c>
      <c r="BF19" s="84">
        <f>SUMIFS(RM_PM_Quantity[Quantity],RM_PM_Quantity[Date],BF$1,RM_PM_Quantity[Location],$D19,RM_PM_Quantity[Section],$C19,RM_PM_Quantity[RM Name],$E19)+IF($D19="MIND/Pre-Production",SUMIFS(RM_PM_Quantity[Quantity],RM_PM_Quantity[Date],BF$1,RM_PM_Quantity[Location],"MIDC/Pre-Production",RM_PM_Quantity[Section],$C19,RM_PM_Quantity[RM Name],$E19),0)</f>
        <v>0</v>
      </c>
      <c r="BG19" s="84">
        <f>SUMIFS(RM_PM_Quantity[Quantity],RM_PM_Quantity[Date],BG$1,RM_PM_Quantity[Location],$D19,RM_PM_Quantity[Section],$C19,RM_PM_Quantity[RM Name],$E19)+IF($D19="MIND/Pre-Production",SUMIFS(RM_PM_Quantity[Quantity],RM_PM_Quantity[Date],BG$1,RM_PM_Quantity[Location],"MIDC/Pre-Production",RM_PM_Quantity[Section],$C19,RM_PM_Quantity[RM Name],$E19),0)</f>
        <v>0</v>
      </c>
      <c r="BH19" s="84">
        <f>SUMIFS(RM_PM_Quantity[Quantity],RM_PM_Quantity[Date],BH$1,RM_PM_Quantity[Location],$D19,RM_PM_Quantity[Section],$C19,RM_PM_Quantity[RM Name],$E19)+IF($D19="MIND/Pre-Production",SUMIFS(RM_PM_Quantity[Quantity],RM_PM_Quantity[Date],BH$1,RM_PM_Quantity[Location],"MIDC/Pre-Production",RM_PM_Quantity[Section],$C19,RM_PM_Quantity[RM Name],$E19),0)</f>
        <v>0</v>
      </c>
      <c r="BI19" s="84">
        <f>SUMIFS(RM_PM_Quantity[Quantity],RM_PM_Quantity[Date],BI$1,RM_PM_Quantity[Location],$D19,RM_PM_Quantity[Section],$C19,RM_PM_Quantity[RM Name],$E19)+IF($D19="MIND/Pre-Production",SUMIFS(RM_PM_Quantity[Quantity],RM_PM_Quantity[Date],BI$1,RM_PM_Quantity[Location],"MIDC/Pre-Production",RM_PM_Quantity[Section],$C19,RM_PM_Quantity[RM Name],$E19),0)</f>
        <v>0</v>
      </c>
      <c r="BJ19" s="84">
        <f>SUMIFS(RM_PM_Quantity[Quantity],RM_PM_Quantity[Date],BJ$1,RM_PM_Quantity[Location],$D19,RM_PM_Quantity[Section],$C19,RM_PM_Quantity[RM Name],$E19)+IF($D19="MIND/Pre-Production",SUMIFS(RM_PM_Quantity[Quantity],RM_PM_Quantity[Date],BJ$1,RM_PM_Quantity[Location],"MIDC/Pre-Production",RM_PM_Quantity[Section],$C19,RM_PM_Quantity[RM Name],$E19),0)</f>
        <v>0</v>
      </c>
      <c r="BK19" s="84">
        <f>SUMIFS(RM_PM_Quantity[Quantity],RM_PM_Quantity[Date],BK$1,RM_PM_Quantity[Location],$D19,RM_PM_Quantity[Section],$C19,RM_PM_Quantity[RM Name],$E19)+IF($D19="MIND/Pre-Production",SUMIFS(RM_PM_Quantity[Quantity],RM_PM_Quantity[Date],BK$1,RM_PM_Quantity[Location],"MIDC/Pre-Production",RM_PM_Quantity[Section],$C19,RM_PM_Quantity[RM Name],$E19),0)</f>
        <v>0</v>
      </c>
      <c r="BL19" s="84">
        <f>SUMIFS(RM_PM_Quantity[Quantity],RM_PM_Quantity[Date],BL$1,RM_PM_Quantity[Location],$D19,RM_PM_Quantity[Section],$C19,RM_PM_Quantity[RM Name],$E19)+IF($D19="MIND/Pre-Production",SUMIFS(RM_PM_Quantity[Quantity],RM_PM_Quantity[Date],BL$1,RM_PM_Quantity[Location],"MIDC/Pre-Production",RM_PM_Quantity[Section],$C19,RM_PM_Quantity[RM Name],$E19),0)</f>
        <v>0</v>
      </c>
      <c r="BM19" s="84">
        <f>SUMIFS(RM_PM_Quantity[Quantity],RM_PM_Quantity[Date],BM$1,RM_PM_Quantity[Location],$D19,RM_PM_Quantity[Section],$C19,RM_PM_Quantity[RM Name],$E19)+IF($D19="MIND/Pre-Production",SUMIFS(RM_PM_Quantity[Quantity],RM_PM_Quantity[Date],BM$1,RM_PM_Quantity[Location],"MIDC/Pre-Production",RM_PM_Quantity[Section],$C19,RM_PM_Quantity[RM Name],$E19),0)</f>
        <v>0</v>
      </c>
      <c r="BN19" s="84">
        <f>SUMIFS(RM_PM_Quantity[Quantity],RM_PM_Quantity[Date],BN$1,RM_PM_Quantity[Location],$D19,RM_PM_Quantity[Section],$C19,RM_PM_Quantity[RM Name],$E19)+IF($D19="MIND/Pre-Production",SUMIFS(RM_PM_Quantity[Quantity],RM_PM_Quantity[Date],BN$1,RM_PM_Quantity[Location],"MIDC/Pre-Production",RM_PM_Quantity[Section],$C19,RM_PM_Quantity[RM Name],$E19),0)</f>
        <v>0</v>
      </c>
      <c r="BO19" s="84">
        <f>SUMIFS(RM_PM_Quantity[Quantity],RM_PM_Quantity[Date],BO$1,RM_PM_Quantity[Location],$D19,RM_PM_Quantity[Section],$C19,RM_PM_Quantity[RM Name],$E19)+IF($D19="MIND/Pre-Production",SUMIFS(RM_PM_Quantity[Quantity],RM_PM_Quantity[Date],BO$1,RM_PM_Quantity[Location],"MIDC/Pre-Production",RM_PM_Quantity[Section],$C19,RM_PM_Quantity[RM Name],$E19),0)</f>
        <v>0</v>
      </c>
      <c r="BP19" s="84">
        <f>SUMIFS(RM_PM_Quantity[Quantity],RM_PM_Quantity[Date],BP$1,RM_PM_Quantity[Location],$D19,RM_PM_Quantity[Section],$C19,RM_PM_Quantity[RM Name],$E19)+IF($D19="MIND/Pre-Production",SUMIFS(RM_PM_Quantity[Quantity],RM_PM_Quantity[Date],BP$1,RM_PM_Quantity[Location],"MIDC/Pre-Production",RM_PM_Quantity[Section],$C19,RM_PM_Quantity[RM Name],$E19),0)</f>
        <v>0</v>
      </c>
      <c r="BQ19" s="84">
        <f>SUMIFS(RM_PM_Quantity[Quantity],RM_PM_Quantity[Date],BQ$1,RM_PM_Quantity[Location],$D19,RM_PM_Quantity[Section],$C19,RM_PM_Quantity[RM Name],$E19)+IF($D19="MIND/Pre-Production",SUMIFS(RM_PM_Quantity[Quantity],RM_PM_Quantity[Date],BQ$1,RM_PM_Quantity[Location],"MIDC/Pre-Production",RM_PM_Quantity[Section],$C19,RM_PM_Quantity[RM Name],$E19),0)</f>
        <v>0</v>
      </c>
      <c r="BR19" s="84">
        <f>SUMIFS(RM_PM_Quantity[Quantity],RM_PM_Quantity[Date],BR$1,RM_PM_Quantity[Location],$D19,RM_PM_Quantity[Section],$C19,RM_PM_Quantity[RM Name],$E19)+IF($D19="MIND/Pre-Production",SUMIFS(RM_PM_Quantity[Quantity],RM_PM_Quantity[Date],BR$1,RM_PM_Quantity[Location],"MIDC/Pre-Production",RM_PM_Quantity[Section],$C19,RM_PM_Quantity[RM Name],$E19),0)</f>
        <v>0</v>
      </c>
      <c r="BS19" s="84">
        <f>SUMIFS(RM_PM_Quantity[Quantity],RM_PM_Quantity[Date],BS$1,RM_PM_Quantity[Location],$D19,RM_PM_Quantity[Section],$C19,RM_PM_Quantity[RM Name],$E19)+IF($D19="MIND/Pre-Production",SUMIFS(RM_PM_Quantity[Quantity],RM_PM_Quantity[Date],BS$1,RM_PM_Quantity[Location],"MIDC/Pre-Production",RM_PM_Quantity[Section],$C19,RM_PM_Quantity[RM Name],$E19),0)</f>
        <v>0</v>
      </c>
      <c r="BT19" s="84">
        <f>SUMIFS(RM_PM_Quantity[ID],RM_PM_Quantity[Location],BT$1,RM_PM_Quantity[Section],$D19,RM_PM_Quantity[RM Name],$C19,RM_PM_Quantity[Quantity],$E19)+IF($D19="MIND/Pre-Production",SUMIFS(RM_PM_Quantity[ID],RM_PM_Quantity[Location],BT$1,RM_PM_Quantity[Section],"MIDC/Pre-Production",RM_PM_Quantity[RM Name],$C19,RM_PM_Quantity[Quantity],$E19),0)</f>
        <v>0</v>
      </c>
      <c r="BU19" s="84">
        <f>SUMIFS(RM_PM_Quantity[Name of Supervisor],RM_PM_Quantity[Section],BU$1,RM_PM_Quantity[RM Name],$D19,RM_PM_Quantity[Quantity],$C19,RM_PM_Quantity[ID],$E19)+IF($D19="MIND/Pre-Production",SUMIFS(RM_PM_Quantity[Name of Supervisor],RM_PM_Quantity[Section],BU$1,RM_PM_Quantity[RM Name],"MIDC/Pre-Production",RM_PM_Quantity[Quantity],$C19,RM_PM_Quantity[ID],$E19),0)</f>
        <v>0</v>
      </c>
      <c r="BV19" s="84">
        <f>SUMIFS(RM_PM_Quantity[Date],RM_PM_Quantity[RM Name],BV$1,RM_PM_Quantity[Quantity],$D19,RM_PM_Quantity[ID],$C19,RM_PM_Quantity[Name of Supervisor],$E19)+IF($D19="MIND/Pre-Production",SUMIFS(RM_PM_Quantity[Date],RM_PM_Quantity[RM Name],BV$1,RM_PM_Quantity[Quantity],"MIDC/Pre-Production",RM_PM_Quantity[ID],$C19,RM_PM_Quantity[Name of Supervisor],$E19),0)</f>
        <v>0</v>
      </c>
      <c r="BW19" s="84">
        <f>SUMIFS(RM_PM_Quantity[Location],RM_PM_Quantity[Quantity],BW$1,RM_PM_Quantity[ID],$D19,RM_PM_Quantity[Name of Supervisor],$C19,RM_PM_Quantity[Date],$E19)+IF($D19="MIND/Pre-Production",SUMIFS(RM_PM_Quantity[Location],RM_PM_Quantity[Quantity],BW$1,RM_PM_Quantity[ID],"MIDC/Pre-Production",RM_PM_Quantity[Name of Supervisor],$C19,RM_PM_Quantity[Date],$E19),0)</f>
        <v>0</v>
      </c>
      <c r="BX19" s="84">
        <f>SUMIFS(RM_PM_Quantity[Section],RM_PM_Quantity[ID],BX$1,RM_PM_Quantity[Name of Supervisor],$D19,RM_PM_Quantity[Date],$C19,RM_PM_Quantity[Location],$E19)+IF($D19="MIND/Pre-Production",SUMIFS(RM_PM_Quantity[Section],RM_PM_Quantity[ID],BX$1,RM_PM_Quantity[Name of Supervisor],"MIDC/Pre-Production",RM_PM_Quantity[Date],$C19,RM_PM_Quantity[Location],$E19),0)</f>
        <v>0</v>
      </c>
      <c r="BY19" s="84">
        <f>SUMIFS(RM_PM_Quantity[RM Name],RM_PM_Quantity[Name of Supervisor],BY$1,RM_PM_Quantity[Date],$D19,RM_PM_Quantity[Location],$C19,RM_PM_Quantity[Section],$E19)+IF($D19="MIND/Pre-Production",SUMIFS(RM_PM_Quantity[RM Name],RM_PM_Quantity[Name of Supervisor],BY$1,RM_PM_Quantity[Date],"MIDC/Pre-Production",RM_PM_Quantity[Location],$C19,RM_PM_Quantity[Section],$E19),0)</f>
        <v>0</v>
      </c>
    </row>
    <row r="20" spans="1:77" ht="45.75" customHeight="1">
      <c r="A20" s="79">
        <v>19</v>
      </c>
      <c r="B20" s="87" t="s">
        <v>84</v>
      </c>
      <c r="C20" s="80" t="s">
        <v>92</v>
      </c>
      <c r="D20" s="81" t="s">
        <v>68</v>
      </c>
      <c r="E20" s="82" t="s">
        <v>93</v>
      </c>
      <c r="F20" s="83" t="str">
        <f>IFERROR(_xlfn.XLOOKUP(B20,'[1]RM Tracker'!B:B,'[1]RM Tracker'!E:E),"0")</f>
        <v>0</v>
      </c>
      <c r="G20" s="85">
        <f t="shared" si="2"/>
        <v>0</v>
      </c>
      <c r="H20" s="85">
        <f t="shared" si="0"/>
        <v>0</v>
      </c>
      <c r="I20" s="91">
        <f t="shared" si="1"/>
        <v>0</v>
      </c>
      <c r="J20" s="84">
        <f>SUMIFS(RM_PM_Quantity[Quantity],RM_PM_Quantity[Date],J$1,RM_PM_Quantity[Location],$D20,RM_PM_Quantity[Section],$C20,RM_PM_Quantity[RM Name],$E20)+IF($D20="MIND/Pre-Production",SUMIFS(RM_PM_Quantity[Quantity],RM_PM_Quantity[Date],J$1,RM_PM_Quantity[Location],"MIDC/Pre-Production",RM_PM_Quantity[Section],$C20,RM_PM_Quantity[RM Name],$E20),0)</f>
        <v>0</v>
      </c>
      <c r="K20" s="84">
        <f>SUMIFS(RM_PM_Quantity[Quantity],RM_PM_Quantity[Date],K$1,RM_PM_Quantity[Location],$D20,RM_PM_Quantity[Section],$C20,RM_PM_Quantity[RM Name],$E20)+IF($D20="MIND/Pre-Production",SUMIFS(RM_PM_Quantity[Quantity],RM_PM_Quantity[Date],K$1,RM_PM_Quantity[Location],"MIDC/Pre-Production",RM_PM_Quantity[Section],$C20,RM_PM_Quantity[RM Name],$E20),0)</f>
        <v>0</v>
      </c>
      <c r="L20" s="84">
        <f>SUMIFS(RM_PM_Quantity[Quantity],RM_PM_Quantity[Date],L$1,RM_PM_Quantity[Location],$D20,RM_PM_Quantity[Section],$C20,RM_PM_Quantity[RM Name],$E20)+IF($D20="MIND/Pre-Production",SUMIFS(RM_PM_Quantity[Quantity],RM_PM_Quantity[Date],L$1,RM_PM_Quantity[Location],"MIDC/Pre-Production",RM_PM_Quantity[Section],$C20,RM_PM_Quantity[RM Name],$E20),0)</f>
        <v>0</v>
      </c>
      <c r="M20" s="84">
        <f>SUMIFS(RM_PM_Quantity[Quantity],RM_PM_Quantity[Date],M$1,RM_PM_Quantity[Location],$D20,RM_PM_Quantity[Section],$C20,RM_PM_Quantity[RM Name],$E20)+IF($D20="MIND/Pre-Production",SUMIFS(RM_PM_Quantity[Quantity],RM_PM_Quantity[Date],M$1,RM_PM_Quantity[Location],"MIDC/Pre-Production",RM_PM_Quantity[Section],$C20,RM_PM_Quantity[RM Name],$E20),0)</f>
        <v>0</v>
      </c>
      <c r="N20" s="84">
        <f>SUMIFS(RM_PM_Quantity[Quantity],RM_PM_Quantity[Date],N$1,RM_PM_Quantity[Location],$D20,RM_PM_Quantity[Section],$C20,RM_PM_Quantity[RM Name],$E20)+IF($D20="MIND/Pre-Production",SUMIFS(RM_PM_Quantity[Quantity],RM_PM_Quantity[Date],N$1,RM_PM_Quantity[Location],"MIDC/Pre-Production",RM_PM_Quantity[Section],$C20,RM_PM_Quantity[RM Name],$E20),0)</f>
        <v>0</v>
      </c>
      <c r="O20" s="84">
        <f>SUMIFS(RM_PM_Quantity[Quantity],RM_PM_Quantity[Date],O$1,RM_PM_Quantity[Location],$D20,RM_PM_Quantity[Section],$C20,RM_PM_Quantity[RM Name],$E20)+IF($D20="MIND/Pre-Production",SUMIFS(RM_PM_Quantity[Quantity],RM_PM_Quantity[Date],O$1,RM_PM_Quantity[Location],"MIDC/Pre-Production",RM_PM_Quantity[Section],$C20,RM_PM_Quantity[RM Name],$E20),0)</f>
        <v>0</v>
      </c>
      <c r="P20" s="84">
        <f>SUMIFS(RM_PM_Quantity[Quantity],RM_PM_Quantity[Date],P$1,RM_PM_Quantity[Location],$D20,RM_PM_Quantity[Section],$C20,RM_PM_Quantity[RM Name],$E20)+IF($D20="MIND/Pre-Production",SUMIFS(RM_PM_Quantity[Quantity],RM_PM_Quantity[Date],P$1,RM_PM_Quantity[Location],"MIDC/Pre-Production",RM_PM_Quantity[Section],$C20,RM_PM_Quantity[RM Name],$E20),0)</f>
        <v>0</v>
      </c>
      <c r="Q20" s="84">
        <f>SUMIFS(RM_PM_Quantity[Quantity],RM_PM_Quantity[Date],Q$1,RM_PM_Quantity[Location],$D20,RM_PM_Quantity[Section],$C20,RM_PM_Quantity[RM Name],$E20)+IF($D20="MIND/Pre-Production",SUMIFS(RM_PM_Quantity[Quantity],RM_PM_Quantity[Date],Q$1,RM_PM_Quantity[Location],"MIDC/Pre-Production",RM_PM_Quantity[Section],$C20,RM_PM_Quantity[RM Name],$E20),0)</f>
        <v>0</v>
      </c>
      <c r="R20" s="84">
        <f>SUMIFS(RM_PM_Quantity[Quantity],RM_PM_Quantity[Date],R$1,RM_PM_Quantity[Location],$D20,RM_PM_Quantity[Section],$C20,RM_PM_Quantity[RM Name],$E20)+IF($D20="MIND/Pre-Production",SUMIFS(RM_PM_Quantity[Quantity],RM_PM_Quantity[Date],R$1,RM_PM_Quantity[Location],"MIDC/Pre-Production",RM_PM_Quantity[Section],$C20,RM_PM_Quantity[RM Name],$E20),0)</f>
        <v>0</v>
      </c>
      <c r="S20" s="84">
        <f>SUMIFS(RM_PM_Quantity[Quantity],RM_PM_Quantity[Date],S$1,RM_PM_Quantity[Location],$D20,RM_PM_Quantity[Section],$C20,RM_PM_Quantity[RM Name],$E20)+IF($D20="MIND/Pre-Production",SUMIFS(RM_PM_Quantity[Quantity],RM_PM_Quantity[Date],S$1,RM_PM_Quantity[Location],"MIDC/Pre-Production",RM_PM_Quantity[Section],$C20,RM_PM_Quantity[RM Name],$E20),0)</f>
        <v>0</v>
      </c>
      <c r="T20" s="84">
        <f>SUMIFS(RM_PM_Quantity[Quantity],RM_PM_Quantity[Date],T$1,RM_PM_Quantity[Location],$D20,RM_PM_Quantity[Section],$C20,RM_PM_Quantity[RM Name],$E20)+IF($D20="MIND/Pre-Production",SUMIFS(RM_PM_Quantity[Quantity],RM_PM_Quantity[Date],T$1,RM_PM_Quantity[Location],"MIDC/Pre-Production",RM_PM_Quantity[Section],$C20,RM_PM_Quantity[RM Name],$E20),0)</f>
        <v>0</v>
      </c>
      <c r="U20" s="84">
        <f>SUMIFS(RM_PM_Quantity[Quantity],RM_PM_Quantity[Date],U$1,RM_PM_Quantity[Location],$D20,RM_PM_Quantity[Section],$C20,RM_PM_Quantity[RM Name],$E20)+IF($D20="MIND/Pre-Production",SUMIFS(RM_PM_Quantity[Quantity],RM_PM_Quantity[Date],U$1,RM_PM_Quantity[Location],"MIDC/Pre-Production",RM_PM_Quantity[Section],$C20,RM_PM_Quantity[RM Name],$E20),0)</f>
        <v>0</v>
      </c>
      <c r="V20" s="84">
        <f>SUMIFS(RM_PM_Quantity[Quantity],RM_PM_Quantity[Date],V$1,RM_PM_Quantity[Location],$D20,RM_PM_Quantity[Section],$C20,RM_PM_Quantity[RM Name],$E20)+IF($D20="MIND/Pre-Production",SUMIFS(RM_PM_Quantity[Quantity],RM_PM_Quantity[Date],V$1,RM_PM_Quantity[Location],"MIDC/Pre-Production",RM_PM_Quantity[Section],$C20,RM_PM_Quantity[RM Name],$E20),0)</f>
        <v>0</v>
      </c>
      <c r="W20" s="84">
        <f>SUMIFS(RM_PM_Quantity[Quantity],RM_PM_Quantity[Date],W$1,RM_PM_Quantity[Location],$D20,RM_PM_Quantity[Section],$C20,RM_PM_Quantity[RM Name],$E20)+IF($D20="MIND/Pre-Production",SUMIFS(RM_PM_Quantity[Quantity],RM_PM_Quantity[Date],W$1,RM_PM_Quantity[Location],"MIDC/Pre-Production",RM_PM_Quantity[Section],$C20,RM_PM_Quantity[RM Name],$E20),0)</f>
        <v>0</v>
      </c>
      <c r="X20" s="84">
        <f>SUMIFS(RM_PM_Quantity[Quantity],RM_PM_Quantity[Date],X$1,RM_PM_Quantity[Location],$D20,RM_PM_Quantity[Section],$C20,RM_PM_Quantity[RM Name],$E20)+IF($D20="MIND/Pre-Production",SUMIFS(RM_PM_Quantity[Quantity],RM_PM_Quantity[Date],X$1,RM_PM_Quantity[Location],"MIDC/Pre-Production",RM_PM_Quantity[Section],$C20,RM_PM_Quantity[RM Name],$E20),0)</f>
        <v>0</v>
      </c>
      <c r="Y20" s="84">
        <f>SUMIFS(RM_PM_Quantity[Quantity],RM_PM_Quantity[Date],Y$1,RM_PM_Quantity[Location],$D20,RM_PM_Quantity[Section],$C20,RM_PM_Quantity[RM Name],$E20)+IF($D20="MIND/Pre-Production",SUMIFS(RM_PM_Quantity[Quantity],RM_PM_Quantity[Date],Y$1,RM_PM_Quantity[Location],"MIDC/Pre-Production",RM_PM_Quantity[Section],$C20,RM_PM_Quantity[RM Name],$E20),0)</f>
        <v>0</v>
      </c>
      <c r="Z20" s="84">
        <f>SUMIFS(RM_PM_Quantity[Quantity],RM_PM_Quantity[Date],Z$1,RM_PM_Quantity[Location],$D20,RM_PM_Quantity[Section],$C20,RM_PM_Quantity[RM Name],$E20)+IF($D20="MIND/Pre-Production",SUMIFS(RM_PM_Quantity[Quantity],RM_PM_Quantity[Date],Z$1,RM_PM_Quantity[Location],"MIDC/Pre-Production",RM_PM_Quantity[Section],$C20,RM_PM_Quantity[RM Name],$E20),0)</f>
        <v>0</v>
      </c>
      <c r="AA20" s="84">
        <f>SUMIFS(RM_PM_Quantity[Quantity],RM_PM_Quantity[Date],AA$1,RM_PM_Quantity[Location],$D20,RM_PM_Quantity[Section],$C20,RM_PM_Quantity[RM Name],$E20)+IF($D20="MIND/Pre-Production",SUMIFS(RM_PM_Quantity[Quantity],RM_PM_Quantity[Date],AA$1,RM_PM_Quantity[Location],"MIDC/Pre-Production",RM_PM_Quantity[Section],$C20,RM_PM_Quantity[RM Name],$E20),0)</f>
        <v>0</v>
      </c>
      <c r="AB20" s="84">
        <f>SUMIFS(RM_PM_Quantity[Quantity],RM_PM_Quantity[Date],AB$1,RM_PM_Quantity[Location],$D20,RM_PM_Quantity[Section],$C20,RM_PM_Quantity[RM Name],$E20)+IF($D20="MIND/Pre-Production",SUMIFS(RM_PM_Quantity[Quantity],RM_PM_Quantity[Date],AB$1,RM_PM_Quantity[Location],"MIDC/Pre-Production",RM_PM_Quantity[Section],$C20,RM_PM_Quantity[RM Name],$E20),0)</f>
        <v>0</v>
      </c>
      <c r="AC20" s="84">
        <f>SUMIFS(RM_PM_Quantity[Quantity],RM_PM_Quantity[Date],AC$1,RM_PM_Quantity[Location],$D20,RM_PM_Quantity[Section],$C20,RM_PM_Quantity[RM Name],$E20)+IF($D20="MIND/Pre-Production",SUMIFS(RM_PM_Quantity[Quantity],RM_PM_Quantity[Date],AC$1,RM_PM_Quantity[Location],"MIDC/Pre-Production",RM_PM_Quantity[Section],$C20,RM_PM_Quantity[RM Name],$E20),0)</f>
        <v>0</v>
      </c>
      <c r="AD20" s="84">
        <f>SUMIFS(RM_PM_Quantity[Quantity],RM_PM_Quantity[Date],AD$1,RM_PM_Quantity[Location],$D20,RM_PM_Quantity[Section],$C20,RM_PM_Quantity[RM Name],$E20)+IF($D20="MIND/Pre-Production",SUMIFS(RM_PM_Quantity[Quantity],RM_PM_Quantity[Date],AD$1,RM_PM_Quantity[Location],"MIDC/Pre-Production",RM_PM_Quantity[Section],$C20,RM_PM_Quantity[RM Name],$E20),0)</f>
        <v>0</v>
      </c>
      <c r="AE20" s="84">
        <f>SUMIFS(RM_PM_Quantity[Quantity],RM_PM_Quantity[Date],AE$1,RM_PM_Quantity[Location],$D20,RM_PM_Quantity[Section],$C20,RM_PM_Quantity[RM Name],$E20)+IF($D20="MIND/Pre-Production",SUMIFS(RM_PM_Quantity[Quantity],RM_PM_Quantity[Date],AE$1,RM_PM_Quantity[Location],"MIDC/Pre-Production",RM_PM_Quantity[Section],$C20,RM_PM_Quantity[RM Name],$E20),0)</f>
        <v>0</v>
      </c>
      <c r="AF20" s="84">
        <f>SUMIFS(RM_PM_Quantity[Quantity],RM_PM_Quantity[Date],AF$1,RM_PM_Quantity[Location],$D20,RM_PM_Quantity[Section],$C20,RM_PM_Quantity[RM Name],$E20)+IF($D20="MIND/Pre-Production",SUMIFS(RM_PM_Quantity[Quantity],RM_PM_Quantity[Date],AF$1,RM_PM_Quantity[Location],"MIDC/Pre-Production",RM_PM_Quantity[Section],$C20,RM_PM_Quantity[RM Name],$E20),0)</f>
        <v>0</v>
      </c>
      <c r="AG20" s="84">
        <f>SUMIFS(RM_PM_Quantity[Quantity],RM_PM_Quantity[Date],AG$1,RM_PM_Quantity[Location],$D20,RM_PM_Quantity[Section],$C20,RM_PM_Quantity[RM Name],$E20)+IF($D20="MIND/Pre-Production",SUMIFS(RM_PM_Quantity[Quantity],RM_PM_Quantity[Date],AG$1,RM_PM_Quantity[Location],"MIDC/Pre-Production",RM_PM_Quantity[Section],$C20,RM_PM_Quantity[RM Name],$E20),0)</f>
        <v>0</v>
      </c>
      <c r="AH20" s="84">
        <f>SUMIFS(RM_PM_Quantity[Quantity],RM_PM_Quantity[Date],AH$1,RM_PM_Quantity[Location],$D20,RM_PM_Quantity[Section],$C20,RM_PM_Quantity[RM Name],$E20)+IF($D20="MIND/Pre-Production",SUMIFS(RM_PM_Quantity[Quantity],RM_PM_Quantity[Date],AH$1,RM_PM_Quantity[Location],"MIDC/Pre-Production",RM_PM_Quantity[Section],$C20,RM_PM_Quantity[RM Name],$E20),0)</f>
        <v>0</v>
      </c>
      <c r="AI20" s="84">
        <f>SUMIFS(RM_PM_Quantity[Quantity],RM_PM_Quantity[Date],AI$1,RM_PM_Quantity[Location],$D20,RM_PM_Quantity[Section],$C20,RM_PM_Quantity[RM Name],$E20)+IF($D20="MIND/Pre-Production",SUMIFS(RM_PM_Quantity[Quantity],RM_PM_Quantity[Date],AI$1,RM_PM_Quantity[Location],"MIDC/Pre-Production",RM_PM_Quantity[Section],$C20,RM_PM_Quantity[RM Name],$E20),0)</f>
        <v>0</v>
      </c>
      <c r="AJ20" s="84">
        <f>SUMIFS(RM_PM_Quantity[Quantity],RM_PM_Quantity[Date],AJ$1,RM_PM_Quantity[Location],$D20,RM_PM_Quantity[Section],$C20,RM_PM_Quantity[RM Name],$E20)+IF($D20="MIND/Pre-Production",SUMIFS(RM_PM_Quantity[Quantity],RM_PM_Quantity[Date],AJ$1,RM_PM_Quantity[Location],"MIDC/Pre-Production",RM_PM_Quantity[Section],$C20,RM_PM_Quantity[RM Name],$E20),0)</f>
        <v>0</v>
      </c>
      <c r="AK20" s="84">
        <f>SUMIFS(RM_PM_Quantity[Quantity],RM_PM_Quantity[Date],AK$1,RM_PM_Quantity[Location],$D20,RM_PM_Quantity[Section],$C20,RM_PM_Quantity[RM Name],$E20)+IF($D20="MIND/Pre-Production",SUMIFS(RM_PM_Quantity[Quantity],RM_PM_Quantity[Date],AK$1,RM_PM_Quantity[Location],"MIDC/Pre-Production",RM_PM_Quantity[Section],$C20,RM_PM_Quantity[RM Name],$E20),0)</f>
        <v>0</v>
      </c>
      <c r="AL20" s="84">
        <f>SUMIFS(RM_PM_Quantity[Quantity],RM_PM_Quantity[Date],AL$1,RM_PM_Quantity[Location],$D20,RM_PM_Quantity[Section],$C20,RM_PM_Quantity[RM Name],$E20)+IF($D20="MIND/Pre-Production",SUMIFS(RM_PM_Quantity[Quantity],RM_PM_Quantity[Date],AL$1,RM_PM_Quantity[Location],"MIDC/Pre-Production",RM_PM_Quantity[Section],$C20,RM_PM_Quantity[RM Name],$E20),0)</f>
        <v>0</v>
      </c>
      <c r="AM20" s="84">
        <f>SUMIFS(RM_PM_Quantity[Quantity],RM_PM_Quantity[Date],AM$1,RM_PM_Quantity[Location],$D20,RM_PM_Quantity[Section],$C20,RM_PM_Quantity[RM Name],$E20)+IF($D20="MIND/Pre-Production",SUMIFS(RM_PM_Quantity[Quantity],RM_PM_Quantity[Date],AM$1,RM_PM_Quantity[Location],"MIDC/Pre-Production",RM_PM_Quantity[Section],$C20,RM_PM_Quantity[RM Name],$E20),0)</f>
        <v>0</v>
      </c>
      <c r="AN20" s="84">
        <f>SUMIFS(RM_PM_Quantity[Quantity],RM_PM_Quantity[Date],AN$1,RM_PM_Quantity[Location],$D20,RM_PM_Quantity[Section],$C20,RM_PM_Quantity[RM Name],$E20)+IF($D20="MIND/Pre-Production",SUMIFS(RM_PM_Quantity[Quantity],RM_PM_Quantity[Date],AN$1,RM_PM_Quantity[Location],"MIDC/Pre-Production",RM_PM_Quantity[Section],$C20,RM_PM_Quantity[RM Name],$E20),0)</f>
        <v>0</v>
      </c>
      <c r="AO20" s="84">
        <f>SUMIFS(RM_PM_Quantity[Quantity],RM_PM_Quantity[Date],AO$1,RM_PM_Quantity[Location],$D20,RM_PM_Quantity[Section],$C20,RM_PM_Quantity[RM Name],$E20)+IF($D20="MIND/Pre-Production",SUMIFS(RM_PM_Quantity[Quantity],RM_PM_Quantity[Date],AO$1,RM_PM_Quantity[Location],"MIDC/Pre-Production",RM_PM_Quantity[Section],$C20,RM_PM_Quantity[RM Name],$E20),0)</f>
        <v>0</v>
      </c>
      <c r="AP20" s="84">
        <f>SUMIFS(RM_PM_Quantity[Quantity],RM_PM_Quantity[Date],AP$1,RM_PM_Quantity[Location],$D20,RM_PM_Quantity[Section],$C20,RM_PM_Quantity[RM Name],$E20)+IF($D20="MIND/Pre-Production",SUMIFS(RM_PM_Quantity[Quantity],RM_PM_Quantity[Date],AP$1,RM_PM_Quantity[Location],"MIDC/Pre-Production",RM_PM_Quantity[Section],$C20,RM_PM_Quantity[RM Name],$E20),0)</f>
        <v>0</v>
      </c>
      <c r="AQ20" s="84">
        <f>SUMIFS(RM_PM_Quantity[Quantity],RM_PM_Quantity[Date],AQ$1,RM_PM_Quantity[Location],$D20,RM_PM_Quantity[Section],$C20,RM_PM_Quantity[RM Name],$E20)+IF($D20="MIND/Pre-Production",SUMIFS(RM_PM_Quantity[Quantity],RM_PM_Quantity[Date],AQ$1,RM_PM_Quantity[Location],"MIDC/Pre-Production",RM_PM_Quantity[Section],$C20,RM_PM_Quantity[RM Name],$E20),0)</f>
        <v>0</v>
      </c>
      <c r="AR20" s="84">
        <f>SUMIFS(RM_PM_Quantity[Quantity],RM_PM_Quantity[Date],AR$1,RM_PM_Quantity[Location],$D20,RM_PM_Quantity[Section],$C20,RM_PM_Quantity[RM Name],$E20)+IF($D20="MIND/Pre-Production",SUMIFS(RM_PM_Quantity[Quantity],RM_PM_Quantity[Date],AR$1,RM_PM_Quantity[Location],"MIDC/Pre-Production",RM_PM_Quantity[Section],$C20,RM_PM_Quantity[RM Name],$E20),0)</f>
        <v>0</v>
      </c>
      <c r="AS20" s="84">
        <f>SUMIFS(RM_PM_Quantity[Quantity],RM_PM_Quantity[Date],AS$1,RM_PM_Quantity[Location],$D20,RM_PM_Quantity[Section],$C20,RM_PM_Quantity[RM Name],$E20)+IF($D20="MIND/Pre-Production",SUMIFS(RM_PM_Quantity[Quantity],RM_PM_Quantity[Date],AS$1,RM_PM_Quantity[Location],"MIDC/Pre-Production",RM_PM_Quantity[Section],$C20,RM_PM_Quantity[RM Name],$E20),0)</f>
        <v>0</v>
      </c>
      <c r="AT20" s="84">
        <f>SUMIFS(RM_PM_Quantity[Quantity],RM_PM_Quantity[Date],AT$1,RM_PM_Quantity[Location],$D20,RM_PM_Quantity[Section],$C20,RM_PM_Quantity[RM Name],$E20)+IF($D20="MIND/Pre-Production",SUMIFS(RM_PM_Quantity[Quantity],RM_PM_Quantity[Date],AT$1,RM_PM_Quantity[Location],"MIDC/Pre-Production",RM_PM_Quantity[Section],$C20,RM_PM_Quantity[RM Name],$E20),0)</f>
        <v>0</v>
      </c>
      <c r="AU20" s="84">
        <f>SUMIFS(RM_PM_Quantity[Quantity],RM_PM_Quantity[Date],AU$1,RM_PM_Quantity[Location],$D20,RM_PM_Quantity[Section],$C20,RM_PM_Quantity[RM Name],$E20)+IF($D20="MIND/Pre-Production",SUMIFS(RM_PM_Quantity[Quantity],RM_PM_Quantity[Date],AU$1,RM_PM_Quantity[Location],"MIDC/Pre-Production",RM_PM_Quantity[Section],$C20,RM_PM_Quantity[RM Name],$E20),0)</f>
        <v>0</v>
      </c>
      <c r="AV20" s="84">
        <f>SUMIFS(RM_PM_Quantity[Quantity],RM_PM_Quantity[Date],AV$1,RM_PM_Quantity[Location],$D20,RM_PM_Quantity[Section],$C20,RM_PM_Quantity[RM Name],$E20)+IF($D20="MIND/Pre-Production",SUMIFS(RM_PM_Quantity[Quantity],RM_PM_Quantity[Date],AV$1,RM_PM_Quantity[Location],"MIDC/Pre-Production",RM_PM_Quantity[Section],$C20,RM_PM_Quantity[RM Name],$E20),0)</f>
        <v>0</v>
      </c>
      <c r="AW20" s="84">
        <f>SUMIFS(RM_PM_Quantity[Quantity],RM_PM_Quantity[Date],AW$1,RM_PM_Quantity[Location],$D20,RM_PM_Quantity[Section],$C20,RM_PM_Quantity[RM Name],$E20)+IF($D20="MIND/Pre-Production",SUMIFS(RM_PM_Quantity[Quantity],RM_PM_Quantity[Date],AW$1,RM_PM_Quantity[Location],"MIDC/Pre-Production",RM_PM_Quantity[Section],$C20,RM_PM_Quantity[RM Name],$E20),0)</f>
        <v>0</v>
      </c>
      <c r="AX20" s="84">
        <f>SUMIFS(RM_PM_Quantity[Quantity],RM_PM_Quantity[Date],AX$1,RM_PM_Quantity[Location],$D20,RM_PM_Quantity[Section],$C20,RM_PM_Quantity[RM Name],$E20)+IF($D20="MIND/Pre-Production",SUMIFS(RM_PM_Quantity[Quantity],RM_PM_Quantity[Date],AX$1,RM_PM_Quantity[Location],"MIDC/Pre-Production",RM_PM_Quantity[Section],$C20,RM_PM_Quantity[RM Name],$E20),0)</f>
        <v>0</v>
      </c>
      <c r="AY20" s="84">
        <f>SUMIFS(RM_PM_Quantity[Quantity],RM_PM_Quantity[Date],AY$1,RM_PM_Quantity[Location],$D20,RM_PM_Quantity[Section],$C20,RM_PM_Quantity[RM Name],$E20)+IF($D20="MIND/Pre-Production",SUMIFS(RM_PM_Quantity[Quantity],RM_PM_Quantity[Date],AY$1,RM_PM_Quantity[Location],"MIDC/Pre-Production",RM_PM_Quantity[Section],$C20,RM_PM_Quantity[RM Name],$E20),0)</f>
        <v>0</v>
      </c>
      <c r="AZ20" s="84">
        <f>SUMIFS(RM_PM_Quantity[Quantity],RM_PM_Quantity[Date],AZ$1,RM_PM_Quantity[Location],$D20,RM_PM_Quantity[Section],$C20,RM_PM_Quantity[RM Name],$E20)+IF($D20="MIND/Pre-Production",SUMIFS(RM_PM_Quantity[Quantity],RM_PM_Quantity[Date],AZ$1,RM_PM_Quantity[Location],"MIDC/Pre-Production",RM_PM_Quantity[Section],$C20,RM_PM_Quantity[RM Name],$E20),0)</f>
        <v>0</v>
      </c>
      <c r="BA20" s="84">
        <f>SUMIFS(RM_PM_Quantity[Quantity],RM_PM_Quantity[Date],BA$1,RM_PM_Quantity[Location],$D20,RM_PM_Quantity[Section],$C20,RM_PM_Quantity[RM Name],$E20)+IF($D20="MIND/Pre-Production",SUMIFS(RM_PM_Quantity[Quantity],RM_PM_Quantity[Date],BA$1,RM_PM_Quantity[Location],"MIDC/Pre-Production",RM_PM_Quantity[Section],$C20,RM_PM_Quantity[RM Name],$E20),0)</f>
        <v>0</v>
      </c>
      <c r="BB20" s="84">
        <f>SUMIFS(RM_PM_Quantity[Quantity],RM_PM_Quantity[Date],BB$1,RM_PM_Quantity[Location],$D20,RM_PM_Quantity[Section],$C20,RM_PM_Quantity[RM Name],$E20)+IF($D20="MIND/Pre-Production",SUMIFS(RM_PM_Quantity[Quantity],RM_PM_Quantity[Date],BB$1,RM_PM_Quantity[Location],"MIDC/Pre-Production",RM_PM_Quantity[Section],$C20,RM_PM_Quantity[RM Name],$E20),0)</f>
        <v>0</v>
      </c>
      <c r="BC20" s="84">
        <f>SUMIFS(RM_PM_Quantity[Quantity],RM_PM_Quantity[Date],BC$1,RM_PM_Quantity[Location],$D20,RM_PM_Quantity[Section],$C20,RM_PM_Quantity[RM Name],$E20)+IF($D20="MIND/Pre-Production",SUMIFS(RM_PM_Quantity[Quantity],RM_PM_Quantity[Date],BC$1,RM_PM_Quantity[Location],"MIDC/Pre-Production",RM_PM_Quantity[Section],$C20,RM_PM_Quantity[RM Name],$E20),0)</f>
        <v>0</v>
      </c>
      <c r="BD20" s="84">
        <f>SUMIFS(RM_PM_Quantity[Quantity],RM_PM_Quantity[Date],BD$1,RM_PM_Quantity[Location],$D20,RM_PM_Quantity[Section],$C20,RM_PM_Quantity[RM Name],$E20)+IF($D20="MIND/Pre-Production",SUMIFS(RM_PM_Quantity[Quantity],RM_PM_Quantity[Date],BD$1,RM_PM_Quantity[Location],"MIDC/Pre-Production",RM_PM_Quantity[Section],$C20,RM_PM_Quantity[RM Name],$E20),0)</f>
        <v>0</v>
      </c>
      <c r="BE20" s="84">
        <f>SUMIFS(RM_PM_Quantity[Quantity],RM_PM_Quantity[Date],BE$1,RM_PM_Quantity[Location],$D20,RM_PM_Quantity[Section],$C20,RM_PM_Quantity[RM Name],$E20)+IF($D20="MIND/Pre-Production",SUMIFS(RM_PM_Quantity[Quantity],RM_PM_Quantity[Date],BE$1,RM_PM_Quantity[Location],"MIDC/Pre-Production",RM_PM_Quantity[Section],$C20,RM_PM_Quantity[RM Name],$E20),0)</f>
        <v>0</v>
      </c>
      <c r="BF20" s="84">
        <f>SUMIFS(RM_PM_Quantity[Quantity],RM_PM_Quantity[Date],BF$1,RM_PM_Quantity[Location],$D20,RM_PM_Quantity[Section],$C20,RM_PM_Quantity[RM Name],$E20)+IF($D20="MIND/Pre-Production",SUMIFS(RM_PM_Quantity[Quantity],RM_PM_Quantity[Date],BF$1,RM_PM_Quantity[Location],"MIDC/Pre-Production",RM_PM_Quantity[Section],$C20,RM_PM_Quantity[RM Name],$E20),0)</f>
        <v>0</v>
      </c>
      <c r="BG20" s="84">
        <f>SUMIFS(RM_PM_Quantity[Quantity],RM_PM_Quantity[Date],BG$1,RM_PM_Quantity[Location],$D20,RM_PM_Quantity[Section],$C20,RM_PM_Quantity[RM Name],$E20)+IF($D20="MIND/Pre-Production",SUMIFS(RM_PM_Quantity[Quantity],RM_PM_Quantity[Date],BG$1,RM_PM_Quantity[Location],"MIDC/Pre-Production",RM_PM_Quantity[Section],$C20,RM_PM_Quantity[RM Name],$E20),0)</f>
        <v>0</v>
      </c>
      <c r="BH20" s="84">
        <f>SUMIFS(RM_PM_Quantity[Quantity],RM_PM_Quantity[Date],BH$1,RM_PM_Quantity[Location],$D20,RM_PM_Quantity[Section],$C20,RM_PM_Quantity[RM Name],$E20)+IF($D20="MIND/Pre-Production",SUMIFS(RM_PM_Quantity[Quantity],RM_PM_Quantity[Date],BH$1,RM_PM_Quantity[Location],"MIDC/Pre-Production",RM_PM_Quantity[Section],$C20,RM_PM_Quantity[RM Name],$E20),0)</f>
        <v>0</v>
      </c>
      <c r="BI20" s="84">
        <f>SUMIFS(RM_PM_Quantity[Quantity],RM_PM_Quantity[Date],BI$1,RM_PM_Quantity[Location],$D20,RM_PM_Quantity[Section],$C20,RM_PM_Quantity[RM Name],$E20)+IF($D20="MIND/Pre-Production",SUMIFS(RM_PM_Quantity[Quantity],RM_PM_Quantity[Date],BI$1,RM_PM_Quantity[Location],"MIDC/Pre-Production",RM_PM_Quantity[Section],$C20,RM_PM_Quantity[RM Name],$E20),0)</f>
        <v>0</v>
      </c>
      <c r="BJ20" s="84">
        <f>SUMIFS(RM_PM_Quantity[Quantity],RM_PM_Quantity[Date],BJ$1,RM_PM_Quantity[Location],$D20,RM_PM_Quantity[Section],$C20,RM_PM_Quantity[RM Name],$E20)+IF($D20="MIND/Pre-Production",SUMIFS(RM_PM_Quantity[Quantity],RM_PM_Quantity[Date],BJ$1,RM_PM_Quantity[Location],"MIDC/Pre-Production",RM_PM_Quantity[Section],$C20,RM_PM_Quantity[RM Name],$E20),0)</f>
        <v>0</v>
      </c>
      <c r="BK20" s="84">
        <f>SUMIFS(RM_PM_Quantity[Quantity],RM_PM_Quantity[Date],BK$1,RM_PM_Quantity[Location],$D20,RM_PM_Quantity[Section],$C20,RM_PM_Quantity[RM Name],$E20)+IF($D20="MIND/Pre-Production",SUMIFS(RM_PM_Quantity[Quantity],RM_PM_Quantity[Date],BK$1,RM_PM_Quantity[Location],"MIDC/Pre-Production",RM_PM_Quantity[Section],$C20,RM_PM_Quantity[RM Name],$E20),0)</f>
        <v>0</v>
      </c>
      <c r="BL20" s="84">
        <f>SUMIFS(RM_PM_Quantity[Quantity],RM_PM_Quantity[Date],BL$1,RM_PM_Quantity[Location],$D20,RM_PM_Quantity[Section],$C20,RM_PM_Quantity[RM Name],$E20)+IF($D20="MIND/Pre-Production",SUMIFS(RM_PM_Quantity[Quantity],RM_PM_Quantity[Date],BL$1,RM_PM_Quantity[Location],"MIDC/Pre-Production",RM_PM_Quantity[Section],$C20,RM_PM_Quantity[RM Name],$E20),0)</f>
        <v>0</v>
      </c>
      <c r="BM20" s="84">
        <f>SUMIFS(RM_PM_Quantity[Quantity],RM_PM_Quantity[Date],BM$1,RM_PM_Quantity[Location],$D20,RM_PM_Quantity[Section],$C20,RM_PM_Quantity[RM Name],$E20)+IF($D20="MIND/Pre-Production",SUMIFS(RM_PM_Quantity[Quantity],RM_PM_Quantity[Date],BM$1,RM_PM_Quantity[Location],"MIDC/Pre-Production",RM_PM_Quantity[Section],$C20,RM_PM_Quantity[RM Name],$E20),0)</f>
        <v>0</v>
      </c>
      <c r="BN20" s="84">
        <f>SUMIFS(RM_PM_Quantity[Quantity],RM_PM_Quantity[Date],BN$1,RM_PM_Quantity[Location],$D20,RM_PM_Quantity[Section],$C20,RM_PM_Quantity[RM Name],$E20)+IF($D20="MIND/Pre-Production",SUMIFS(RM_PM_Quantity[Quantity],RM_PM_Quantity[Date],BN$1,RM_PM_Quantity[Location],"MIDC/Pre-Production",RM_PM_Quantity[Section],$C20,RM_PM_Quantity[RM Name],$E20),0)</f>
        <v>0</v>
      </c>
      <c r="BO20" s="84">
        <f>SUMIFS(RM_PM_Quantity[Quantity],RM_PM_Quantity[Date],BO$1,RM_PM_Quantity[Location],$D20,RM_PM_Quantity[Section],$C20,RM_PM_Quantity[RM Name],$E20)+IF($D20="MIND/Pre-Production",SUMIFS(RM_PM_Quantity[Quantity],RM_PM_Quantity[Date],BO$1,RM_PM_Quantity[Location],"MIDC/Pre-Production",RM_PM_Quantity[Section],$C20,RM_PM_Quantity[RM Name],$E20),0)</f>
        <v>0</v>
      </c>
      <c r="BP20" s="84">
        <f>SUMIFS(RM_PM_Quantity[Quantity],RM_PM_Quantity[Date],BP$1,RM_PM_Quantity[Location],$D20,RM_PM_Quantity[Section],$C20,RM_PM_Quantity[RM Name],$E20)+IF($D20="MIND/Pre-Production",SUMIFS(RM_PM_Quantity[Quantity],RM_PM_Quantity[Date],BP$1,RM_PM_Quantity[Location],"MIDC/Pre-Production",RM_PM_Quantity[Section],$C20,RM_PM_Quantity[RM Name],$E20),0)</f>
        <v>0</v>
      </c>
      <c r="BQ20" s="84">
        <f>SUMIFS(RM_PM_Quantity[Quantity],RM_PM_Quantity[Date],BQ$1,RM_PM_Quantity[Location],$D20,RM_PM_Quantity[Section],$C20,RM_PM_Quantity[RM Name],$E20)+IF($D20="MIND/Pre-Production",SUMIFS(RM_PM_Quantity[Quantity],RM_PM_Quantity[Date],BQ$1,RM_PM_Quantity[Location],"MIDC/Pre-Production",RM_PM_Quantity[Section],$C20,RM_PM_Quantity[RM Name],$E20),0)</f>
        <v>0</v>
      </c>
      <c r="BR20" s="84">
        <f>SUMIFS(RM_PM_Quantity[Quantity],RM_PM_Quantity[Date],BR$1,RM_PM_Quantity[Location],$D20,RM_PM_Quantity[Section],$C20,RM_PM_Quantity[RM Name],$E20)+IF($D20="MIND/Pre-Production",SUMIFS(RM_PM_Quantity[Quantity],RM_PM_Quantity[Date],BR$1,RM_PM_Quantity[Location],"MIDC/Pre-Production",RM_PM_Quantity[Section],$C20,RM_PM_Quantity[RM Name],$E20),0)</f>
        <v>0</v>
      </c>
      <c r="BS20" s="84">
        <f>SUMIFS(RM_PM_Quantity[Quantity],RM_PM_Quantity[Date],BS$1,RM_PM_Quantity[Location],$D20,RM_PM_Quantity[Section],$C20,RM_PM_Quantity[RM Name],$E20)+IF($D20="MIND/Pre-Production",SUMIFS(RM_PM_Quantity[Quantity],RM_PM_Quantity[Date],BS$1,RM_PM_Quantity[Location],"MIDC/Pre-Production",RM_PM_Quantity[Section],$C20,RM_PM_Quantity[RM Name],$E20),0)</f>
        <v>0</v>
      </c>
      <c r="BT20" s="84">
        <f>SUMIFS(RM_PM_Quantity[ID],RM_PM_Quantity[Location],BT$1,RM_PM_Quantity[Section],$D20,RM_PM_Quantity[RM Name],$C20,RM_PM_Quantity[Quantity],$E20)+IF($D20="MIND/Pre-Production",SUMIFS(RM_PM_Quantity[ID],RM_PM_Quantity[Location],BT$1,RM_PM_Quantity[Section],"MIDC/Pre-Production",RM_PM_Quantity[RM Name],$C20,RM_PM_Quantity[Quantity],$E20),0)</f>
        <v>0</v>
      </c>
      <c r="BU20" s="84">
        <f>SUMIFS(RM_PM_Quantity[Name of Supervisor],RM_PM_Quantity[Section],BU$1,RM_PM_Quantity[RM Name],$D20,RM_PM_Quantity[Quantity],$C20,RM_PM_Quantity[ID],$E20)+IF($D20="MIND/Pre-Production",SUMIFS(RM_PM_Quantity[Name of Supervisor],RM_PM_Quantity[Section],BU$1,RM_PM_Quantity[RM Name],"MIDC/Pre-Production",RM_PM_Quantity[Quantity],$C20,RM_PM_Quantity[ID],$E20),0)</f>
        <v>0</v>
      </c>
      <c r="BV20" s="84">
        <f>SUMIFS(RM_PM_Quantity[Date],RM_PM_Quantity[RM Name],BV$1,RM_PM_Quantity[Quantity],$D20,RM_PM_Quantity[ID],$C20,RM_PM_Quantity[Name of Supervisor],$E20)+IF($D20="MIND/Pre-Production",SUMIFS(RM_PM_Quantity[Date],RM_PM_Quantity[RM Name],BV$1,RM_PM_Quantity[Quantity],"MIDC/Pre-Production",RM_PM_Quantity[ID],$C20,RM_PM_Quantity[Name of Supervisor],$E20),0)</f>
        <v>0</v>
      </c>
      <c r="BW20" s="84">
        <f>SUMIFS(RM_PM_Quantity[Location],RM_PM_Quantity[Quantity],BW$1,RM_PM_Quantity[ID],$D20,RM_PM_Quantity[Name of Supervisor],$C20,RM_PM_Quantity[Date],$E20)+IF($D20="MIND/Pre-Production",SUMIFS(RM_PM_Quantity[Location],RM_PM_Quantity[Quantity],BW$1,RM_PM_Quantity[ID],"MIDC/Pre-Production",RM_PM_Quantity[Name of Supervisor],$C20,RM_PM_Quantity[Date],$E20),0)</f>
        <v>0</v>
      </c>
      <c r="BX20" s="84">
        <f>SUMIFS(RM_PM_Quantity[Section],RM_PM_Quantity[ID],BX$1,RM_PM_Quantity[Name of Supervisor],$D20,RM_PM_Quantity[Date],$C20,RM_PM_Quantity[Location],$E20)+IF($D20="MIND/Pre-Production",SUMIFS(RM_PM_Quantity[Section],RM_PM_Quantity[ID],BX$1,RM_PM_Quantity[Name of Supervisor],"MIDC/Pre-Production",RM_PM_Quantity[Date],$C20,RM_PM_Quantity[Location],$E20),0)</f>
        <v>0</v>
      </c>
      <c r="BY20" s="84">
        <f>SUMIFS(RM_PM_Quantity[RM Name],RM_PM_Quantity[Name of Supervisor],BY$1,RM_PM_Quantity[Date],$D20,RM_PM_Quantity[Location],$C20,RM_PM_Quantity[Section],$E20)+IF($D20="MIND/Pre-Production",SUMIFS(RM_PM_Quantity[RM Name],RM_PM_Quantity[Name of Supervisor],BY$1,RM_PM_Quantity[Date],"MIDC/Pre-Production",RM_PM_Quantity[Location],$C20,RM_PM_Quantity[Section],$E20),0)</f>
        <v>0</v>
      </c>
    </row>
    <row r="21" spans="1:77" ht="45.75" customHeight="1">
      <c r="A21" s="79">
        <v>20</v>
      </c>
      <c r="B21" s="79" t="s">
        <v>94</v>
      </c>
      <c r="C21" s="80" t="s">
        <v>92</v>
      </c>
      <c r="D21" s="81" t="s">
        <v>68</v>
      </c>
      <c r="E21" s="82" t="s">
        <v>95</v>
      </c>
      <c r="F21" s="83">
        <f>IFERROR(_xlfn.XLOOKUP(B21,'[1]RM Tracker'!B:B,'[1]RM Tracker'!E:E),"0")</f>
        <v>242.52000000000041</v>
      </c>
      <c r="G21" s="85">
        <f t="shared" si="2"/>
        <v>0</v>
      </c>
      <c r="H21" s="85">
        <f t="shared" si="0"/>
        <v>-242.52000000000041</v>
      </c>
      <c r="I21" s="91">
        <f t="shared" si="1"/>
        <v>0</v>
      </c>
      <c r="J21" s="84">
        <f>SUMIFS(RM_PM_Quantity[Quantity],RM_PM_Quantity[Date],J$1,RM_PM_Quantity[Location],$D21,RM_PM_Quantity[Section],$C21,RM_PM_Quantity[RM Name],$E21)+IF($D21="MIND/Pre-Production",SUMIFS(RM_PM_Quantity[Quantity],RM_PM_Quantity[Date],J$1,RM_PM_Quantity[Location],"MIDC/Pre-Production",RM_PM_Quantity[Section],$C21,RM_PM_Quantity[RM Name],$E21),0)</f>
        <v>0</v>
      </c>
      <c r="K21" s="84">
        <f>SUMIFS(RM_PM_Quantity[Quantity],RM_PM_Quantity[Date],K$1,RM_PM_Quantity[Location],$D21,RM_PM_Quantity[Section],$C21,RM_PM_Quantity[RM Name],$E21)+IF($D21="MIND/Pre-Production",SUMIFS(RM_PM_Quantity[Quantity],RM_PM_Quantity[Date],K$1,RM_PM_Quantity[Location],"MIDC/Pre-Production",RM_PM_Quantity[Section],$C21,RM_PM_Quantity[RM Name],$E21),0)</f>
        <v>0</v>
      </c>
      <c r="L21" s="84">
        <f>SUMIFS(RM_PM_Quantity[Quantity],RM_PM_Quantity[Date],L$1,RM_PM_Quantity[Location],$D21,RM_PM_Quantity[Section],$C21,RM_PM_Quantity[RM Name],$E21)+IF($D21="MIND/Pre-Production",SUMIFS(RM_PM_Quantity[Quantity],RM_PM_Quantity[Date],L$1,RM_PM_Quantity[Location],"MIDC/Pre-Production",RM_PM_Quantity[Section],$C21,RM_PM_Quantity[RM Name],$E21),0)</f>
        <v>0</v>
      </c>
      <c r="M21" s="84">
        <f>SUMIFS(RM_PM_Quantity[Quantity],RM_PM_Quantity[Date],M$1,RM_PM_Quantity[Location],$D21,RM_PM_Quantity[Section],$C21,RM_PM_Quantity[RM Name],$E21)+IF($D21="MIND/Pre-Production",SUMIFS(RM_PM_Quantity[Quantity],RM_PM_Quantity[Date],M$1,RM_PM_Quantity[Location],"MIDC/Pre-Production",RM_PM_Quantity[Section],$C21,RM_PM_Quantity[RM Name],$E21),0)</f>
        <v>2000</v>
      </c>
      <c r="N21" s="84">
        <f>SUMIFS(RM_PM_Quantity[Quantity],RM_PM_Quantity[Date],N$1,RM_PM_Quantity[Location],$D21,RM_PM_Quantity[Section],$C21,RM_PM_Quantity[RM Name],$E21)+IF($D21="MIND/Pre-Production",SUMIFS(RM_PM_Quantity[Quantity],RM_PM_Quantity[Date],N$1,RM_PM_Quantity[Location],"MIDC/Pre-Production",RM_PM_Quantity[Section],$C21,RM_PM_Quantity[RM Name],$E21),0)</f>
        <v>0</v>
      </c>
      <c r="O21" s="84">
        <f>SUMIFS(RM_PM_Quantity[Quantity],RM_PM_Quantity[Date],O$1,RM_PM_Quantity[Location],$D21,RM_PM_Quantity[Section],$C21,RM_PM_Quantity[RM Name],$E21)+IF($D21="MIND/Pre-Production",SUMIFS(RM_PM_Quantity[Quantity],RM_PM_Quantity[Date],O$1,RM_PM_Quantity[Location],"MIDC/Pre-Production",RM_PM_Quantity[Section],$C21,RM_PM_Quantity[RM Name],$E21),0)</f>
        <v>0</v>
      </c>
      <c r="P21" s="84">
        <f>SUMIFS(RM_PM_Quantity[Quantity],RM_PM_Quantity[Date],P$1,RM_PM_Quantity[Location],$D21,RM_PM_Quantity[Section],$C21,RM_PM_Quantity[RM Name],$E21)+IF($D21="MIND/Pre-Production",SUMIFS(RM_PM_Quantity[Quantity],RM_PM_Quantity[Date],P$1,RM_PM_Quantity[Location],"MIDC/Pre-Production",RM_PM_Quantity[Section],$C21,RM_PM_Quantity[RM Name],$E21),0)</f>
        <v>0</v>
      </c>
      <c r="Q21" s="84">
        <f>SUMIFS(RM_PM_Quantity[Quantity],RM_PM_Quantity[Date],Q$1,RM_PM_Quantity[Location],$D21,RM_PM_Quantity[Section],$C21,RM_PM_Quantity[RM Name],$E21)+IF($D21="MIND/Pre-Production",SUMIFS(RM_PM_Quantity[Quantity],RM_PM_Quantity[Date],Q$1,RM_PM_Quantity[Location],"MIDC/Pre-Production",RM_PM_Quantity[Section],$C21,RM_PM_Quantity[RM Name],$E21),0)</f>
        <v>0</v>
      </c>
      <c r="R21" s="84">
        <f>SUMIFS(RM_PM_Quantity[Quantity],RM_PM_Quantity[Date],R$1,RM_PM_Quantity[Location],$D21,RM_PM_Quantity[Section],$C21,RM_PM_Quantity[RM Name],$E21)+IF($D21="MIND/Pre-Production",SUMIFS(RM_PM_Quantity[Quantity],RM_PM_Quantity[Date],R$1,RM_PM_Quantity[Location],"MIDC/Pre-Production",RM_PM_Quantity[Section],$C21,RM_PM_Quantity[RM Name],$E21),0)</f>
        <v>0</v>
      </c>
      <c r="S21" s="84">
        <f>SUMIFS(RM_PM_Quantity[Quantity],RM_PM_Quantity[Date],S$1,RM_PM_Quantity[Location],$D21,RM_PM_Quantity[Section],$C21,RM_PM_Quantity[RM Name],$E21)+IF($D21="MIND/Pre-Production",SUMIFS(RM_PM_Quantity[Quantity],RM_PM_Quantity[Date],S$1,RM_PM_Quantity[Location],"MIDC/Pre-Production",RM_PM_Quantity[Section],$C21,RM_PM_Quantity[RM Name],$E21),0)</f>
        <v>0</v>
      </c>
      <c r="T21" s="84">
        <f>SUMIFS(RM_PM_Quantity[Quantity],RM_PM_Quantity[Date],T$1,RM_PM_Quantity[Location],$D21,RM_PM_Quantity[Section],$C21,RM_PM_Quantity[RM Name],$E21)+IF($D21="MIND/Pre-Production",SUMIFS(RM_PM_Quantity[Quantity],RM_PM_Quantity[Date],T$1,RM_PM_Quantity[Location],"MIDC/Pre-Production",RM_PM_Quantity[Section],$C21,RM_PM_Quantity[RM Name],$E21),0)</f>
        <v>0</v>
      </c>
      <c r="U21" s="84">
        <f>SUMIFS(RM_PM_Quantity[Quantity],RM_PM_Quantity[Date],U$1,RM_PM_Quantity[Location],$D21,RM_PM_Quantity[Section],$C21,RM_PM_Quantity[RM Name],$E21)+IF($D21="MIND/Pre-Production",SUMIFS(RM_PM_Quantity[Quantity],RM_PM_Quantity[Date],U$1,RM_PM_Quantity[Location],"MIDC/Pre-Production",RM_PM_Quantity[Section],$C21,RM_PM_Quantity[RM Name],$E21),0)</f>
        <v>0</v>
      </c>
      <c r="V21" s="84">
        <f>SUMIFS(RM_PM_Quantity[Quantity],RM_PM_Quantity[Date],V$1,RM_PM_Quantity[Location],$D21,RM_PM_Quantity[Section],$C21,RM_PM_Quantity[RM Name],$E21)+IF($D21="MIND/Pre-Production",SUMIFS(RM_PM_Quantity[Quantity],RM_PM_Quantity[Date],V$1,RM_PM_Quantity[Location],"MIDC/Pre-Production",RM_PM_Quantity[Section],$C21,RM_PM_Quantity[RM Name],$E21),0)</f>
        <v>0</v>
      </c>
      <c r="W21" s="84">
        <f>SUMIFS(RM_PM_Quantity[Quantity],RM_PM_Quantity[Date],W$1,RM_PM_Quantity[Location],$D21,RM_PM_Quantity[Section],$C21,RM_PM_Quantity[RM Name],$E21)+IF($D21="MIND/Pre-Production",SUMIFS(RM_PM_Quantity[Quantity],RM_PM_Quantity[Date],W$1,RM_PM_Quantity[Location],"MIDC/Pre-Production",RM_PM_Quantity[Section],$C21,RM_PM_Quantity[RM Name],$E21),0)</f>
        <v>0</v>
      </c>
      <c r="X21" s="84">
        <f>SUMIFS(RM_PM_Quantity[Quantity],RM_PM_Quantity[Date],X$1,RM_PM_Quantity[Location],$D21,RM_PM_Quantity[Section],$C21,RM_PM_Quantity[RM Name],$E21)+IF($D21="MIND/Pre-Production",SUMIFS(RM_PM_Quantity[Quantity],RM_PM_Quantity[Date],X$1,RM_PM_Quantity[Location],"MIDC/Pre-Production",RM_PM_Quantity[Section],$C21,RM_PM_Quantity[RM Name],$E21),0)</f>
        <v>0</v>
      </c>
      <c r="Y21" s="84">
        <f>SUMIFS(RM_PM_Quantity[Quantity],RM_PM_Quantity[Date],Y$1,RM_PM_Quantity[Location],$D21,RM_PM_Quantity[Section],$C21,RM_PM_Quantity[RM Name],$E21)+IF($D21="MIND/Pre-Production",SUMIFS(RM_PM_Quantity[Quantity],RM_PM_Quantity[Date],Y$1,RM_PM_Quantity[Location],"MIDC/Pre-Production",RM_PM_Quantity[Section],$C21,RM_PM_Quantity[RM Name],$E21),0)</f>
        <v>0</v>
      </c>
      <c r="Z21" s="84">
        <f>SUMIFS(RM_PM_Quantity[Quantity],RM_PM_Quantity[Date],Z$1,RM_PM_Quantity[Location],$D21,RM_PM_Quantity[Section],$C21,RM_PM_Quantity[RM Name],$E21)+IF($D21="MIND/Pre-Production",SUMIFS(RM_PM_Quantity[Quantity],RM_PM_Quantity[Date],Z$1,RM_PM_Quantity[Location],"MIDC/Pre-Production",RM_PM_Quantity[Section],$C21,RM_PM_Quantity[RM Name],$E21),0)</f>
        <v>0</v>
      </c>
      <c r="AA21" s="84">
        <f>SUMIFS(RM_PM_Quantity[Quantity],RM_PM_Quantity[Date],AA$1,RM_PM_Quantity[Location],$D21,RM_PM_Quantity[Section],$C21,RM_PM_Quantity[RM Name],$E21)+IF($D21="MIND/Pre-Production",SUMIFS(RM_PM_Quantity[Quantity],RM_PM_Quantity[Date],AA$1,RM_PM_Quantity[Location],"MIDC/Pre-Production",RM_PM_Quantity[Section],$C21,RM_PM_Quantity[RM Name],$E21),0)</f>
        <v>0</v>
      </c>
      <c r="AB21" s="84">
        <f>SUMIFS(RM_PM_Quantity[Quantity],RM_PM_Quantity[Date],AB$1,RM_PM_Quantity[Location],$D21,RM_PM_Quantity[Section],$C21,RM_PM_Quantity[RM Name],$E21)+IF($D21="MIND/Pre-Production",SUMIFS(RM_PM_Quantity[Quantity],RM_PM_Quantity[Date],AB$1,RM_PM_Quantity[Location],"MIDC/Pre-Production",RM_PM_Quantity[Section],$C21,RM_PM_Quantity[RM Name],$E21),0)</f>
        <v>0</v>
      </c>
      <c r="AC21" s="84">
        <f>SUMIFS(RM_PM_Quantity[Quantity],RM_PM_Quantity[Date],AC$1,RM_PM_Quantity[Location],$D21,RM_PM_Quantity[Section],$C21,RM_PM_Quantity[RM Name],$E21)+IF($D21="MIND/Pre-Production",SUMIFS(RM_PM_Quantity[Quantity],RM_PM_Quantity[Date],AC$1,RM_PM_Quantity[Location],"MIDC/Pre-Production",RM_PM_Quantity[Section],$C21,RM_PM_Quantity[RM Name],$E21),0)</f>
        <v>0</v>
      </c>
      <c r="AD21" s="84">
        <f>SUMIFS(RM_PM_Quantity[Quantity],RM_PM_Quantity[Date],AD$1,RM_PM_Quantity[Location],$D21,RM_PM_Quantity[Section],$C21,RM_PM_Quantity[RM Name],$E21)+IF($D21="MIND/Pre-Production",SUMIFS(RM_PM_Quantity[Quantity],RM_PM_Quantity[Date],AD$1,RM_PM_Quantity[Location],"MIDC/Pre-Production",RM_PM_Quantity[Section],$C21,RM_PM_Quantity[RM Name],$E21),0)</f>
        <v>0</v>
      </c>
      <c r="AE21" s="84">
        <f>SUMIFS(RM_PM_Quantity[Quantity],RM_PM_Quantity[Date],AE$1,RM_PM_Quantity[Location],$D21,RM_PM_Quantity[Section],$C21,RM_PM_Quantity[RM Name],$E21)+IF($D21="MIND/Pre-Production",SUMIFS(RM_PM_Quantity[Quantity],RM_PM_Quantity[Date],AE$1,RM_PM_Quantity[Location],"MIDC/Pre-Production",RM_PM_Quantity[Section],$C21,RM_PM_Quantity[RM Name],$E21),0)</f>
        <v>0</v>
      </c>
      <c r="AF21" s="84">
        <f>SUMIFS(RM_PM_Quantity[Quantity],RM_PM_Quantity[Date],AF$1,RM_PM_Quantity[Location],$D21,RM_PM_Quantity[Section],$C21,RM_PM_Quantity[RM Name],$E21)+IF($D21="MIND/Pre-Production",SUMIFS(RM_PM_Quantity[Quantity],RM_PM_Quantity[Date],AF$1,RM_PM_Quantity[Location],"MIDC/Pre-Production",RM_PM_Quantity[Section],$C21,RM_PM_Quantity[RM Name],$E21),0)</f>
        <v>0</v>
      </c>
      <c r="AG21" s="84">
        <f>SUMIFS(RM_PM_Quantity[Quantity],RM_PM_Quantity[Date],AG$1,RM_PM_Quantity[Location],$D21,RM_PM_Quantity[Section],$C21,RM_PM_Quantity[RM Name],$E21)+IF($D21="MIND/Pre-Production",SUMIFS(RM_PM_Quantity[Quantity],RM_PM_Quantity[Date],AG$1,RM_PM_Quantity[Location],"MIDC/Pre-Production",RM_PM_Quantity[Section],$C21,RM_PM_Quantity[RM Name],$E21),0)</f>
        <v>0</v>
      </c>
      <c r="AH21" s="84">
        <f>SUMIFS(RM_PM_Quantity[Quantity],RM_PM_Quantity[Date],AH$1,RM_PM_Quantity[Location],$D21,RM_PM_Quantity[Section],$C21,RM_PM_Quantity[RM Name],$E21)+IF($D21="MIND/Pre-Production",SUMIFS(RM_PM_Quantity[Quantity],RM_PM_Quantity[Date],AH$1,RM_PM_Quantity[Location],"MIDC/Pre-Production",RM_PM_Quantity[Section],$C21,RM_PM_Quantity[RM Name],$E21),0)</f>
        <v>0</v>
      </c>
      <c r="AI21" s="84">
        <f>SUMIFS(RM_PM_Quantity[Quantity],RM_PM_Quantity[Date],AI$1,RM_PM_Quantity[Location],$D21,RM_PM_Quantity[Section],$C21,RM_PM_Quantity[RM Name],$E21)+IF($D21="MIND/Pre-Production",SUMIFS(RM_PM_Quantity[Quantity],RM_PM_Quantity[Date],AI$1,RM_PM_Quantity[Location],"MIDC/Pre-Production",RM_PM_Quantity[Section],$C21,RM_PM_Quantity[RM Name],$E21),0)</f>
        <v>0</v>
      </c>
      <c r="AJ21" s="84">
        <f>SUMIFS(RM_PM_Quantity[Quantity],RM_PM_Quantity[Date],AJ$1,RM_PM_Quantity[Location],$D21,RM_PM_Quantity[Section],$C21,RM_PM_Quantity[RM Name],$E21)+IF($D21="MIND/Pre-Production",SUMIFS(RM_PM_Quantity[Quantity],RM_PM_Quantity[Date],AJ$1,RM_PM_Quantity[Location],"MIDC/Pre-Production",RM_PM_Quantity[Section],$C21,RM_PM_Quantity[RM Name],$E21),0)</f>
        <v>0</v>
      </c>
      <c r="AK21" s="84">
        <f>SUMIFS(RM_PM_Quantity[Quantity],RM_PM_Quantity[Date],AK$1,RM_PM_Quantity[Location],$D21,RM_PM_Quantity[Section],$C21,RM_PM_Quantity[RM Name],$E21)+IF($D21="MIND/Pre-Production",SUMIFS(RM_PM_Quantity[Quantity],RM_PM_Quantity[Date],AK$1,RM_PM_Quantity[Location],"MIDC/Pre-Production",RM_PM_Quantity[Section],$C21,RM_PM_Quantity[RM Name],$E21),0)</f>
        <v>0</v>
      </c>
      <c r="AL21" s="84">
        <f>SUMIFS(RM_PM_Quantity[Quantity],RM_PM_Quantity[Date],AL$1,RM_PM_Quantity[Location],$D21,RM_PM_Quantity[Section],$C21,RM_PM_Quantity[RM Name],$E21)+IF($D21="MIND/Pre-Production",SUMIFS(RM_PM_Quantity[Quantity],RM_PM_Quantity[Date],AL$1,RM_PM_Quantity[Location],"MIDC/Pre-Production",RM_PM_Quantity[Section],$C21,RM_PM_Quantity[RM Name],$E21),0)</f>
        <v>0</v>
      </c>
      <c r="AM21" s="84">
        <f>SUMIFS(RM_PM_Quantity[Quantity],RM_PM_Quantity[Date],AM$1,RM_PM_Quantity[Location],$D21,RM_PM_Quantity[Section],$C21,RM_PM_Quantity[RM Name],$E21)+IF($D21="MIND/Pre-Production",SUMIFS(RM_PM_Quantity[Quantity],RM_PM_Quantity[Date],AM$1,RM_PM_Quantity[Location],"MIDC/Pre-Production",RM_PM_Quantity[Section],$C21,RM_PM_Quantity[RM Name],$E21),0)</f>
        <v>0</v>
      </c>
      <c r="AN21" s="84">
        <f>SUMIFS(RM_PM_Quantity[Quantity],RM_PM_Quantity[Date],AN$1,RM_PM_Quantity[Location],$D21,RM_PM_Quantity[Section],$C21,RM_PM_Quantity[RM Name],$E21)+IF($D21="MIND/Pre-Production",SUMIFS(RM_PM_Quantity[Quantity],RM_PM_Quantity[Date],AN$1,RM_PM_Quantity[Location],"MIDC/Pre-Production",RM_PM_Quantity[Section],$C21,RM_PM_Quantity[RM Name],$E21),0)</f>
        <v>0</v>
      </c>
      <c r="AO21" s="84">
        <f>SUMIFS(RM_PM_Quantity[Quantity],RM_PM_Quantity[Date],AO$1,RM_PM_Quantity[Location],$D21,RM_PM_Quantity[Section],$C21,RM_PM_Quantity[RM Name],$E21)+IF($D21="MIND/Pre-Production",SUMIFS(RM_PM_Quantity[Quantity],RM_PM_Quantity[Date],AO$1,RM_PM_Quantity[Location],"MIDC/Pre-Production",RM_PM_Quantity[Section],$C21,RM_PM_Quantity[RM Name],$E21),0)</f>
        <v>0</v>
      </c>
      <c r="AP21" s="84">
        <f>SUMIFS(RM_PM_Quantity[Quantity],RM_PM_Quantity[Date],AP$1,RM_PM_Quantity[Location],$D21,RM_PM_Quantity[Section],$C21,RM_PM_Quantity[RM Name],$E21)+IF($D21="MIND/Pre-Production",SUMIFS(RM_PM_Quantity[Quantity],RM_PM_Quantity[Date],AP$1,RM_PM_Quantity[Location],"MIDC/Pre-Production",RM_PM_Quantity[Section],$C21,RM_PM_Quantity[RM Name],$E21),0)</f>
        <v>0</v>
      </c>
      <c r="AQ21" s="84">
        <f>SUMIFS(RM_PM_Quantity[Quantity],RM_PM_Quantity[Date],AQ$1,RM_PM_Quantity[Location],$D21,RM_PM_Quantity[Section],$C21,RM_PM_Quantity[RM Name],$E21)+IF($D21="MIND/Pre-Production",SUMIFS(RM_PM_Quantity[Quantity],RM_PM_Quantity[Date],AQ$1,RM_PM_Quantity[Location],"MIDC/Pre-Production",RM_PM_Quantity[Section],$C21,RM_PM_Quantity[RM Name],$E21),0)</f>
        <v>0</v>
      </c>
      <c r="AR21" s="84">
        <f>SUMIFS(RM_PM_Quantity[Quantity],RM_PM_Quantity[Date],AR$1,RM_PM_Quantity[Location],$D21,RM_PM_Quantity[Section],$C21,RM_PM_Quantity[RM Name],$E21)+IF($D21="MIND/Pre-Production",SUMIFS(RM_PM_Quantity[Quantity],RM_PM_Quantity[Date],AR$1,RM_PM_Quantity[Location],"MIDC/Pre-Production",RM_PM_Quantity[Section],$C21,RM_PM_Quantity[RM Name],$E21),0)</f>
        <v>0</v>
      </c>
      <c r="AS21" s="84">
        <f>SUMIFS(RM_PM_Quantity[Quantity],RM_PM_Quantity[Date],AS$1,RM_PM_Quantity[Location],$D21,RM_PM_Quantity[Section],$C21,RM_PM_Quantity[RM Name],$E21)+IF($D21="MIND/Pre-Production",SUMIFS(RM_PM_Quantity[Quantity],RM_PM_Quantity[Date],AS$1,RM_PM_Quantity[Location],"MIDC/Pre-Production",RM_PM_Quantity[Section],$C21,RM_PM_Quantity[RM Name],$E21),0)</f>
        <v>0</v>
      </c>
      <c r="AT21" s="84">
        <f>SUMIFS(RM_PM_Quantity[Quantity],RM_PM_Quantity[Date],AT$1,RM_PM_Quantity[Location],$D21,RM_PM_Quantity[Section],$C21,RM_PM_Quantity[RM Name],$E21)+IF($D21="MIND/Pre-Production",SUMIFS(RM_PM_Quantity[Quantity],RM_PM_Quantity[Date],AT$1,RM_PM_Quantity[Location],"MIDC/Pre-Production",RM_PM_Quantity[Section],$C21,RM_PM_Quantity[RM Name],$E21),0)</f>
        <v>0</v>
      </c>
      <c r="AU21" s="84">
        <f>SUMIFS(RM_PM_Quantity[Quantity],RM_PM_Quantity[Date],AU$1,RM_PM_Quantity[Location],$D21,RM_PM_Quantity[Section],$C21,RM_PM_Quantity[RM Name],$E21)+IF($D21="MIND/Pre-Production",SUMIFS(RM_PM_Quantity[Quantity],RM_PM_Quantity[Date],AU$1,RM_PM_Quantity[Location],"MIDC/Pre-Production",RM_PM_Quantity[Section],$C21,RM_PM_Quantity[RM Name],$E21),0)</f>
        <v>0</v>
      </c>
      <c r="AV21" s="84">
        <f>SUMIFS(RM_PM_Quantity[Quantity],RM_PM_Quantity[Date],AV$1,RM_PM_Quantity[Location],$D21,RM_PM_Quantity[Section],$C21,RM_PM_Quantity[RM Name],$E21)+IF($D21="MIND/Pre-Production",SUMIFS(RM_PM_Quantity[Quantity],RM_PM_Quantity[Date],AV$1,RM_PM_Quantity[Location],"MIDC/Pre-Production",RM_PM_Quantity[Section],$C21,RM_PM_Quantity[RM Name],$E21),0)</f>
        <v>0</v>
      </c>
      <c r="AW21" s="84">
        <f>SUMIFS(RM_PM_Quantity[Quantity],RM_PM_Quantity[Date],AW$1,RM_PM_Quantity[Location],$D21,RM_PM_Quantity[Section],$C21,RM_PM_Quantity[RM Name],$E21)+IF($D21="MIND/Pre-Production",SUMIFS(RM_PM_Quantity[Quantity],RM_PM_Quantity[Date],AW$1,RM_PM_Quantity[Location],"MIDC/Pre-Production",RM_PM_Quantity[Section],$C21,RM_PM_Quantity[RM Name],$E21),0)</f>
        <v>0</v>
      </c>
      <c r="AX21" s="84">
        <f>SUMIFS(RM_PM_Quantity[Quantity],RM_PM_Quantity[Date],AX$1,RM_PM_Quantity[Location],$D21,RM_PM_Quantity[Section],$C21,RM_PM_Quantity[RM Name],$E21)+IF($D21="MIND/Pre-Production",SUMIFS(RM_PM_Quantity[Quantity],RM_PM_Quantity[Date],AX$1,RM_PM_Quantity[Location],"MIDC/Pre-Production",RM_PM_Quantity[Section],$C21,RM_PM_Quantity[RM Name],$E21),0)</f>
        <v>0</v>
      </c>
      <c r="AY21" s="84">
        <f>SUMIFS(RM_PM_Quantity[Quantity],RM_PM_Quantity[Date],AY$1,RM_PM_Quantity[Location],$D21,RM_PM_Quantity[Section],$C21,RM_PM_Quantity[RM Name],$E21)+IF($D21="MIND/Pre-Production",SUMIFS(RM_PM_Quantity[Quantity],RM_PM_Quantity[Date],AY$1,RM_PM_Quantity[Location],"MIDC/Pre-Production",RM_PM_Quantity[Section],$C21,RM_PM_Quantity[RM Name],$E21),0)</f>
        <v>0</v>
      </c>
      <c r="AZ21" s="84">
        <f>SUMIFS(RM_PM_Quantity[Quantity],RM_PM_Quantity[Date],AZ$1,RM_PM_Quantity[Location],$D21,RM_PM_Quantity[Section],$C21,RM_PM_Quantity[RM Name],$E21)+IF($D21="MIND/Pre-Production",SUMIFS(RM_PM_Quantity[Quantity],RM_PM_Quantity[Date],AZ$1,RM_PM_Quantity[Location],"MIDC/Pre-Production",RM_PM_Quantity[Section],$C21,RM_PM_Quantity[RM Name],$E21),0)</f>
        <v>0</v>
      </c>
      <c r="BA21" s="84">
        <f>SUMIFS(RM_PM_Quantity[Quantity],RM_PM_Quantity[Date],BA$1,RM_PM_Quantity[Location],$D21,RM_PM_Quantity[Section],$C21,RM_PM_Quantity[RM Name],$E21)+IF($D21="MIND/Pre-Production",SUMIFS(RM_PM_Quantity[Quantity],RM_PM_Quantity[Date],BA$1,RM_PM_Quantity[Location],"MIDC/Pre-Production",RM_PM_Quantity[Section],$C21,RM_PM_Quantity[RM Name],$E21),0)</f>
        <v>0</v>
      </c>
      <c r="BB21" s="84">
        <f>SUMIFS(RM_PM_Quantity[Quantity],RM_PM_Quantity[Date],BB$1,RM_PM_Quantity[Location],$D21,RM_PM_Quantity[Section],$C21,RM_PM_Quantity[RM Name],$E21)+IF($D21="MIND/Pre-Production",SUMIFS(RM_PM_Quantity[Quantity],RM_PM_Quantity[Date],BB$1,RM_PM_Quantity[Location],"MIDC/Pre-Production",RM_PM_Quantity[Section],$C21,RM_PM_Quantity[RM Name],$E21),0)</f>
        <v>0</v>
      </c>
      <c r="BC21" s="84">
        <f>SUMIFS(RM_PM_Quantity[Quantity],RM_PM_Quantity[Date],BC$1,RM_PM_Quantity[Location],$D21,RM_PM_Quantity[Section],$C21,RM_PM_Quantity[RM Name],$E21)+IF($D21="MIND/Pre-Production",SUMIFS(RM_PM_Quantity[Quantity],RM_PM_Quantity[Date],BC$1,RM_PM_Quantity[Location],"MIDC/Pre-Production",RM_PM_Quantity[Section],$C21,RM_PM_Quantity[RM Name],$E21),0)</f>
        <v>0</v>
      </c>
      <c r="BD21" s="84">
        <f>SUMIFS(RM_PM_Quantity[Quantity],RM_PM_Quantity[Date],BD$1,RM_PM_Quantity[Location],$D21,RM_PM_Quantity[Section],$C21,RM_PM_Quantity[RM Name],$E21)+IF($D21="MIND/Pre-Production",SUMIFS(RM_PM_Quantity[Quantity],RM_PM_Quantity[Date],BD$1,RM_PM_Quantity[Location],"MIDC/Pre-Production",RM_PM_Quantity[Section],$C21,RM_PM_Quantity[RM Name],$E21),0)</f>
        <v>0</v>
      </c>
      <c r="BE21" s="84">
        <f>SUMIFS(RM_PM_Quantity[Quantity],RM_PM_Quantity[Date],BE$1,RM_PM_Quantity[Location],$D21,RM_PM_Quantity[Section],$C21,RM_PM_Quantity[RM Name],$E21)+IF($D21="MIND/Pre-Production",SUMIFS(RM_PM_Quantity[Quantity],RM_PM_Quantity[Date],BE$1,RM_PM_Quantity[Location],"MIDC/Pre-Production",RM_PM_Quantity[Section],$C21,RM_PM_Quantity[RM Name],$E21),0)</f>
        <v>0</v>
      </c>
      <c r="BF21" s="84">
        <f>SUMIFS(RM_PM_Quantity[Quantity],RM_PM_Quantity[Date],BF$1,RM_PM_Quantity[Location],$D21,RM_PM_Quantity[Section],$C21,RM_PM_Quantity[RM Name],$E21)+IF($D21="MIND/Pre-Production",SUMIFS(RM_PM_Quantity[Quantity],RM_PM_Quantity[Date],BF$1,RM_PM_Quantity[Location],"MIDC/Pre-Production",RM_PM_Quantity[Section],$C21,RM_PM_Quantity[RM Name],$E21),0)</f>
        <v>0</v>
      </c>
      <c r="BG21" s="84">
        <f>SUMIFS(RM_PM_Quantity[Quantity],RM_PM_Quantity[Date],BG$1,RM_PM_Quantity[Location],$D21,RM_PM_Quantity[Section],$C21,RM_PM_Quantity[RM Name],$E21)+IF($D21="MIND/Pre-Production",SUMIFS(RM_PM_Quantity[Quantity],RM_PM_Quantity[Date],BG$1,RM_PM_Quantity[Location],"MIDC/Pre-Production",RM_PM_Quantity[Section],$C21,RM_PM_Quantity[RM Name],$E21),0)</f>
        <v>0</v>
      </c>
      <c r="BH21" s="84">
        <f>SUMIFS(RM_PM_Quantity[Quantity],RM_PM_Quantity[Date],BH$1,RM_PM_Quantity[Location],$D21,RM_PM_Quantity[Section],$C21,RM_PM_Quantity[RM Name],$E21)+IF($D21="MIND/Pre-Production",SUMIFS(RM_PM_Quantity[Quantity],RM_PM_Quantity[Date],BH$1,RM_PM_Quantity[Location],"MIDC/Pre-Production",RM_PM_Quantity[Section],$C21,RM_PM_Quantity[RM Name],$E21),0)</f>
        <v>0</v>
      </c>
      <c r="BI21" s="84">
        <f>SUMIFS(RM_PM_Quantity[Quantity],RM_PM_Quantity[Date],BI$1,RM_PM_Quantity[Location],$D21,RM_PM_Quantity[Section],$C21,RM_PM_Quantity[RM Name],$E21)+IF($D21="MIND/Pre-Production",SUMIFS(RM_PM_Quantity[Quantity],RM_PM_Quantity[Date],BI$1,RM_PM_Quantity[Location],"MIDC/Pre-Production",RM_PM_Quantity[Section],$C21,RM_PM_Quantity[RM Name],$E21),0)</f>
        <v>0</v>
      </c>
      <c r="BJ21" s="84">
        <f>SUMIFS(RM_PM_Quantity[Quantity],RM_PM_Quantity[Date],BJ$1,RM_PM_Quantity[Location],$D21,RM_PM_Quantity[Section],$C21,RM_PM_Quantity[RM Name],$E21)+IF($D21="MIND/Pre-Production",SUMIFS(RM_PM_Quantity[Quantity],RM_PM_Quantity[Date],BJ$1,RM_PM_Quantity[Location],"MIDC/Pre-Production",RM_PM_Quantity[Section],$C21,RM_PM_Quantity[RM Name],$E21),0)</f>
        <v>0</v>
      </c>
      <c r="BK21" s="84">
        <f>SUMIFS(RM_PM_Quantity[Quantity],RM_PM_Quantity[Date],BK$1,RM_PM_Quantity[Location],$D21,RM_PM_Quantity[Section],$C21,RM_PM_Quantity[RM Name],$E21)+IF($D21="MIND/Pre-Production",SUMIFS(RM_PM_Quantity[Quantity],RM_PM_Quantity[Date],BK$1,RM_PM_Quantity[Location],"MIDC/Pre-Production",RM_PM_Quantity[Section],$C21,RM_PM_Quantity[RM Name],$E21),0)</f>
        <v>0</v>
      </c>
      <c r="BL21" s="84">
        <f>SUMIFS(RM_PM_Quantity[Quantity],RM_PM_Quantity[Date],BL$1,RM_PM_Quantity[Location],$D21,RM_PM_Quantity[Section],$C21,RM_PM_Quantity[RM Name],$E21)+IF($D21="MIND/Pre-Production",SUMIFS(RM_PM_Quantity[Quantity],RM_PM_Quantity[Date],BL$1,RM_PM_Quantity[Location],"MIDC/Pre-Production",RM_PM_Quantity[Section],$C21,RM_PM_Quantity[RM Name],$E21),0)</f>
        <v>0</v>
      </c>
      <c r="BM21" s="84">
        <f>SUMIFS(RM_PM_Quantity[Quantity],RM_PM_Quantity[Date],BM$1,RM_PM_Quantity[Location],$D21,RM_PM_Quantity[Section],$C21,RM_PM_Quantity[RM Name],$E21)+IF($D21="MIND/Pre-Production",SUMIFS(RM_PM_Quantity[Quantity],RM_PM_Quantity[Date],BM$1,RM_PM_Quantity[Location],"MIDC/Pre-Production",RM_PM_Quantity[Section],$C21,RM_PM_Quantity[RM Name],$E21),0)</f>
        <v>0</v>
      </c>
      <c r="BN21" s="84">
        <f>SUMIFS(RM_PM_Quantity[Quantity],RM_PM_Quantity[Date],BN$1,RM_PM_Quantity[Location],$D21,RM_PM_Quantity[Section],$C21,RM_PM_Quantity[RM Name],$E21)+IF($D21="MIND/Pre-Production",SUMIFS(RM_PM_Quantity[Quantity],RM_PM_Quantity[Date],BN$1,RM_PM_Quantity[Location],"MIDC/Pre-Production",RM_PM_Quantity[Section],$C21,RM_PM_Quantity[RM Name],$E21),0)</f>
        <v>0</v>
      </c>
      <c r="BO21" s="84">
        <f>SUMIFS(RM_PM_Quantity[Quantity],RM_PM_Quantity[Date],BO$1,RM_PM_Quantity[Location],$D21,RM_PM_Quantity[Section],$C21,RM_PM_Quantity[RM Name],$E21)+IF($D21="MIND/Pre-Production",SUMIFS(RM_PM_Quantity[Quantity],RM_PM_Quantity[Date],BO$1,RM_PM_Quantity[Location],"MIDC/Pre-Production",RM_PM_Quantity[Section],$C21,RM_PM_Quantity[RM Name],$E21),0)</f>
        <v>0</v>
      </c>
      <c r="BP21" s="84">
        <f>SUMIFS(RM_PM_Quantity[Quantity],RM_PM_Quantity[Date],BP$1,RM_PM_Quantity[Location],$D21,RM_PM_Quantity[Section],$C21,RM_PM_Quantity[RM Name],$E21)+IF($D21="MIND/Pre-Production",SUMIFS(RM_PM_Quantity[Quantity],RM_PM_Quantity[Date],BP$1,RM_PM_Quantity[Location],"MIDC/Pre-Production",RM_PM_Quantity[Section],$C21,RM_PM_Quantity[RM Name],$E21),0)</f>
        <v>0</v>
      </c>
      <c r="BQ21" s="84">
        <f>SUMIFS(RM_PM_Quantity[Quantity],RM_PM_Quantity[Date],BQ$1,RM_PM_Quantity[Location],$D21,RM_PM_Quantity[Section],$C21,RM_PM_Quantity[RM Name],$E21)+IF($D21="MIND/Pre-Production",SUMIFS(RM_PM_Quantity[Quantity],RM_PM_Quantity[Date],BQ$1,RM_PM_Quantity[Location],"MIDC/Pre-Production",RM_PM_Quantity[Section],$C21,RM_PM_Quantity[RM Name],$E21),0)</f>
        <v>0</v>
      </c>
      <c r="BR21" s="84">
        <f>SUMIFS(RM_PM_Quantity[Quantity],RM_PM_Quantity[Date],BR$1,RM_PM_Quantity[Location],$D21,RM_PM_Quantity[Section],$C21,RM_PM_Quantity[RM Name],$E21)+IF($D21="MIND/Pre-Production",SUMIFS(RM_PM_Quantity[Quantity],RM_PM_Quantity[Date],BR$1,RM_PM_Quantity[Location],"MIDC/Pre-Production",RM_PM_Quantity[Section],$C21,RM_PM_Quantity[RM Name],$E21),0)</f>
        <v>0</v>
      </c>
      <c r="BS21" s="84">
        <f>SUMIFS(RM_PM_Quantity[Quantity],RM_PM_Quantity[Date],BS$1,RM_PM_Quantity[Location],$D21,RM_PM_Quantity[Section],$C21,RM_PM_Quantity[RM Name],$E21)+IF($D21="MIND/Pre-Production",SUMIFS(RM_PM_Quantity[Quantity],RM_PM_Quantity[Date],BS$1,RM_PM_Quantity[Location],"MIDC/Pre-Production",RM_PM_Quantity[Section],$C21,RM_PM_Quantity[RM Name],$E21),0)</f>
        <v>0</v>
      </c>
      <c r="BT21" s="84">
        <f>SUMIFS(RM_PM_Quantity[ID],RM_PM_Quantity[Location],BT$1,RM_PM_Quantity[Section],$D21,RM_PM_Quantity[RM Name],$C21,RM_PM_Quantity[Quantity],$E21)+IF($D21="MIND/Pre-Production",SUMIFS(RM_PM_Quantity[ID],RM_PM_Quantity[Location],BT$1,RM_PM_Quantity[Section],"MIDC/Pre-Production",RM_PM_Quantity[RM Name],$C21,RM_PM_Quantity[Quantity],$E21),0)</f>
        <v>0</v>
      </c>
      <c r="BU21" s="84">
        <f>SUMIFS(RM_PM_Quantity[Name of Supervisor],RM_PM_Quantity[Section],BU$1,RM_PM_Quantity[RM Name],$D21,RM_PM_Quantity[Quantity],$C21,RM_PM_Quantity[ID],$E21)+IF($D21="MIND/Pre-Production",SUMIFS(RM_PM_Quantity[Name of Supervisor],RM_PM_Quantity[Section],BU$1,RM_PM_Quantity[RM Name],"MIDC/Pre-Production",RM_PM_Quantity[Quantity],$C21,RM_PM_Quantity[ID],$E21),0)</f>
        <v>0</v>
      </c>
      <c r="BV21" s="84">
        <f>SUMIFS(RM_PM_Quantity[Date],RM_PM_Quantity[RM Name],BV$1,RM_PM_Quantity[Quantity],$D21,RM_PM_Quantity[ID],$C21,RM_PM_Quantity[Name of Supervisor],$E21)+IF($D21="MIND/Pre-Production",SUMIFS(RM_PM_Quantity[Date],RM_PM_Quantity[RM Name],BV$1,RM_PM_Quantity[Quantity],"MIDC/Pre-Production",RM_PM_Quantity[ID],$C21,RM_PM_Quantity[Name of Supervisor],$E21),0)</f>
        <v>0</v>
      </c>
      <c r="BW21" s="84">
        <f>SUMIFS(RM_PM_Quantity[Location],RM_PM_Quantity[Quantity],BW$1,RM_PM_Quantity[ID],$D21,RM_PM_Quantity[Name of Supervisor],$C21,RM_PM_Quantity[Date],$E21)+IF($D21="MIND/Pre-Production",SUMIFS(RM_PM_Quantity[Location],RM_PM_Quantity[Quantity],BW$1,RM_PM_Quantity[ID],"MIDC/Pre-Production",RM_PM_Quantity[Name of Supervisor],$C21,RM_PM_Quantity[Date],$E21),0)</f>
        <v>0</v>
      </c>
      <c r="BX21" s="84">
        <f>SUMIFS(RM_PM_Quantity[Section],RM_PM_Quantity[ID],BX$1,RM_PM_Quantity[Name of Supervisor],$D21,RM_PM_Quantity[Date],$C21,RM_PM_Quantity[Location],$E21)+IF($D21="MIND/Pre-Production",SUMIFS(RM_PM_Quantity[Section],RM_PM_Quantity[ID],BX$1,RM_PM_Quantity[Name of Supervisor],"MIDC/Pre-Production",RM_PM_Quantity[Date],$C21,RM_PM_Quantity[Location],$E21),0)</f>
        <v>0</v>
      </c>
      <c r="BY21" s="84">
        <f>SUMIFS(RM_PM_Quantity[RM Name],RM_PM_Quantity[Name of Supervisor],BY$1,RM_PM_Quantity[Date],$D21,RM_PM_Quantity[Location],$C21,RM_PM_Quantity[Section],$E21)+IF($D21="MIND/Pre-Production",SUMIFS(RM_PM_Quantity[RM Name],RM_PM_Quantity[Name of Supervisor],BY$1,RM_PM_Quantity[Date],"MIDC/Pre-Production",RM_PM_Quantity[Location],$C21,RM_PM_Quantity[Section],$E21),0)</f>
        <v>0</v>
      </c>
    </row>
    <row r="22" spans="1:77" ht="45.75" customHeight="1">
      <c r="A22" s="79">
        <v>21</v>
      </c>
      <c r="B22" s="87" t="s">
        <v>96</v>
      </c>
      <c r="C22" s="80" t="s">
        <v>92</v>
      </c>
      <c r="D22" s="81" t="s">
        <v>68</v>
      </c>
      <c r="E22" s="82" t="s">
        <v>97</v>
      </c>
      <c r="F22" s="83">
        <f>IFERROR(_xlfn.XLOOKUP(B22,'[1]RM Tracker'!B:B,'[1]RM Tracker'!E:E),"0")</f>
        <v>19836.68</v>
      </c>
      <c r="G22" s="85">
        <f t="shared" si="2"/>
        <v>0</v>
      </c>
      <c r="H22" s="85">
        <f t="shared" si="0"/>
        <v>-19836.68</v>
      </c>
      <c r="I22" s="91">
        <f t="shared" si="1"/>
        <v>0</v>
      </c>
      <c r="J22" s="84">
        <f>SUMIFS(RM_PM_Quantity[Quantity],RM_PM_Quantity[Date],J$1,RM_PM_Quantity[Location],$D22,RM_PM_Quantity[Section],$C22,RM_PM_Quantity[RM Name],$E22)+IF($D22="MIND/Pre-Production",SUMIFS(RM_PM_Quantity[Quantity],RM_PM_Quantity[Date],J$1,RM_PM_Quantity[Location],"MIDC/Pre-Production",RM_PM_Quantity[Section],$C22,RM_PM_Quantity[RM Name],$E22),0)</f>
        <v>0</v>
      </c>
      <c r="K22" s="84">
        <f>SUMIFS(RM_PM_Quantity[Quantity],RM_PM_Quantity[Date],K$1,RM_PM_Quantity[Location],$D22,RM_PM_Quantity[Section],$C22,RM_PM_Quantity[RM Name],$E22)+IF($D22="MIND/Pre-Production",SUMIFS(RM_PM_Quantity[Quantity],RM_PM_Quantity[Date],K$1,RM_PM_Quantity[Location],"MIDC/Pre-Production",RM_PM_Quantity[Section],$C22,RM_PM_Quantity[RM Name],$E22),0)</f>
        <v>0</v>
      </c>
      <c r="L22" s="84">
        <f>SUMIFS(RM_PM_Quantity[Quantity],RM_PM_Quantity[Date],L$1,RM_PM_Quantity[Location],$D22,RM_PM_Quantity[Section],$C22,RM_PM_Quantity[RM Name],$E22)+IF($D22="MIND/Pre-Production",SUMIFS(RM_PM_Quantity[Quantity],RM_PM_Quantity[Date],L$1,RM_PM_Quantity[Location],"MIDC/Pre-Production",RM_PM_Quantity[Section],$C22,RM_PM_Quantity[RM Name],$E22),0)</f>
        <v>0</v>
      </c>
      <c r="M22" s="84">
        <f>SUMIFS(RM_PM_Quantity[Quantity],RM_PM_Quantity[Date],M$1,RM_PM_Quantity[Location],$D22,RM_PM_Quantity[Section],$C22,RM_PM_Quantity[RM Name],$E22)+IF($D22="MIND/Pre-Production",SUMIFS(RM_PM_Quantity[Quantity],RM_PM_Quantity[Date],M$1,RM_PM_Quantity[Location],"MIDC/Pre-Production",RM_PM_Quantity[Section],$C22,RM_PM_Quantity[RM Name],$E22),0)</f>
        <v>0</v>
      </c>
      <c r="N22" s="84">
        <f>SUMIFS(RM_PM_Quantity[Quantity],RM_PM_Quantity[Date],N$1,RM_PM_Quantity[Location],$D22,RM_PM_Quantity[Section],$C22,RM_PM_Quantity[RM Name],$E22)+IF($D22="MIND/Pre-Production",SUMIFS(RM_PM_Quantity[Quantity],RM_PM_Quantity[Date],N$1,RM_PM_Quantity[Location],"MIDC/Pre-Production",RM_PM_Quantity[Section],$C22,RM_PM_Quantity[RM Name],$E22),0)</f>
        <v>0</v>
      </c>
      <c r="O22" s="84">
        <f>SUMIFS(RM_PM_Quantity[Quantity],RM_PM_Quantity[Date],O$1,RM_PM_Quantity[Location],$D22,RM_PM_Quantity[Section],$C22,RM_PM_Quantity[RM Name],$E22)+IF($D22="MIND/Pre-Production",SUMIFS(RM_PM_Quantity[Quantity],RM_PM_Quantity[Date],O$1,RM_PM_Quantity[Location],"MIDC/Pre-Production",RM_PM_Quantity[Section],$C22,RM_PM_Quantity[RM Name],$E22),0)</f>
        <v>0</v>
      </c>
      <c r="P22" s="84">
        <f>SUMIFS(RM_PM_Quantity[Quantity],RM_PM_Quantity[Date],P$1,RM_PM_Quantity[Location],$D22,RM_PM_Quantity[Section],$C22,RM_PM_Quantity[RM Name],$E22)+IF($D22="MIND/Pre-Production",SUMIFS(RM_PM_Quantity[Quantity],RM_PM_Quantity[Date],P$1,RM_PM_Quantity[Location],"MIDC/Pre-Production",RM_PM_Quantity[Section],$C22,RM_PM_Quantity[RM Name],$E22),0)</f>
        <v>0</v>
      </c>
      <c r="Q22" s="84">
        <f>SUMIFS(RM_PM_Quantity[Quantity],RM_PM_Quantity[Date],Q$1,RM_PM_Quantity[Location],$D22,RM_PM_Quantity[Section],$C22,RM_PM_Quantity[RM Name],$E22)+IF($D22="MIND/Pre-Production",SUMIFS(RM_PM_Quantity[Quantity],RM_PM_Quantity[Date],Q$1,RM_PM_Quantity[Location],"MIDC/Pre-Production",RM_PM_Quantity[Section],$C22,RM_PM_Quantity[RM Name],$E22),0)</f>
        <v>0</v>
      </c>
      <c r="R22" s="84">
        <f>SUMIFS(RM_PM_Quantity[Quantity],RM_PM_Quantity[Date],R$1,RM_PM_Quantity[Location],$D22,RM_PM_Quantity[Section],$C22,RM_PM_Quantity[RM Name],$E22)+IF($D22="MIND/Pre-Production",SUMIFS(RM_PM_Quantity[Quantity],RM_PM_Quantity[Date],R$1,RM_PM_Quantity[Location],"MIDC/Pre-Production",RM_PM_Quantity[Section],$C22,RM_PM_Quantity[RM Name],$E22),0)</f>
        <v>0</v>
      </c>
      <c r="S22" s="84">
        <f>SUMIFS(RM_PM_Quantity[Quantity],RM_PM_Quantity[Date],S$1,RM_PM_Quantity[Location],$D22,RM_PM_Quantity[Section],$C22,RM_PM_Quantity[RM Name],$E22)+IF($D22="MIND/Pre-Production",SUMIFS(RM_PM_Quantity[Quantity],RM_PM_Quantity[Date],S$1,RM_PM_Quantity[Location],"MIDC/Pre-Production",RM_PM_Quantity[Section],$C22,RM_PM_Quantity[RM Name],$E22),0)</f>
        <v>0</v>
      </c>
      <c r="T22" s="84">
        <f>SUMIFS(RM_PM_Quantity[Quantity],RM_PM_Quantity[Date],T$1,RM_PM_Quantity[Location],$D22,RM_PM_Quantity[Section],$C22,RM_PM_Quantity[RM Name],$E22)+IF($D22="MIND/Pre-Production",SUMIFS(RM_PM_Quantity[Quantity],RM_PM_Quantity[Date],T$1,RM_PM_Quantity[Location],"MIDC/Pre-Production",RM_PM_Quantity[Section],$C22,RM_PM_Quantity[RM Name],$E22),0)</f>
        <v>0</v>
      </c>
      <c r="U22" s="84">
        <f>SUMIFS(RM_PM_Quantity[Quantity],RM_PM_Quantity[Date],U$1,RM_PM_Quantity[Location],$D22,RM_PM_Quantity[Section],$C22,RM_PM_Quantity[RM Name],$E22)+IF($D22="MIND/Pre-Production",SUMIFS(RM_PM_Quantity[Quantity],RM_PM_Quantity[Date],U$1,RM_PM_Quantity[Location],"MIDC/Pre-Production",RM_PM_Quantity[Section],$C22,RM_PM_Quantity[RM Name],$E22),0)</f>
        <v>0</v>
      </c>
      <c r="V22" s="84">
        <f>SUMIFS(RM_PM_Quantity[Quantity],RM_PM_Quantity[Date],V$1,RM_PM_Quantity[Location],$D22,RM_PM_Quantity[Section],$C22,RM_PM_Quantity[RM Name],$E22)+IF($D22="MIND/Pre-Production",SUMIFS(RM_PM_Quantity[Quantity],RM_PM_Quantity[Date],V$1,RM_PM_Quantity[Location],"MIDC/Pre-Production",RM_PM_Quantity[Section],$C22,RM_PM_Quantity[RM Name],$E22),0)</f>
        <v>0</v>
      </c>
      <c r="W22" s="84">
        <f>SUMIFS(RM_PM_Quantity[Quantity],RM_PM_Quantity[Date],W$1,RM_PM_Quantity[Location],$D22,RM_PM_Quantity[Section],$C22,RM_PM_Quantity[RM Name],$E22)+IF($D22="MIND/Pre-Production",SUMIFS(RM_PM_Quantity[Quantity],RM_PM_Quantity[Date],W$1,RM_PM_Quantity[Location],"MIDC/Pre-Production",RM_PM_Quantity[Section],$C22,RM_PM_Quantity[RM Name],$E22),0)</f>
        <v>0</v>
      </c>
      <c r="X22" s="84">
        <f>SUMIFS(RM_PM_Quantity[Quantity],RM_PM_Quantity[Date],X$1,RM_PM_Quantity[Location],$D22,RM_PM_Quantity[Section],$C22,RM_PM_Quantity[RM Name],$E22)+IF($D22="MIND/Pre-Production",SUMIFS(RM_PM_Quantity[Quantity],RM_PM_Quantity[Date],X$1,RM_PM_Quantity[Location],"MIDC/Pre-Production",RM_PM_Quantity[Section],$C22,RM_PM_Quantity[RM Name],$E22),0)</f>
        <v>0</v>
      </c>
      <c r="Y22" s="84">
        <f>SUMIFS(RM_PM_Quantity[Quantity],RM_PM_Quantity[Date],Y$1,RM_PM_Quantity[Location],$D22,RM_PM_Quantity[Section],$C22,RM_PM_Quantity[RM Name],$E22)+IF($D22="MIND/Pre-Production",SUMIFS(RM_PM_Quantity[Quantity],RM_PM_Quantity[Date],Y$1,RM_PM_Quantity[Location],"MIDC/Pre-Production",RM_PM_Quantity[Section],$C22,RM_PM_Quantity[RM Name],$E22),0)</f>
        <v>0</v>
      </c>
      <c r="Z22" s="84">
        <f>SUMIFS(RM_PM_Quantity[Quantity],RM_PM_Quantity[Date],Z$1,RM_PM_Quantity[Location],$D22,RM_PM_Quantity[Section],$C22,RM_PM_Quantity[RM Name],$E22)+IF($D22="MIND/Pre-Production",SUMIFS(RM_PM_Quantity[Quantity],RM_PM_Quantity[Date],Z$1,RM_PM_Quantity[Location],"MIDC/Pre-Production",RM_PM_Quantity[Section],$C22,RM_PM_Quantity[RM Name],$E22),0)</f>
        <v>0</v>
      </c>
      <c r="AA22" s="84">
        <f>SUMIFS(RM_PM_Quantity[Quantity],RM_PM_Quantity[Date],AA$1,RM_PM_Quantity[Location],$D22,RM_PM_Quantity[Section],$C22,RM_PM_Quantity[RM Name],$E22)+IF($D22="MIND/Pre-Production",SUMIFS(RM_PM_Quantity[Quantity],RM_PM_Quantity[Date],AA$1,RM_PM_Quantity[Location],"MIDC/Pre-Production",RM_PM_Quantity[Section],$C22,RM_PM_Quantity[RM Name],$E22),0)</f>
        <v>0</v>
      </c>
      <c r="AB22" s="84">
        <f>SUMIFS(RM_PM_Quantity[Quantity],RM_PM_Quantity[Date],AB$1,RM_PM_Quantity[Location],$D22,RM_PM_Quantity[Section],$C22,RM_PM_Quantity[RM Name],$E22)+IF($D22="MIND/Pre-Production",SUMIFS(RM_PM_Quantity[Quantity],RM_PM_Quantity[Date],AB$1,RM_PM_Quantity[Location],"MIDC/Pre-Production",RM_PM_Quantity[Section],$C22,RM_PM_Quantity[RM Name],$E22),0)</f>
        <v>0</v>
      </c>
      <c r="AC22" s="84">
        <f>SUMIFS(RM_PM_Quantity[Quantity],RM_PM_Quantity[Date],AC$1,RM_PM_Quantity[Location],$D22,RM_PM_Quantity[Section],$C22,RM_PM_Quantity[RM Name],$E22)+IF($D22="MIND/Pre-Production",SUMIFS(RM_PM_Quantity[Quantity],RM_PM_Quantity[Date],AC$1,RM_PM_Quantity[Location],"MIDC/Pre-Production",RM_PM_Quantity[Section],$C22,RM_PM_Quantity[RM Name],$E22),0)</f>
        <v>0</v>
      </c>
      <c r="AD22" s="84">
        <f>SUMIFS(RM_PM_Quantity[Quantity],RM_PM_Quantity[Date],AD$1,RM_PM_Quantity[Location],$D22,RM_PM_Quantity[Section],$C22,RM_PM_Quantity[RM Name],$E22)+IF($D22="MIND/Pre-Production",SUMIFS(RM_PM_Quantity[Quantity],RM_PM_Quantity[Date],AD$1,RM_PM_Quantity[Location],"MIDC/Pre-Production",RM_PM_Quantity[Section],$C22,RM_PM_Quantity[RM Name],$E22),0)</f>
        <v>0</v>
      </c>
      <c r="AE22" s="84">
        <f>SUMIFS(RM_PM_Quantity[Quantity],RM_PM_Quantity[Date],AE$1,RM_PM_Quantity[Location],$D22,RM_PM_Quantity[Section],$C22,RM_PM_Quantity[RM Name],$E22)+IF($D22="MIND/Pre-Production",SUMIFS(RM_PM_Quantity[Quantity],RM_PM_Quantity[Date],AE$1,RM_PM_Quantity[Location],"MIDC/Pre-Production",RM_PM_Quantity[Section],$C22,RM_PM_Quantity[RM Name],$E22),0)</f>
        <v>0</v>
      </c>
      <c r="AF22" s="84">
        <f>SUMIFS(RM_PM_Quantity[Quantity],RM_PM_Quantity[Date],AF$1,RM_PM_Quantity[Location],$D22,RM_PM_Quantity[Section],$C22,RM_PM_Quantity[RM Name],$E22)+IF($D22="MIND/Pre-Production",SUMIFS(RM_PM_Quantity[Quantity],RM_PM_Quantity[Date],AF$1,RM_PM_Quantity[Location],"MIDC/Pre-Production",RM_PM_Quantity[Section],$C22,RM_PM_Quantity[RM Name],$E22),0)</f>
        <v>0</v>
      </c>
      <c r="AG22" s="84">
        <f>SUMIFS(RM_PM_Quantity[Quantity],RM_PM_Quantity[Date],AG$1,RM_PM_Quantity[Location],$D22,RM_PM_Quantity[Section],$C22,RM_PM_Quantity[RM Name],$E22)+IF($D22="MIND/Pre-Production",SUMIFS(RM_PM_Quantity[Quantity],RM_PM_Quantity[Date],AG$1,RM_PM_Quantity[Location],"MIDC/Pre-Production",RM_PM_Quantity[Section],$C22,RM_PM_Quantity[RM Name],$E22),0)</f>
        <v>0</v>
      </c>
      <c r="AH22" s="84">
        <f>SUMIFS(RM_PM_Quantity[Quantity],RM_PM_Quantity[Date],AH$1,RM_PM_Quantity[Location],$D22,RM_PM_Quantity[Section],$C22,RM_PM_Quantity[RM Name],$E22)+IF($D22="MIND/Pre-Production",SUMIFS(RM_PM_Quantity[Quantity],RM_PM_Quantity[Date],AH$1,RM_PM_Quantity[Location],"MIDC/Pre-Production",RM_PM_Quantity[Section],$C22,RM_PM_Quantity[RM Name],$E22),0)</f>
        <v>0</v>
      </c>
      <c r="AI22" s="84">
        <f>SUMIFS(RM_PM_Quantity[Quantity],RM_PM_Quantity[Date],AI$1,RM_PM_Quantity[Location],$D22,RM_PM_Quantity[Section],$C22,RM_PM_Quantity[RM Name],$E22)+IF($D22="MIND/Pre-Production",SUMIFS(RM_PM_Quantity[Quantity],RM_PM_Quantity[Date],AI$1,RM_PM_Quantity[Location],"MIDC/Pre-Production",RM_PM_Quantity[Section],$C22,RM_PM_Quantity[RM Name],$E22),0)</f>
        <v>0</v>
      </c>
      <c r="AJ22" s="84">
        <f>SUMIFS(RM_PM_Quantity[Quantity],RM_PM_Quantity[Date],AJ$1,RM_PM_Quantity[Location],$D22,RM_PM_Quantity[Section],$C22,RM_PM_Quantity[RM Name],$E22)+IF($D22="MIND/Pre-Production",SUMIFS(RM_PM_Quantity[Quantity],RM_PM_Quantity[Date],AJ$1,RM_PM_Quantity[Location],"MIDC/Pre-Production",RM_PM_Quantity[Section],$C22,RM_PM_Quantity[RM Name],$E22),0)</f>
        <v>0</v>
      </c>
      <c r="AK22" s="84">
        <f>SUMIFS(RM_PM_Quantity[Quantity],RM_PM_Quantity[Date],AK$1,RM_PM_Quantity[Location],$D22,RM_PM_Quantity[Section],$C22,RM_PM_Quantity[RM Name],$E22)+IF($D22="MIND/Pre-Production",SUMIFS(RM_PM_Quantity[Quantity],RM_PM_Quantity[Date],AK$1,RM_PM_Quantity[Location],"MIDC/Pre-Production",RM_PM_Quantity[Section],$C22,RM_PM_Quantity[RM Name],$E22),0)</f>
        <v>0</v>
      </c>
      <c r="AL22" s="84">
        <f>SUMIFS(RM_PM_Quantity[Quantity],RM_PM_Quantity[Date],AL$1,RM_PM_Quantity[Location],$D22,RM_PM_Quantity[Section],$C22,RM_PM_Quantity[RM Name],$E22)+IF($D22="MIND/Pre-Production",SUMIFS(RM_PM_Quantity[Quantity],RM_PM_Quantity[Date],AL$1,RM_PM_Quantity[Location],"MIDC/Pre-Production",RM_PM_Quantity[Section],$C22,RM_PM_Quantity[RM Name],$E22),0)</f>
        <v>0</v>
      </c>
      <c r="AM22" s="84">
        <f>SUMIFS(RM_PM_Quantity[Quantity],RM_PM_Quantity[Date],AM$1,RM_PM_Quantity[Location],$D22,RM_PM_Quantity[Section],$C22,RM_PM_Quantity[RM Name],$E22)+IF($D22="MIND/Pre-Production",SUMIFS(RM_PM_Quantity[Quantity],RM_PM_Quantity[Date],AM$1,RM_PM_Quantity[Location],"MIDC/Pre-Production",RM_PM_Quantity[Section],$C22,RM_PM_Quantity[RM Name],$E22),0)</f>
        <v>0</v>
      </c>
      <c r="AN22" s="84">
        <f>SUMIFS(RM_PM_Quantity[Quantity],RM_PM_Quantity[Date],AN$1,RM_PM_Quantity[Location],$D22,RM_PM_Quantity[Section],$C22,RM_PM_Quantity[RM Name],$E22)+IF($D22="MIND/Pre-Production",SUMIFS(RM_PM_Quantity[Quantity],RM_PM_Quantity[Date],AN$1,RM_PM_Quantity[Location],"MIDC/Pre-Production",RM_PM_Quantity[Section],$C22,RM_PM_Quantity[RM Name],$E22),0)</f>
        <v>0</v>
      </c>
      <c r="AO22" s="84">
        <f>SUMIFS(RM_PM_Quantity[Quantity],RM_PM_Quantity[Date],AO$1,RM_PM_Quantity[Location],$D22,RM_PM_Quantity[Section],$C22,RM_PM_Quantity[RM Name],$E22)+IF($D22="MIND/Pre-Production",SUMIFS(RM_PM_Quantity[Quantity],RM_PM_Quantity[Date],AO$1,RM_PM_Quantity[Location],"MIDC/Pre-Production",RM_PM_Quantity[Section],$C22,RM_PM_Quantity[RM Name],$E22),0)</f>
        <v>0</v>
      </c>
      <c r="AP22" s="84">
        <f>SUMIFS(RM_PM_Quantity[Quantity],RM_PM_Quantity[Date],AP$1,RM_PM_Quantity[Location],$D22,RM_PM_Quantity[Section],$C22,RM_PM_Quantity[RM Name],$E22)+IF($D22="MIND/Pre-Production",SUMIFS(RM_PM_Quantity[Quantity],RM_PM_Quantity[Date],AP$1,RM_PM_Quantity[Location],"MIDC/Pre-Production",RM_PM_Quantity[Section],$C22,RM_PM_Quantity[RM Name],$E22),0)</f>
        <v>0</v>
      </c>
      <c r="AQ22" s="84">
        <f>SUMIFS(RM_PM_Quantity[Quantity],RM_PM_Quantity[Date],AQ$1,RM_PM_Quantity[Location],$D22,RM_PM_Quantity[Section],$C22,RM_PM_Quantity[RM Name],$E22)+IF($D22="MIND/Pre-Production",SUMIFS(RM_PM_Quantity[Quantity],RM_PM_Quantity[Date],AQ$1,RM_PM_Quantity[Location],"MIDC/Pre-Production",RM_PM_Quantity[Section],$C22,RM_PM_Quantity[RM Name],$E22),0)</f>
        <v>0</v>
      </c>
      <c r="AR22" s="84">
        <f>SUMIFS(RM_PM_Quantity[Quantity],RM_PM_Quantity[Date],AR$1,RM_PM_Quantity[Location],$D22,RM_PM_Quantity[Section],$C22,RM_PM_Quantity[RM Name],$E22)+IF($D22="MIND/Pre-Production",SUMIFS(RM_PM_Quantity[Quantity],RM_PM_Quantity[Date],AR$1,RM_PM_Quantity[Location],"MIDC/Pre-Production",RM_PM_Quantity[Section],$C22,RM_PM_Quantity[RM Name],$E22),0)</f>
        <v>0</v>
      </c>
      <c r="AS22" s="84">
        <f>SUMIFS(RM_PM_Quantity[Quantity],RM_PM_Quantity[Date],AS$1,RM_PM_Quantity[Location],$D22,RM_PM_Quantity[Section],$C22,RM_PM_Quantity[RM Name],$E22)+IF($D22="MIND/Pre-Production",SUMIFS(RM_PM_Quantity[Quantity],RM_PM_Quantity[Date],AS$1,RM_PM_Quantity[Location],"MIDC/Pre-Production",RM_PM_Quantity[Section],$C22,RM_PM_Quantity[RM Name],$E22),0)</f>
        <v>0</v>
      </c>
      <c r="AT22" s="84">
        <f>SUMIFS(RM_PM_Quantity[Quantity],RM_PM_Quantity[Date],AT$1,RM_PM_Quantity[Location],$D22,RM_PM_Quantity[Section],$C22,RM_PM_Quantity[RM Name],$E22)+IF($D22="MIND/Pre-Production",SUMIFS(RM_PM_Quantity[Quantity],RM_PM_Quantity[Date],AT$1,RM_PM_Quantity[Location],"MIDC/Pre-Production",RM_PM_Quantity[Section],$C22,RM_PM_Quantity[RM Name],$E22),0)</f>
        <v>0</v>
      </c>
      <c r="AU22" s="84">
        <f>SUMIFS(RM_PM_Quantity[Quantity],RM_PM_Quantity[Date],AU$1,RM_PM_Quantity[Location],$D22,RM_PM_Quantity[Section],$C22,RM_PM_Quantity[RM Name],$E22)+IF($D22="MIND/Pre-Production",SUMIFS(RM_PM_Quantity[Quantity],RM_PM_Quantity[Date],AU$1,RM_PM_Quantity[Location],"MIDC/Pre-Production",RM_PM_Quantity[Section],$C22,RM_PM_Quantity[RM Name],$E22),0)</f>
        <v>0</v>
      </c>
      <c r="AV22" s="84">
        <f>SUMIFS(RM_PM_Quantity[Quantity],RM_PM_Quantity[Date],AV$1,RM_PM_Quantity[Location],$D22,RM_PM_Quantity[Section],$C22,RM_PM_Quantity[RM Name],$E22)+IF($D22="MIND/Pre-Production",SUMIFS(RM_PM_Quantity[Quantity],RM_PM_Quantity[Date],AV$1,RM_PM_Quantity[Location],"MIDC/Pre-Production",RM_PM_Quantity[Section],$C22,RM_PM_Quantity[RM Name],$E22),0)</f>
        <v>0</v>
      </c>
      <c r="AW22" s="84">
        <f>SUMIFS(RM_PM_Quantity[Quantity],RM_PM_Quantity[Date],AW$1,RM_PM_Quantity[Location],$D22,RM_PM_Quantity[Section],$C22,RM_PM_Quantity[RM Name],$E22)+IF($D22="MIND/Pre-Production",SUMIFS(RM_PM_Quantity[Quantity],RM_PM_Quantity[Date],AW$1,RM_PM_Quantity[Location],"MIDC/Pre-Production",RM_PM_Quantity[Section],$C22,RM_PM_Quantity[RM Name],$E22),0)</f>
        <v>0</v>
      </c>
      <c r="AX22" s="84">
        <f>SUMIFS(RM_PM_Quantity[Quantity],RM_PM_Quantity[Date],AX$1,RM_PM_Quantity[Location],$D22,RM_PM_Quantity[Section],$C22,RM_PM_Quantity[RM Name],$E22)+IF($D22="MIND/Pre-Production",SUMIFS(RM_PM_Quantity[Quantity],RM_PM_Quantity[Date],AX$1,RM_PM_Quantity[Location],"MIDC/Pre-Production",RM_PM_Quantity[Section],$C22,RM_PM_Quantity[RM Name],$E22),0)</f>
        <v>0</v>
      </c>
      <c r="AY22" s="84">
        <f>SUMIFS(RM_PM_Quantity[Quantity],RM_PM_Quantity[Date],AY$1,RM_PM_Quantity[Location],$D22,RM_PM_Quantity[Section],$C22,RM_PM_Quantity[RM Name],$E22)+IF($D22="MIND/Pre-Production",SUMIFS(RM_PM_Quantity[Quantity],RM_PM_Quantity[Date],AY$1,RM_PM_Quantity[Location],"MIDC/Pre-Production",RM_PM_Quantity[Section],$C22,RM_PM_Quantity[RM Name],$E22),0)</f>
        <v>0</v>
      </c>
      <c r="AZ22" s="84">
        <f>SUMIFS(RM_PM_Quantity[Quantity],RM_PM_Quantity[Date],AZ$1,RM_PM_Quantity[Location],$D22,RM_PM_Quantity[Section],$C22,RM_PM_Quantity[RM Name],$E22)+IF($D22="MIND/Pre-Production",SUMIFS(RM_PM_Quantity[Quantity],RM_PM_Quantity[Date],AZ$1,RM_PM_Quantity[Location],"MIDC/Pre-Production",RM_PM_Quantity[Section],$C22,RM_PM_Quantity[RM Name],$E22),0)</f>
        <v>0</v>
      </c>
      <c r="BA22" s="84">
        <f>SUMIFS(RM_PM_Quantity[Quantity],RM_PM_Quantity[Date],BA$1,RM_PM_Quantity[Location],$D22,RM_PM_Quantity[Section],$C22,RM_PM_Quantity[RM Name],$E22)+IF($D22="MIND/Pre-Production",SUMIFS(RM_PM_Quantity[Quantity],RM_PM_Quantity[Date],BA$1,RM_PM_Quantity[Location],"MIDC/Pre-Production",RM_PM_Quantity[Section],$C22,RM_PM_Quantity[RM Name],$E22),0)</f>
        <v>0</v>
      </c>
      <c r="BB22" s="84">
        <f>SUMIFS(RM_PM_Quantity[Quantity],RM_PM_Quantity[Date],BB$1,RM_PM_Quantity[Location],$D22,RM_PM_Quantity[Section],$C22,RM_PM_Quantity[RM Name],$E22)+IF($D22="MIND/Pre-Production",SUMIFS(RM_PM_Quantity[Quantity],RM_PM_Quantity[Date],BB$1,RM_PM_Quantity[Location],"MIDC/Pre-Production",RM_PM_Quantity[Section],$C22,RM_PM_Quantity[RM Name],$E22),0)</f>
        <v>0</v>
      </c>
      <c r="BC22" s="84">
        <f>SUMIFS(RM_PM_Quantity[Quantity],RM_PM_Quantity[Date],BC$1,RM_PM_Quantity[Location],$D22,RM_PM_Quantity[Section],$C22,RM_PM_Quantity[RM Name],$E22)+IF($D22="MIND/Pre-Production",SUMIFS(RM_PM_Quantity[Quantity],RM_PM_Quantity[Date],BC$1,RM_PM_Quantity[Location],"MIDC/Pre-Production",RM_PM_Quantity[Section],$C22,RM_PM_Quantity[RM Name],$E22),0)</f>
        <v>0</v>
      </c>
      <c r="BD22" s="84">
        <f>SUMIFS(RM_PM_Quantity[Quantity],RM_PM_Quantity[Date],BD$1,RM_PM_Quantity[Location],$D22,RM_PM_Quantity[Section],$C22,RM_PM_Quantity[RM Name],$E22)+IF($D22="MIND/Pre-Production",SUMIFS(RM_PM_Quantity[Quantity],RM_PM_Quantity[Date],BD$1,RM_PM_Quantity[Location],"MIDC/Pre-Production",RM_PM_Quantity[Section],$C22,RM_PM_Quantity[RM Name],$E22),0)</f>
        <v>0</v>
      </c>
      <c r="BE22" s="84">
        <f>SUMIFS(RM_PM_Quantity[Quantity],RM_PM_Quantity[Date],BE$1,RM_PM_Quantity[Location],$D22,RM_PM_Quantity[Section],$C22,RM_PM_Quantity[RM Name],$E22)+IF($D22="MIND/Pre-Production",SUMIFS(RM_PM_Quantity[Quantity],RM_PM_Quantity[Date],BE$1,RM_PM_Quantity[Location],"MIDC/Pre-Production",RM_PM_Quantity[Section],$C22,RM_PM_Quantity[RM Name],$E22),0)</f>
        <v>0</v>
      </c>
      <c r="BF22" s="84">
        <f>SUMIFS(RM_PM_Quantity[Quantity],RM_PM_Quantity[Date],BF$1,RM_PM_Quantity[Location],$D22,RM_PM_Quantity[Section],$C22,RM_PM_Quantity[RM Name],$E22)+IF($D22="MIND/Pre-Production",SUMIFS(RM_PM_Quantity[Quantity],RM_PM_Quantity[Date],BF$1,RM_PM_Quantity[Location],"MIDC/Pre-Production",RM_PM_Quantity[Section],$C22,RM_PM_Quantity[RM Name],$E22),0)</f>
        <v>0</v>
      </c>
      <c r="BG22" s="84">
        <f>SUMIFS(RM_PM_Quantity[Quantity],RM_PM_Quantity[Date],BG$1,RM_PM_Quantity[Location],$D22,RM_PM_Quantity[Section],$C22,RM_PM_Quantity[RM Name],$E22)+IF($D22="MIND/Pre-Production",SUMIFS(RM_PM_Quantity[Quantity],RM_PM_Quantity[Date],BG$1,RM_PM_Quantity[Location],"MIDC/Pre-Production",RM_PM_Quantity[Section],$C22,RM_PM_Quantity[RM Name],$E22),0)</f>
        <v>0</v>
      </c>
      <c r="BH22" s="84">
        <f>SUMIFS(RM_PM_Quantity[Quantity],RM_PM_Quantity[Date],BH$1,RM_PM_Quantity[Location],$D22,RM_PM_Quantity[Section],$C22,RM_PM_Quantity[RM Name],$E22)+IF($D22="MIND/Pre-Production",SUMIFS(RM_PM_Quantity[Quantity],RM_PM_Quantity[Date],BH$1,RM_PM_Quantity[Location],"MIDC/Pre-Production",RM_PM_Quantity[Section],$C22,RM_PM_Quantity[RM Name],$E22),0)</f>
        <v>0</v>
      </c>
      <c r="BI22" s="84">
        <f>SUMIFS(RM_PM_Quantity[Quantity],RM_PM_Quantity[Date],BI$1,RM_PM_Quantity[Location],$D22,RM_PM_Quantity[Section],$C22,RM_PM_Quantity[RM Name],$E22)+IF($D22="MIND/Pre-Production",SUMIFS(RM_PM_Quantity[Quantity],RM_PM_Quantity[Date],BI$1,RM_PM_Quantity[Location],"MIDC/Pre-Production",RM_PM_Quantity[Section],$C22,RM_PM_Quantity[RM Name],$E22),0)</f>
        <v>0</v>
      </c>
      <c r="BJ22" s="84">
        <f>SUMIFS(RM_PM_Quantity[Quantity],RM_PM_Quantity[Date],BJ$1,RM_PM_Quantity[Location],$D22,RM_PM_Quantity[Section],$C22,RM_PM_Quantity[RM Name],$E22)+IF($D22="MIND/Pre-Production",SUMIFS(RM_PM_Quantity[Quantity],RM_PM_Quantity[Date],BJ$1,RM_PM_Quantity[Location],"MIDC/Pre-Production",RM_PM_Quantity[Section],$C22,RM_PM_Quantity[RM Name],$E22),0)</f>
        <v>0</v>
      </c>
      <c r="BK22" s="84">
        <f>SUMIFS(RM_PM_Quantity[Quantity],RM_PM_Quantity[Date],BK$1,RM_PM_Quantity[Location],$D22,RM_PM_Quantity[Section],$C22,RM_PM_Quantity[RM Name],$E22)+IF($D22="MIND/Pre-Production",SUMIFS(RM_PM_Quantity[Quantity],RM_PM_Quantity[Date],BK$1,RM_PM_Quantity[Location],"MIDC/Pre-Production",RM_PM_Quantity[Section],$C22,RM_PM_Quantity[RM Name],$E22),0)</f>
        <v>0</v>
      </c>
      <c r="BL22" s="84">
        <f>SUMIFS(RM_PM_Quantity[Quantity],RM_PM_Quantity[Date],BL$1,RM_PM_Quantity[Location],$D22,RM_PM_Quantity[Section],$C22,RM_PM_Quantity[RM Name],$E22)+IF($D22="MIND/Pre-Production",SUMIFS(RM_PM_Quantity[Quantity],RM_PM_Quantity[Date],BL$1,RM_PM_Quantity[Location],"MIDC/Pre-Production",RM_PM_Quantity[Section],$C22,RM_PM_Quantity[RM Name],$E22),0)</f>
        <v>0</v>
      </c>
      <c r="BM22" s="84">
        <f>SUMIFS(RM_PM_Quantity[Quantity],RM_PM_Quantity[Date],BM$1,RM_PM_Quantity[Location],$D22,RM_PM_Quantity[Section],$C22,RM_PM_Quantity[RM Name],$E22)+IF($D22="MIND/Pre-Production",SUMIFS(RM_PM_Quantity[Quantity],RM_PM_Quantity[Date],BM$1,RM_PM_Quantity[Location],"MIDC/Pre-Production",RM_PM_Quantity[Section],$C22,RM_PM_Quantity[RM Name],$E22),0)</f>
        <v>0</v>
      </c>
      <c r="BN22" s="84">
        <f>SUMIFS(RM_PM_Quantity[Quantity],RM_PM_Quantity[Date],BN$1,RM_PM_Quantity[Location],$D22,RM_PM_Quantity[Section],$C22,RM_PM_Quantity[RM Name],$E22)+IF($D22="MIND/Pre-Production",SUMIFS(RM_PM_Quantity[Quantity],RM_PM_Quantity[Date],BN$1,RM_PM_Quantity[Location],"MIDC/Pre-Production",RM_PM_Quantity[Section],$C22,RM_PM_Quantity[RM Name],$E22),0)</f>
        <v>0</v>
      </c>
      <c r="BO22" s="84">
        <f>SUMIFS(RM_PM_Quantity[Quantity],RM_PM_Quantity[Date],BO$1,RM_PM_Quantity[Location],$D22,RM_PM_Quantity[Section],$C22,RM_PM_Quantity[RM Name],$E22)+IF($D22="MIND/Pre-Production",SUMIFS(RM_PM_Quantity[Quantity],RM_PM_Quantity[Date],BO$1,RM_PM_Quantity[Location],"MIDC/Pre-Production",RM_PM_Quantity[Section],$C22,RM_PM_Quantity[RM Name],$E22),0)</f>
        <v>0</v>
      </c>
      <c r="BP22" s="84">
        <f>SUMIFS(RM_PM_Quantity[Quantity],RM_PM_Quantity[Date],BP$1,RM_PM_Quantity[Location],$D22,RM_PM_Quantity[Section],$C22,RM_PM_Quantity[RM Name],$E22)+IF($D22="MIND/Pre-Production",SUMIFS(RM_PM_Quantity[Quantity],RM_PM_Quantity[Date],BP$1,RM_PM_Quantity[Location],"MIDC/Pre-Production",RM_PM_Quantity[Section],$C22,RM_PM_Quantity[RM Name],$E22),0)</f>
        <v>0</v>
      </c>
      <c r="BQ22" s="84">
        <f>SUMIFS(RM_PM_Quantity[Quantity],RM_PM_Quantity[Date],BQ$1,RM_PM_Quantity[Location],$D22,RM_PM_Quantity[Section],$C22,RM_PM_Quantity[RM Name],$E22)+IF($D22="MIND/Pre-Production",SUMIFS(RM_PM_Quantity[Quantity],RM_PM_Quantity[Date],BQ$1,RM_PM_Quantity[Location],"MIDC/Pre-Production",RM_PM_Quantity[Section],$C22,RM_PM_Quantity[RM Name],$E22),0)</f>
        <v>0</v>
      </c>
      <c r="BR22" s="84">
        <f>SUMIFS(RM_PM_Quantity[Quantity],RM_PM_Quantity[Date],BR$1,RM_PM_Quantity[Location],$D22,RM_PM_Quantity[Section],$C22,RM_PM_Quantity[RM Name],$E22)+IF($D22="MIND/Pre-Production",SUMIFS(RM_PM_Quantity[Quantity],RM_PM_Quantity[Date],BR$1,RM_PM_Quantity[Location],"MIDC/Pre-Production",RM_PM_Quantity[Section],$C22,RM_PM_Quantity[RM Name],$E22),0)</f>
        <v>0</v>
      </c>
      <c r="BS22" s="84">
        <f>SUMIFS(RM_PM_Quantity[Quantity],RM_PM_Quantity[Date],BS$1,RM_PM_Quantity[Location],$D22,RM_PM_Quantity[Section],$C22,RM_PM_Quantity[RM Name],$E22)+IF($D22="MIND/Pre-Production",SUMIFS(RM_PM_Quantity[Quantity],RM_PM_Quantity[Date],BS$1,RM_PM_Quantity[Location],"MIDC/Pre-Production",RM_PM_Quantity[Section],$C22,RM_PM_Quantity[RM Name],$E22),0)</f>
        <v>0</v>
      </c>
      <c r="BT22" s="84">
        <f>SUMIFS(RM_PM_Quantity[ID],RM_PM_Quantity[Location],BT$1,RM_PM_Quantity[Section],$D22,RM_PM_Quantity[RM Name],$C22,RM_PM_Quantity[Quantity],$E22)+IF($D22="MIND/Pre-Production",SUMIFS(RM_PM_Quantity[ID],RM_PM_Quantity[Location],BT$1,RM_PM_Quantity[Section],"MIDC/Pre-Production",RM_PM_Quantity[RM Name],$C22,RM_PM_Quantity[Quantity],$E22),0)</f>
        <v>0</v>
      </c>
      <c r="BU22" s="84">
        <f>SUMIFS(RM_PM_Quantity[Name of Supervisor],RM_PM_Quantity[Section],BU$1,RM_PM_Quantity[RM Name],$D22,RM_PM_Quantity[Quantity],$C22,RM_PM_Quantity[ID],$E22)+IF($D22="MIND/Pre-Production",SUMIFS(RM_PM_Quantity[Name of Supervisor],RM_PM_Quantity[Section],BU$1,RM_PM_Quantity[RM Name],"MIDC/Pre-Production",RM_PM_Quantity[Quantity],$C22,RM_PM_Quantity[ID],$E22),0)</f>
        <v>0</v>
      </c>
      <c r="BV22" s="84">
        <f>SUMIFS(RM_PM_Quantity[Date],RM_PM_Quantity[RM Name],BV$1,RM_PM_Quantity[Quantity],$D22,RM_PM_Quantity[ID],$C22,RM_PM_Quantity[Name of Supervisor],$E22)+IF($D22="MIND/Pre-Production",SUMIFS(RM_PM_Quantity[Date],RM_PM_Quantity[RM Name],BV$1,RM_PM_Quantity[Quantity],"MIDC/Pre-Production",RM_PM_Quantity[ID],$C22,RM_PM_Quantity[Name of Supervisor],$E22),0)</f>
        <v>0</v>
      </c>
      <c r="BW22" s="84">
        <f>SUMIFS(RM_PM_Quantity[Location],RM_PM_Quantity[Quantity],BW$1,RM_PM_Quantity[ID],$D22,RM_PM_Quantity[Name of Supervisor],$C22,RM_PM_Quantity[Date],$E22)+IF($D22="MIND/Pre-Production",SUMIFS(RM_PM_Quantity[Location],RM_PM_Quantity[Quantity],BW$1,RM_PM_Quantity[ID],"MIDC/Pre-Production",RM_PM_Quantity[Name of Supervisor],$C22,RM_PM_Quantity[Date],$E22),0)</f>
        <v>0</v>
      </c>
      <c r="BX22" s="84">
        <f>SUMIFS(RM_PM_Quantity[Section],RM_PM_Quantity[ID],BX$1,RM_PM_Quantity[Name of Supervisor],$D22,RM_PM_Quantity[Date],$C22,RM_PM_Quantity[Location],$E22)+IF($D22="MIND/Pre-Production",SUMIFS(RM_PM_Quantity[Section],RM_PM_Quantity[ID],BX$1,RM_PM_Quantity[Name of Supervisor],"MIDC/Pre-Production",RM_PM_Quantity[Date],$C22,RM_PM_Quantity[Location],$E22),0)</f>
        <v>0</v>
      </c>
      <c r="BY22" s="84">
        <f>SUMIFS(RM_PM_Quantity[RM Name],RM_PM_Quantity[Name of Supervisor],BY$1,RM_PM_Quantity[Date],$D22,RM_PM_Quantity[Location],$C22,RM_PM_Quantity[Section],$E22)+IF($D22="MIND/Pre-Production",SUMIFS(RM_PM_Quantity[RM Name],RM_PM_Quantity[Name of Supervisor],BY$1,RM_PM_Quantity[Date],"MIDC/Pre-Production",RM_PM_Quantity[Location],$C22,RM_PM_Quantity[Section],$E22),0)</f>
        <v>0</v>
      </c>
    </row>
    <row r="23" spans="1:77" ht="45.75" customHeight="1">
      <c r="A23" s="79">
        <v>22</v>
      </c>
      <c r="B23" s="79" t="s">
        <v>98</v>
      </c>
      <c r="C23" s="80" t="s">
        <v>92</v>
      </c>
      <c r="D23" s="81" t="s">
        <v>68</v>
      </c>
      <c r="E23" s="82" t="s">
        <v>99</v>
      </c>
      <c r="F23" s="83">
        <f>IFERROR(_xlfn.XLOOKUP(B23,'[1]RM Tracker'!B:B,'[1]RM Tracker'!E:E),"0")</f>
        <v>16433</v>
      </c>
      <c r="G23" s="85">
        <f t="shared" si="2"/>
        <v>0</v>
      </c>
      <c r="H23" s="85">
        <f t="shared" si="0"/>
        <v>-16433</v>
      </c>
      <c r="I23" s="91">
        <f t="shared" si="1"/>
        <v>0</v>
      </c>
      <c r="J23" s="84">
        <f>SUMIFS(RM_PM_Quantity[Quantity],RM_PM_Quantity[Date],J$1,RM_PM_Quantity[Location],$D23,RM_PM_Quantity[Section],$C23,RM_PM_Quantity[RM Name],$E23)+IF($D23="MIND/Pre-Production",SUMIFS(RM_PM_Quantity[Quantity],RM_PM_Quantity[Date],J$1,RM_PM_Quantity[Location],"MIDC/Pre-Production",RM_PM_Quantity[Section],$C23,RM_PM_Quantity[RM Name],$E23),0)</f>
        <v>0</v>
      </c>
      <c r="K23" s="84">
        <f>SUMIFS(RM_PM_Quantity[Quantity],RM_PM_Quantity[Date],K$1,RM_PM_Quantity[Location],$D23,RM_PM_Quantity[Section],$C23,RM_PM_Quantity[RM Name],$E23)+IF($D23="MIND/Pre-Production",SUMIFS(RM_PM_Quantity[Quantity],RM_PM_Quantity[Date],K$1,RM_PM_Quantity[Location],"MIDC/Pre-Production",RM_PM_Quantity[Section],$C23,RM_PM_Quantity[RM Name],$E23),0)</f>
        <v>0</v>
      </c>
      <c r="L23" s="84">
        <f>SUMIFS(RM_PM_Quantity[Quantity],RM_PM_Quantity[Date],L$1,RM_PM_Quantity[Location],$D23,RM_PM_Quantity[Section],$C23,RM_PM_Quantity[RM Name],$E23)+IF($D23="MIND/Pre-Production",SUMIFS(RM_PM_Quantity[Quantity],RM_PM_Quantity[Date],L$1,RM_PM_Quantity[Location],"MIDC/Pre-Production",RM_PM_Quantity[Section],$C23,RM_PM_Quantity[RM Name],$E23),0)</f>
        <v>0</v>
      </c>
      <c r="M23" s="84">
        <f>SUMIFS(RM_PM_Quantity[Quantity],RM_PM_Quantity[Date],M$1,RM_PM_Quantity[Location],$D23,RM_PM_Quantity[Section],$C23,RM_PM_Quantity[RM Name],$E23)+IF($D23="MIND/Pre-Production",SUMIFS(RM_PM_Quantity[Quantity],RM_PM_Quantity[Date],M$1,RM_PM_Quantity[Location],"MIDC/Pre-Production",RM_PM_Quantity[Section],$C23,RM_PM_Quantity[RM Name],$E23),0)</f>
        <v>5000</v>
      </c>
      <c r="N23" s="84">
        <f>SUMIFS(RM_PM_Quantity[Quantity],RM_PM_Quantity[Date],N$1,RM_PM_Quantity[Location],$D23,RM_PM_Quantity[Section],$C23,RM_PM_Quantity[RM Name],$E23)+IF($D23="MIND/Pre-Production",SUMIFS(RM_PM_Quantity[Quantity],RM_PM_Quantity[Date],N$1,RM_PM_Quantity[Location],"MIDC/Pre-Production",RM_PM_Quantity[Section],$C23,RM_PM_Quantity[RM Name],$E23),0)</f>
        <v>0</v>
      </c>
      <c r="O23" s="84">
        <f>SUMIFS(RM_PM_Quantity[Quantity],RM_PM_Quantity[Date],O$1,RM_PM_Quantity[Location],$D23,RM_PM_Quantity[Section],$C23,RM_PM_Quantity[RM Name],$E23)+IF($D23="MIND/Pre-Production",SUMIFS(RM_PM_Quantity[Quantity],RM_PM_Quantity[Date],O$1,RM_PM_Quantity[Location],"MIDC/Pre-Production",RM_PM_Quantity[Section],$C23,RM_PM_Quantity[RM Name],$E23),0)</f>
        <v>0</v>
      </c>
      <c r="P23" s="84">
        <f>SUMIFS(RM_PM_Quantity[Quantity],RM_PM_Quantity[Date],P$1,RM_PM_Quantity[Location],$D23,RM_PM_Quantity[Section],$C23,RM_PM_Quantity[RM Name],$E23)+IF($D23="MIND/Pre-Production",SUMIFS(RM_PM_Quantity[Quantity],RM_PM_Quantity[Date],P$1,RM_PM_Quantity[Location],"MIDC/Pre-Production",RM_PM_Quantity[Section],$C23,RM_PM_Quantity[RM Name],$E23),0)</f>
        <v>0</v>
      </c>
      <c r="Q23" s="84">
        <f>SUMIFS(RM_PM_Quantity[Quantity],RM_PM_Quantity[Date],Q$1,RM_PM_Quantity[Location],$D23,RM_PM_Quantity[Section],$C23,RM_PM_Quantity[RM Name],$E23)+IF($D23="MIND/Pre-Production",SUMIFS(RM_PM_Quantity[Quantity],RM_PM_Quantity[Date],Q$1,RM_PM_Quantity[Location],"MIDC/Pre-Production",RM_PM_Quantity[Section],$C23,RM_PM_Quantity[RM Name],$E23),0)</f>
        <v>0</v>
      </c>
      <c r="R23" s="84">
        <f>SUMIFS(RM_PM_Quantity[Quantity],RM_PM_Quantity[Date],R$1,RM_PM_Quantity[Location],$D23,RM_PM_Quantity[Section],$C23,RM_PM_Quantity[RM Name],$E23)+IF($D23="MIND/Pre-Production",SUMIFS(RM_PM_Quantity[Quantity],RM_PM_Quantity[Date],R$1,RM_PM_Quantity[Location],"MIDC/Pre-Production",RM_PM_Quantity[Section],$C23,RM_PM_Quantity[RM Name],$E23),0)</f>
        <v>0</v>
      </c>
      <c r="S23" s="84">
        <f>SUMIFS(RM_PM_Quantity[Quantity],RM_PM_Quantity[Date],S$1,RM_PM_Quantity[Location],$D23,RM_PM_Quantity[Section],$C23,RM_PM_Quantity[RM Name],$E23)+IF($D23="MIND/Pre-Production",SUMIFS(RM_PM_Quantity[Quantity],RM_PM_Quantity[Date],S$1,RM_PM_Quantity[Location],"MIDC/Pre-Production",RM_PM_Quantity[Section],$C23,RM_PM_Quantity[RM Name],$E23),0)</f>
        <v>0</v>
      </c>
      <c r="T23" s="84">
        <f>SUMIFS(RM_PM_Quantity[Quantity],RM_PM_Quantity[Date],T$1,RM_PM_Quantity[Location],$D23,RM_PM_Quantity[Section],$C23,RM_PM_Quantity[RM Name],$E23)+IF($D23="MIND/Pre-Production",SUMIFS(RM_PM_Quantity[Quantity],RM_PM_Quantity[Date],T$1,RM_PM_Quantity[Location],"MIDC/Pre-Production",RM_PM_Quantity[Section],$C23,RM_PM_Quantity[RM Name],$E23),0)</f>
        <v>0</v>
      </c>
      <c r="U23" s="84">
        <f>SUMIFS(RM_PM_Quantity[Quantity],RM_PM_Quantity[Date],U$1,RM_PM_Quantity[Location],$D23,RM_PM_Quantity[Section],$C23,RM_PM_Quantity[RM Name],$E23)+IF($D23="MIND/Pre-Production",SUMIFS(RM_PM_Quantity[Quantity],RM_PM_Quantity[Date],U$1,RM_PM_Quantity[Location],"MIDC/Pre-Production",RM_PM_Quantity[Section],$C23,RM_PM_Quantity[RM Name],$E23),0)</f>
        <v>0</v>
      </c>
      <c r="V23" s="84">
        <f>SUMIFS(RM_PM_Quantity[Quantity],RM_PM_Quantity[Date],V$1,RM_PM_Quantity[Location],$D23,RM_PM_Quantity[Section],$C23,RM_PM_Quantity[RM Name],$E23)+IF($D23="MIND/Pre-Production",SUMIFS(RM_PM_Quantity[Quantity],RM_PM_Quantity[Date],V$1,RM_PM_Quantity[Location],"MIDC/Pre-Production",RM_PM_Quantity[Section],$C23,RM_PM_Quantity[RM Name],$E23),0)</f>
        <v>0</v>
      </c>
      <c r="W23" s="84">
        <f>SUMIFS(RM_PM_Quantity[Quantity],RM_PM_Quantity[Date],W$1,RM_PM_Quantity[Location],$D23,RM_PM_Quantity[Section],$C23,RM_PM_Quantity[RM Name],$E23)+IF($D23="MIND/Pre-Production",SUMIFS(RM_PM_Quantity[Quantity],RM_PM_Quantity[Date],W$1,RM_PM_Quantity[Location],"MIDC/Pre-Production",RM_PM_Quantity[Section],$C23,RM_PM_Quantity[RM Name],$E23),0)</f>
        <v>0</v>
      </c>
      <c r="X23" s="84">
        <f>SUMIFS(RM_PM_Quantity[Quantity],RM_PM_Quantity[Date],X$1,RM_PM_Quantity[Location],$D23,RM_PM_Quantity[Section],$C23,RM_PM_Quantity[RM Name],$E23)+IF($D23="MIND/Pre-Production",SUMIFS(RM_PM_Quantity[Quantity],RM_PM_Quantity[Date],X$1,RM_PM_Quantity[Location],"MIDC/Pre-Production",RM_PM_Quantity[Section],$C23,RM_PM_Quantity[RM Name],$E23),0)</f>
        <v>0</v>
      </c>
      <c r="Y23" s="84">
        <f>SUMIFS(RM_PM_Quantity[Quantity],RM_PM_Quantity[Date],Y$1,RM_PM_Quantity[Location],$D23,RM_PM_Quantity[Section],$C23,RM_PM_Quantity[RM Name],$E23)+IF($D23="MIND/Pre-Production",SUMIFS(RM_PM_Quantity[Quantity],RM_PM_Quantity[Date],Y$1,RM_PM_Quantity[Location],"MIDC/Pre-Production",RM_PM_Quantity[Section],$C23,RM_PM_Quantity[RM Name],$E23),0)</f>
        <v>0</v>
      </c>
      <c r="Z23" s="84">
        <f>SUMIFS(RM_PM_Quantity[Quantity],RM_PM_Quantity[Date],Z$1,RM_PM_Quantity[Location],$D23,RM_PM_Quantity[Section],$C23,RM_PM_Quantity[RM Name],$E23)+IF($D23="MIND/Pre-Production",SUMIFS(RM_PM_Quantity[Quantity],RM_PM_Quantity[Date],Z$1,RM_PM_Quantity[Location],"MIDC/Pre-Production",RM_PM_Quantity[Section],$C23,RM_PM_Quantity[RM Name],$E23),0)</f>
        <v>0</v>
      </c>
      <c r="AA23" s="84">
        <f>SUMIFS(RM_PM_Quantity[Quantity],RM_PM_Quantity[Date],AA$1,RM_PM_Quantity[Location],$D23,RM_PM_Quantity[Section],$C23,RM_PM_Quantity[RM Name],$E23)+IF($D23="MIND/Pre-Production",SUMIFS(RM_PM_Quantity[Quantity],RM_PM_Quantity[Date],AA$1,RM_PM_Quantity[Location],"MIDC/Pre-Production",RM_PM_Quantity[Section],$C23,RM_PM_Quantity[RM Name],$E23),0)</f>
        <v>0</v>
      </c>
      <c r="AB23" s="84">
        <f>SUMIFS(RM_PM_Quantity[Quantity],RM_PM_Quantity[Date],AB$1,RM_PM_Quantity[Location],$D23,RM_PM_Quantity[Section],$C23,RM_PM_Quantity[RM Name],$E23)+IF($D23="MIND/Pre-Production",SUMIFS(RM_PM_Quantity[Quantity],RM_PM_Quantity[Date],AB$1,RM_PM_Quantity[Location],"MIDC/Pre-Production",RM_PM_Quantity[Section],$C23,RM_PM_Quantity[RM Name],$E23),0)</f>
        <v>0</v>
      </c>
      <c r="AC23" s="84">
        <f>SUMIFS(RM_PM_Quantity[Quantity],RM_PM_Quantity[Date],AC$1,RM_PM_Quantity[Location],$D23,RM_PM_Quantity[Section],$C23,RM_PM_Quantity[RM Name],$E23)+IF($D23="MIND/Pre-Production",SUMIFS(RM_PM_Quantity[Quantity],RM_PM_Quantity[Date],AC$1,RM_PM_Quantity[Location],"MIDC/Pre-Production",RM_PM_Quantity[Section],$C23,RM_PM_Quantity[RM Name],$E23),0)</f>
        <v>0</v>
      </c>
      <c r="AD23" s="84">
        <f>SUMIFS(RM_PM_Quantity[Quantity],RM_PM_Quantity[Date],AD$1,RM_PM_Quantity[Location],$D23,RM_PM_Quantity[Section],$C23,RM_PM_Quantity[RM Name],$E23)+IF($D23="MIND/Pre-Production",SUMIFS(RM_PM_Quantity[Quantity],RM_PM_Quantity[Date],AD$1,RM_PM_Quantity[Location],"MIDC/Pre-Production",RM_PM_Quantity[Section],$C23,RM_PM_Quantity[RM Name],$E23),0)</f>
        <v>0</v>
      </c>
      <c r="AE23" s="84">
        <f>SUMIFS(RM_PM_Quantity[Quantity],RM_PM_Quantity[Date],AE$1,RM_PM_Quantity[Location],$D23,RM_PM_Quantity[Section],$C23,RM_PM_Quantity[RM Name],$E23)+IF($D23="MIND/Pre-Production",SUMIFS(RM_PM_Quantity[Quantity],RM_PM_Quantity[Date],AE$1,RM_PM_Quantity[Location],"MIDC/Pre-Production",RM_PM_Quantity[Section],$C23,RM_PM_Quantity[RM Name],$E23),0)</f>
        <v>0</v>
      </c>
      <c r="AF23" s="84">
        <f>SUMIFS(RM_PM_Quantity[Quantity],RM_PM_Quantity[Date],AF$1,RM_PM_Quantity[Location],$D23,RM_PM_Quantity[Section],$C23,RM_PM_Quantity[RM Name],$E23)+IF($D23="MIND/Pre-Production",SUMIFS(RM_PM_Quantity[Quantity],RM_PM_Quantity[Date],AF$1,RM_PM_Quantity[Location],"MIDC/Pre-Production",RM_PM_Quantity[Section],$C23,RM_PM_Quantity[RM Name],$E23),0)</f>
        <v>0</v>
      </c>
      <c r="AG23" s="84">
        <f>SUMIFS(RM_PM_Quantity[Quantity],RM_PM_Quantity[Date],AG$1,RM_PM_Quantity[Location],$D23,RM_PM_Quantity[Section],$C23,RM_PM_Quantity[RM Name],$E23)+IF($D23="MIND/Pre-Production",SUMIFS(RM_PM_Quantity[Quantity],RM_PM_Quantity[Date],AG$1,RM_PM_Quantity[Location],"MIDC/Pre-Production",RM_PM_Quantity[Section],$C23,RM_PM_Quantity[RM Name],$E23),0)</f>
        <v>0</v>
      </c>
      <c r="AH23" s="84">
        <f>SUMIFS(RM_PM_Quantity[Quantity],RM_PM_Quantity[Date],AH$1,RM_PM_Quantity[Location],$D23,RM_PM_Quantity[Section],$C23,RM_PM_Quantity[RM Name],$E23)+IF($D23="MIND/Pre-Production",SUMIFS(RM_PM_Quantity[Quantity],RM_PM_Quantity[Date],AH$1,RM_PM_Quantity[Location],"MIDC/Pre-Production",RM_PM_Quantity[Section],$C23,RM_PM_Quantity[RM Name],$E23),0)</f>
        <v>0</v>
      </c>
      <c r="AI23" s="84">
        <f>SUMIFS(RM_PM_Quantity[Quantity],RM_PM_Quantity[Date],AI$1,RM_PM_Quantity[Location],$D23,RM_PM_Quantity[Section],$C23,RM_PM_Quantity[RM Name],$E23)+IF($D23="MIND/Pre-Production",SUMIFS(RM_PM_Quantity[Quantity],RM_PM_Quantity[Date],AI$1,RM_PM_Quantity[Location],"MIDC/Pre-Production",RM_PM_Quantity[Section],$C23,RM_PM_Quantity[RM Name],$E23),0)</f>
        <v>0</v>
      </c>
      <c r="AJ23" s="84">
        <f>SUMIFS(RM_PM_Quantity[Quantity],RM_PM_Quantity[Date],AJ$1,RM_PM_Quantity[Location],$D23,RM_PM_Quantity[Section],$C23,RM_PM_Quantity[RM Name],$E23)+IF($D23="MIND/Pre-Production",SUMIFS(RM_PM_Quantity[Quantity],RM_PM_Quantity[Date],AJ$1,RM_PM_Quantity[Location],"MIDC/Pre-Production",RM_PM_Quantity[Section],$C23,RM_PM_Quantity[RM Name],$E23),0)</f>
        <v>0</v>
      </c>
      <c r="AK23" s="84">
        <f>SUMIFS(RM_PM_Quantity[Quantity],RM_PM_Quantity[Date],AK$1,RM_PM_Quantity[Location],$D23,RM_PM_Quantity[Section],$C23,RM_PM_Quantity[RM Name],$E23)+IF($D23="MIND/Pre-Production",SUMIFS(RM_PM_Quantity[Quantity],RM_PM_Quantity[Date],AK$1,RM_PM_Quantity[Location],"MIDC/Pre-Production",RM_PM_Quantity[Section],$C23,RM_PM_Quantity[RM Name],$E23),0)</f>
        <v>0</v>
      </c>
      <c r="AL23" s="84">
        <f>SUMIFS(RM_PM_Quantity[Quantity],RM_PM_Quantity[Date],AL$1,RM_PM_Quantity[Location],$D23,RM_PM_Quantity[Section],$C23,RM_PM_Quantity[RM Name],$E23)+IF($D23="MIND/Pre-Production",SUMIFS(RM_PM_Quantity[Quantity],RM_PM_Quantity[Date],AL$1,RM_PM_Quantity[Location],"MIDC/Pre-Production",RM_PM_Quantity[Section],$C23,RM_PM_Quantity[RM Name],$E23),0)</f>
        <v>0</v>
      </c>
      <c r="AM23" s="84">
        <f>SUMIFS(RM_PM_Quantity[Quantity],RM_PM_Quantity[Date],AM$1,RM_PM_Quantity[Location],$D23,RM_PM_Quantity[Section],$C23,RM_PM_Quantity[RM Name],$E23)+IF($D23="MIND/Pre-Production",SUMIFS(RM_PM_Quantity[Quantity],RM_PM_Quantity[Date],AM$1,RM_PM_Quantity[Location],"MIDC/Pre-Production",RM_PM_Quantity[Section],$C23,RM_PM_Quantity[RM Name],$E23),0)</f>
        <v>0</v>
      </c>
      <c r="AN23" s="84">
        <f>SUMIFS(RM_PM_Quantity[Quantity],RM_PM_Quantity[Date],AN$1,RM_PM_Quantity[Location],$D23,RM_PM_Quantity[Section],$C23,RM_PM_Quantity[RM Name],$E23)+IF($D23="MIND/Pre-Production",SUMIFS(RM_PM_Quantity[Quantity],RM_PM_Quantity[Date],AN$1,RM_PM_Quantity[Location],"MIDC/Pre-Production",RM_PM_Quantity[Section],$C23,RM_PM_Quantity[RM Name],$E23),0)</f>
        <v>0</v>
      </c>
      <c r="AO23" s="84">
        <f>SUMIFS(RM_PM_Quantity[Quantity],RM_PM_Quantity[Date],AO$1,RM_PM_Quantity[Location],$D23,RM_PM_Quantity[Section],$C23,RM_PM_Quantity[RM Name],$E23)+IF($D23="MIND/Pre-Production",SUMIFS(RM_PM_Quantity[Quantity],RM_PM_Quantity[Date],AO$1,RM_PM_Quantity[Location],"MIDC/Pre-Production",RM_PM_Quantity[Section],$C23,RM_PM_Quantity[RM Name],$E23),0)</f>
        <v>0</v>
      </c>
      <c r="AP23" s="84">
        <f>SUMIFS(RM_PM_Quantity[Quantity],RM_PM_Quantity[Date],AP$1,RM_PM_Quantity[Location],$D23,RM_PM_Quantity[Section],$C23,RM_PM_Quantity[RM Name],$E23)+IF($D23="MIND/Pre-Production",SUMIFS(RM_PM_Quantity[Quantity],RM_PM_Quantity[Date],AP$1,RM_PM_Quantity[Location],"MIDC/Pre-Production",RM_PM_Quantity[Section],$C23,RM_PM_Quantity[RM Name],$E23),0)</f>
        <v>0</v>
      </c>
      <c r="AQ23" s="84">
        <f>SUMIFS(RM_PM_Quantity[Quantity],RM_PM_Quantity[Date],AQ$1,RM_PM_Quantity[Location],$D23,RM_PM_Quantity[Section],$C23,RM_PM_Quantity[RM Name],$E23)+IF($D23="MIND/Pre-Production",SUMIFS(RM_PM_Quantity[Quantity],RM_PM_Quantity[Date],AQ$1,RM_PM_Quantity[Location],"MIDC/Pre-Production",RM_PM_Quantity[Section],$C23,RM_PM_Quantity[RM Name],$E23),0)</f>
        <v>0</v>
      </c>
      <c r="AR23" s="84">
        <f>SUMIFS(RM_PM_Quantity[Quantity],RM_PM_Quantity[Date],AR$1,RM_PM_Quantity[Location],$D23,RM_PM_Quantity[Section],$C23,RM_PM_Quantity[RM Name],$E23)+IF($D23="MIND/Pre-Production",SUMIFS(RM_PM_Quantity[Quantity],RM_PM_Quantity[Date],AR$1,RM_PM_Quantity[Location],"MIDC/Pre-Production",RM_PM_Quantity[Section],$C23,RM_PM_Quantity[RM Name],$E23),0)</f>
        <v>0</v>
      </c>
      <c r="AS23" s="84">
        <f>SUMIFS(RM_PM_Quantity[Quantity],RM_PM_Quantity[Date],AS$1,RM_PM_Quantity[Location],$D23,RM_PM_Quantity[Section],$C23,RM_PM_Quantity[RM Name],$E23)+IF($D23="MIND/Pre-Production",SUMIFS(RM_PM_Quantity[Quantity],RM_PM_Quantity[Date],AS$1,RM_PM_Quantity[Location],"MIDC/Pre-Production",RM_PM_Quantity[Section],$C23,RM_PM_Quantity[RM Name],$E23),0)</f>
        <v>0</v>
      </c>
      <c r="AT23" s="84">
        <f>SUMIFS(RM_PM_Quantity[Quantity],RM_PM_Quantity[Date],AT$1,RM_PM_Quantity[Location],$D23,RM_PM_Quantity[Section],$C23,RM_PM_Quantity[RM Name],$E23)+IF($D23="MIND/Pre-Production",SUMIFS(RM_PM_Quantity[Quantity],RM_PM_Quantity[Date],AT$1,RM_PM_Quantity[Location],"MIDC/Pre-Production",RM_PM_Quantity[Section],$C23,RM_PM_Quantity[RM Name],$E23),0)</f>
        <v>0</v>
      </c>
      <c r="AU23" s="84">
        <f>SUMIFS(RM_PM_Quantity[Quantity],RM_PM_Quantity[Date],AU$1,RM_PM_Quantity[Location],$D23,RM_PM_Quantity[Section],$C23,RM_PM_Quantity[RM Name],$E23)+IF($D23="MIND/Pre-Production",SUMIFS(RM_PM_Quantity[Quantity],RM_PM_Quantity[Date],AU$1,RM_PM_Quantity[Location],"MIDC/Pre-Production",RM_PM_Quantity[Section],$C23,RM_PM_Quantity[RM Name],$E23),0)</f>
        <v>0</v>
      </c>
      <c r="AV23" s="84">
        <f>SUMIFS(RM_PM_Quantity[Quantity],RM_PM_Quantity[Date],AV$1,RM_PM_Quantity[Location],$D23,RM_PM_Quantity[Section],$C23,RM_PM_Quantity[RM Name],$E23)+IF($D23="MIND/Pre-Production",SUMIFS(RM_PM_Quantity[Quantity],RM_PM_Quantity[Date],AV$1,RM_PM_Quantity[Location],"MIDC/Pre-Production",RM_PM_Quantity[Section],$C23,RM_PM_Quantity[RM Name],$E23),0)</f>
        <v>0</v>
      </c>
      <c r="AW23" s="84">
        <f>SUMIFS(RM_PM_Quantity[Quantity],RM_PM_Quantity[Date],AW$1,RM_PM_Quantity[Location],$D23,RM_PM_Quantity[Section],$C23,RM_PM_Quantity[RM Name],$E23)+IF($D23="MIND/Pre-Production",SUMIFS(RM_PM_Quantity[Quantity],RM_PM_Quantity[Date],AW$1,RM_PM_Quantity[Location],"MIDC/Pre-Production",RM_PM_Quantity[Section],$C23,RM_PM_Quantity[RM Name],$E23),0)</f>
        <v>0</v>
      </c>
      <c r="AX23" s="84">
        <f>SUMIFS(RM_PM_Quantity[Quantity],RM_PM_Quantity[Date],AX$1,RM_PM_Quantity[Location],$D23,RM_PM_Quantity[Section],$C23,RM_PM_Quantity[RM Name],$E23)+IF($D23="MIND/Pre-Production",SUMIFS(RM_PM_Quantity[Quantity],RM_PM_Quantity[Date],AX$1,RM_PM_Quantity[Location],"MIDC/Pre-Production",RM_PM_Quantity[Section],$C23,RM_PM_Quantity[RM Name],$E23),0)</f>
        <v>0</v>
      </c>
      <c r="AY23" s="84">
        <f>SUMIFS(RM_PM_Quantity[Quantity],RM_PM_Quantity[Date],AY$1,RM_PM_Quantity[Location],$D23,RM_PM_Quantity[Section],$C23,RM_PM_Quantity[RM Name],$E23)+IF($D23="MIND/Pre-Production",SUMIFS(RM_PM_Quantity[Quantity],RM_PM_Quantity[Date],AY$1,RM_PM_Quantity[Location],"MIDC/Pre-Production",RM_PM_Quantity[Section],$C23,RM_PM_Quantity[RM Name],$E23),0)</f>
        <v>0</v>
      </c>
      <c r="AZ23" s="84">
        <f>SUMIFS(RM_PM_Quantity[Quantity],RM_PM_Quantity[Date],AZ$1,RM_PM_Quantity[Location],$D23,RM_PM_Quantity[Section],$C23,RM_PM_Quantity[RM Name],$E23)+IF($D23="MIND/Pre-Production",SUMIFS(RM_PM_Quantity[Quantity],RM_PM_Quantity[Date],AZ$1,RM_PM_Quantity[Location],"MIDC/Pre-Production",RM_PM_Quantity[Section],$C23,RM_PM_Quantity[RM Name],$E23),0)</f>
        <v>0</v>
      </c>
      <c r="BA23" s="84">
        <f>SUMIFS(RM_PM_Quantity[Quantity],RM_PM_Quantity[Date],BA$1,RM_PM_Quantity[Location],$D23,RM_PM_Quantity[Section],$C23,RM_PM_Quantity[RM Name],$E23)+IF($D23="MIND/Pre-Production",SUMIFS(RM_PM_Quantity[Quantity],RM_PM_Quantity[Date],BA$1,RM_PM_Quantity[Location],"MIDC/Pre-Production",RM_PM_Quantity[Section],$C23,RM_PM_Quantity[RM Name],$E23),0)</f>
        <v>0</v>
      </c>
      <c r="BB23" s="84">
        <f>SUMIFS(RM_PM_Quantity[Quantity],RM_PM_Quantity[Date],BB$1,RM_PM_Quantity[Location],$D23,RM_PM_Quantity[Section],$C23,RM_PM_Quantity[RM Name],$E23)+IF($D23="MIND/Pre-Production",SUMIFS(RM_PM_Quantity[Quantity],RM_PM_Quantity[Date],BB$1,RM_PM_Quantity[Location],"MIDC/Pre-Production",RM_PM_Quantity[Section],$C23,RM_PM_Quantity[RM Name],$E23),0)</f>
        <v>0</v>
      </c>
      <c r="BC23" s="84">
        <f>SUMIFS(RM_PM_Quantity[Quantity],RM_PM_Quantity[Date],BC$1,RM_PM_Quantity[Location],$D23,RM_PM_Quantity[Section],$C23,RM_PM_Quantity[RM Name],$E23)+IF($D23="MIND/Pre-Production",SUMIFS(RM_PM_Quantity[Quantity],RM_PM_Quantity[Date],BC$1,RM_PM_Quantity[Location],"MIDC/Pre-Production",RM_PM_Quantity[Section],$C23,RM_PM_Quantity[RM Name],$E23),0)</f>
        <v>0</v>
      </c>
      <c r="BD23" s="84">
        <f>SUMIFS(RM_PM_Quantity[Quantity],RM_PM_Quantity[Date],BD$1,RM_PM_Quantity[Location],$D23,RM_PM_Quantity[Section],$C23,RM_PM_Quantity[RM Name],$E23)+IF($D23="MIND/Pre-Production",SUMIFS(RM_PM_Quantity[Quantity],RM_PM_Quantity[Date],BD$1,RM_PM_Quantity[Location],"MIDC/Pre-Production",RM_PM_Quantity[Section],$C23,RM_PM_Quantity[RM Name],$E23),0)</f>
        <v>0</v>
      </c>
      <c r="BE23" s="84">
        <f>SUMIFS(RM_PM_Quantity[Quantity],RM_PM_Quantity[Date],BE$1,RM_PM_Quantity[Location],$D23,RM_PM_Quantity[Section],$C23,RM_PM_Quantity[RM Name],$E23)+IF($D23="MIND/Pre-Production",SUMIFS(RM_PM_Quantity[Quantity],RM_PM_Quantity[Date],BE$1,RM_PM_Quantity[Location],"MIDC/Pre-Production",RM_PM_Quantity[Section],$C23,RM_PM_Quantity[RM Name],$E23),0)</f>
        <v>0</v>
      </c>
      <c r="BF23" s="84">
        <f>SUMIFS(RM_PM_Quantity[Quantity],RM_PM_Quantity[Date],BF$1,RM_PM_Quantity[Location],$D23,RM_PM_Quantity[Section],$C23,RM_PM_Quantity[RM Name],$E23)+IF($D23="MIND/Pre-Production",SUMIFS(RM_PM_Quantity[Quantity],RM_PM_Quantity[Date],BF$1,RM_PM_Quantity[Location],"MIDC/Pre-Production",RM_PM_Quantity[Section],$C23,RM_PM_Quantity[RM Name],$E23),0)</f>
        <v>0</v>
      </c>
      <c r="BG23" s="84">
        <f>SUMIFS(RM_PM_Quantity[Quantity],RM_PM_Quantity[Date],BG$1,RM_PM_Quantity[Location],$D23,RM_PM_Quantity[Section],$C23,RM_PM_Quantity[RM Name],$E23)+IF($D23="MIND/Pre-Production",SUMIFS(RM_PM_Quantity[Quantity],RM_PM_Quantity[Date],BG$1,RM_PM_Quantity[Location],"MIDC/Pre-Production",RM_PM_Quantity[Section],$C23,RM_PM_Quantity[RM Name],$E23),0)</f>
        <v>0</v>
      </c>
      <c r="BH23" s="84">
        <f>SUMIFS(RM_PM_Quantity[Quantity],RM_PM_Quantity[Date],BH$1,RM_PM_Quantity[Location],$D23,RM_PM_Quantity[Section],$C23,RM_PM_Quantity[RM Name],$E23)+IF($D23="MIND/Pre-Production",SUMIFS(RM_PM_Quantity[Quantity],RM_PM_Quantity[Date],BH$1,RM_PM_Quantity[Location],"MIDC/Pre-Production",RM_PM_Quantity[Section],$C23,RM_PM_Quantity[RM Name],$E23),0)</f>
        <v>0</v>
      </c>
      <c r="BI23" s="84">
        <f>SUMIFS(RM_PM_Quantity[Quantity],RM_PM_Quantity[Date],BI$1,RM_PM_Quantity[Location],$D23,RM_PM_Quantity[Section],$C23,RM_PM_Quantity[RM Name],$E23)+IF($D23="MIND/Pre-Production",SUMIFS(RM_PM_Quantity[Quantity],RM_PM_Quantity[Date],BI$1,RM_PM_Quantity[Location],"MIDC/Pre-Production",RM_PM_Quantity[Section],$C23,RM_PM_Quantity[RM Name],$E23),0)</f>
        <v>0</v>
      </c>
      <c r="BJ23" s="84">
        <f>SUMIFS(RM_PM_Quantity[Quantity],RM_PM_Quantity[Date],BJ$1,RM_PM_Quantity[Location],$D23,RM_PM_Quantity[Section],$C23,RM_PM_Quantity[RM Name],$E23)+IF($D23="MIND/Pre-Production",SUMIFS(RM_PM_Quantity[Quantity],RM_PM_Quantity[Date],BJ$1,RM_PM_Quantity[Location],"MIDC/Pre-Production",RM_PM_Quantity[Section],$C23,RM_PM_Quantity[RM Name],$E23),0)</f>
        <v>0</v>
      </c>
      <c r="BK23" s="84">
        <f>SUMIFS(RM_PM_Quantity[Quantity],RM_PM_Quantity[Date],BK$1,RM_PM_Quantity[Location],$D23,RM_PM_Quantity[Section],$C23,RM_PM_Quantity[RM Name],$E23)+IF($D23="MIND/Pre-Production",SUMIFS(RM_PM_Quantity[Quantity],RM_PM_Quantity[Date],BK$1,RM_PM_Quantity[Location],"MIDC/Pre-Production",RM_PM_Quantity[Section],$C23,RM_PM_Quantity[RM Name],$E23),0)</f>
        <v>0</v>
      </c>
      <c r="BL23" s="84">
        <f>SUMIFS(RM_PM_Quantity[Quantity],RM_PM_Quantity[Date],BL$1,RM_PM_Quantity[Location],$D23,RM_PM_Quantity[Section],$C23,RM_PM_Quantity[RM Name],$E23)+IF($D23="MIND/Pre-Production",SUMIFS(RM_PM_Quantity[Quantity],RM_PM_Quantity[Date],BL$1,RM_PM_Quantity[Location],"MIDC/Pre-Production",RM_PM_Quantity[Section],$C23,RM_PM_Quantity[RM Name],$E23),0)</f>
        <v>0</v>
      </c>
      <c r="BM23" s="84">
        <f>SUMIFS(RM_PM_Quantity[Quantity],RM_PM_Quantity[Date],BM$1,RM_PM_Quantity[Location],$D23,RM_PM_Quantity[Section],$C23,RM_PM_Quantity[RM Name],$E23)+IF($D23="MIND/Pre-Production",SUMIFS(RM_PM_Quantity[Quantity],RM_PM_Quantity[Date],BM$1,RM_PM_Quantity[Location],"MIDC/Pre-Production",RM_PM_Quantity[Section],$C23,RM_PM_Quantity[RM Name],$E23),0)</f>
        <v>0</v>
      </c>
      <c r="BN23" s="84">
        <f>SUMIFS(RM_PM_Quantity[Quantity],RM_PM_Quantity[Date],BN$1,RM_PM_Quantity[Location],$D23,RM_PM_Quantity[Section],$C23,RM_PM_Quantity[RM Name],$E23)+IF($D23="MIND/Pre-Production",SUMIFS(RM_PM_Quantity[Quantity],RM_PM_Quantity[Date],BN$1,RM_PM_Quantity[Location],"MIDC/Pre-Production",RM_PM_Quantity[Section],$C23,RM_PM_Quantity[RM Name],$E23),0)</f>
        <v>0</v>
      </c>
      <c r="BO23" s="84">
        <f>SUMIFS(RM_PM_Quantity[Quantity],RM_PM_Quantity[Date],BO$1,RM_PM_Quantity[Location],$D23,RM_PM_Quantity[Section],$C23,RM_PM_Quantity[RM Name],$E23)+IF($D23="MIND/Pre-Production",SUMIFS(RM_PM_Quantity[Quantity],RM_PM_Quantity[Date],BO$1,RM_PM_Quantity[Location],"MIDC/Pre-Production",RM_PM_Quantity[Section],$C23,RM_PM_Quantity[RM Name],$E23),0)</f>
        <v>0</v>
      </c>
      <c r="BP23" s="84">
        <f>SUMIFS(RM_PM_Quantity[Quantity],RM_PM_Quantity[Date],BP$1,RM_PM_Quantity[Location],$D23,RM_PM_Quantity[Section],$C23,RM_PM_Quantity[RM Name],$E23)+IF($D23="MIND/Pre-Production",SUMIFS(RM_PM_Quantity[Quantity],RM_PM_Quantity[Date],BP$1,RM_PM_Quantity[Location],"MIDC/Pre-Production",RM_PM_Quantity[Section],$C23,RM_PM_Quantity[RM Name],$E23),0)</f>
        <v>0</v>
      </c>
      <c r="BQ23" s="84">
        <f>SUMIFS(RM_PM_Quantity[Quantity],RM_PM_Quantity[Date],BQ$1,RM_PM_Quantity[Location],$D23,RM_PM_Quantity[Section],$C23,RM_PM_Quantity[RM Name],$E23)+IF($D23="MIND/Pre-Production",SUMIFS(RM_PM_Quantity[Quantity],RM_PM_Quantity[Date],BQ$1,RM_PM_Quantity[Location],"MIDC/Pre-Production",RM_PM_Quantity[Section],$C23,RM_PM_Quantity[RM Name],$E23),0)</f>
        <v>0</v>
      </c>
      <c r="BR23" s="84">
        <f>SUMIFS(RM_PM_Quantity[Quantity],RM_PM_Quantity[Date],BR$1,RM_PM_Quantity[Location],$D23,RM_PM_Quantity[Section],$C23,RM_PM_Quantity[RM Name],$E23)+IF($D23="MIND/Pre-Production",SUMIFS(RM_PM_Quantity[Quantity],RM_PM_Quantity[Date],BR$1,RM_PM_Quantity[Location],"MIDC/Pre-Production",RM_PM_Quantity[Section],$C23,RM_PM_Quantity[RM Name],$E23),0)</f>
        <v>0</v>
      </c>
      <c r="BS23" s="84">
        <f>SUMIFS(RM_PM_Quantity[Quantity],RM_PM_Quantity[Date],BS$1,RM_PM_Quantity[Location],$D23,RM_PM_Quantity[Section],$C23,RM_PM_Quantity[RM Name],$E23)+IF($D23="MIND/Pre-Production",SUMIFS(RM_PM_Quantity[Quantity],RM_PM_Quantity[Date],BS$1,RM_PM_Quantity[Location],"MIDC/Pre-Production",RM_PM_Quantity[Section],$C23,RM_PM_Quantity[RM Name],$E23),0)</f>
        <v>0</v>
      </c>
      <c r="BT23" s="84">
        <f>SUMIFS(RM_PM_Quantity[ID],RM_PM_Quantity[Location],BT$1,RM_PM_Quantity[Section],$D23,RM_PM_Quantity[RM Name],$C23,RM_PM_Quantity[Quantity],$E23)+IF($D23="MIND/Pre-Production",SUMIFS(RM_PM_Quantity[ID],RM_PM_Quantity[Location],BT$1,RM_PM_Quantity[Section],"MIDC/Pre-Production",RM_PM_Quantity[RM Name],$C23,RM_PM_Quantity[Quantity],$E23),0)</f>
        <v>0</v>
      </c>
      <c r="BU23" s="84">
        <f>SUMIFS(RM_PM_Quantity[Name of Supervisor],RM_PM_Quantity[Section],BU$1,RM_PM_Quantity[RM Name],$D23,RM_PM_Quantity[Quantity],$C23,RM_PM_Quantity[ID],$E23)+IF($D23="MIND/Pre-Production",SUMIFS(RM_PM_Quantity[Name of Supervisor],RM_PM_Quantity[Section],BU$1,RM_PM_Quantity[RM Name],"MIDC/Pre-Production",RM_PM_Quantity[Quantity],$C23,RM_PM_Quantity[ID],$E23),0)</f>
        <v>0</v>
      </c>
      <c r="BV23" s="84">
        <f>SUMIFS(RM_PM_Quantity[Date],RM_PM_Quantity[RM Name],BV$1,RM_PM_Quantity[Quantity],$D23,RM_PM_Quantity[ID],$C23,RM_PM_Quantity[Name of Supervisor],$E23)+IF($D23="MIND/Pre-Production",SUMIFS(RM_PM_Quantity[Date],RM_PM_Quantity[RM Name],BV$1,RM_PM_Quantity[Quantity],"MIDC/Pre-Production",RM_PM_Quantity[ID],$C23,RM_PM_Quantity[Name of Supervisor],$E23),0)</f>
        <v>0</v>
      </c>
      <c r="BW23" s="84">
        <f>SUMIFS(RM_PM_Quantity[Location],RM_PM_Quantity[Quantity],BW$1,RM_PM_Quantity[ID],$D23,RM_PM_Quantity[Name of Supervisor],$C23,RM_PM_Quantity[Date],$E23)+IF($D23="MIND/Pre-Production",SUMIFS(RM_PM_Quantity[Location],RM_PM_Quantity[Quantity],BW$1,RM_PM_Quantity[ID],"MIDC/Pre-Production",RM_PM_Quantity[Name of Supervisor],$C23,RM_PM_Quantity[Date],$E23),0)</f>
        <v>0</v>
      </c>
      <c r="BX23" s="84">
        <f>SUMIFS(RM_PM_Quantity[Section],RM_PM_Quantity[ID],BX$1,RM_PM_Quantity[Name of Supervisor],$D23,RM_PM_Quantity[Date],$C23,RM_PM_Quantity[Location],$E23)+IF($D23="MIND/Pre-Production",SUMIFS(RM_PM_Quantity[Section],RM_PM_Quantity[ID],BX$1,RM_PM_Quantity[Name of Supervisor],"MIDC/Pre-Production",RM_PM_Quantity[Date],$C23,RM_PM_Quantity[Location],$E23),0)</f>
        <v>0</v>
      </c>
      <c r="BY23" s="84">
        <f>SUMIFS(RM_PM_Quantity[RM Name],RM_PM_Quantity[Name of Supervisor],BY$1,RM_PM_Quantity[Date],$D23,RM_PM_Quantity[Location],$C23,RM_PM_Quantity[Section],$E23)+IF($D23="MIND/Pre-Production",SUMIFS(RM_PM_Quantity[RM Name],RM_PM_Quantity[Name of Supervisor],BY$1,RM_PM_Quantity[Date],"MIDC/Pre-Production",RM_PM_Quantity[Location],$C23,RM_PM_Quantity[Section],$E23),0)</f>
        <v>0</v>
      </c>
    </row>
    <row r="24" spans="1:77" ht="45.75" customHeight="1">
      <c r="A24" s="79">
        <v>23</v>
      </c>
      <c r="B24" s="87" t="s">
        <v>100</v>
      </c>
      <c r="C24" s="80" t="s">
        <v>92</v>
      </c>
      <c r="D24" s="81" t="s">
        <v>68</v>
      </c>
      <c r="E24" s="82" t="s">
        <v>101</v>
      </c>
      <c r="F24" s="83">
        <f>IFERROR(_xlfn.XLOOKUP(B24,'[1]RM Tracker'!B:B,'[1]RM Tracker'!E:E),"0")</f>
        <v>0</v>
      </c>
      <c r="G24" s="85">
        <f t="shared" si="2"/>
        <v>0</v>
      </c>
      <c r="H24" s="85">
        <f t="shared" si="0"/>
        <v>0</v>
      </c>
      <c r="I24" s="91">
        <f t="shared" si="1"/>
        <v>0</v>
      </c>
      <c r="J24" s="84">
        <f>SUMIFS(RM_PM_Quantity[Quantity],RM_PM_Quantity[Date],J$1,RM_PM_Quantity[Location],$D24,RM_PM_Quantity[Section],$C24,RM_PM_Quantity[RM Name],$E24)+IF($D24="MIND/Pre-Production",SUMIFS(RM_PM_Quantity[Quantity],RM_PM_Quantity[Date],J$1,RM_PM_Quantity[Location],"MIDC/Pre-Production",RM_PM_Quantity[Section],$C24,RM_PM_Quantity[RM Name],$E24),0)</f>
        <v>0</v>
      </c>
      <c r="K24" s="84">
        <f>SUMIFS(RM_PM_Quantity[Quantity],RM_PM_Quantity[Date],K$1,RM_PM_Quantity[Location],$D24,RM_PM_Quantity[Section],$C24,RM_PM_Quantity[RM Name],$E24)+IF($D24="MIND/Pre-Production",SUMIFS(RM_PM_Quantity[Quantity],RM_PM_Quantity[Date],K$1,RM_PM_Quantity[Location],"MIDC/Pre-Production",RM_PM_Quantity[Section],$C24,RM_PM_Quantity[RM Name],$E24),0)</f>
        <v>0</v>
      </c>
      <c r="L24" s="84">
        <f>SUMIFS(RM_PM_Quantity[Quantity],RM_PM_Quantity[Date],L$1,RM_PM_Quantity[Location],$D24,RM_PM_Quantity[Section],$C24,RM_PM_Quantity[RM Name],$E24)+IF($D24="MIND/Pre-Production",SUMIFS(RM_PM_Quantity[Quantity],RM_PM_Quantity[Date],L$1,RM_PM_Quantity[Location],"MIDC/Pre-Production",RM_PM_Quantity[Section],$C24,RM_PM_Quantity[RM Name],$E24),0)</f>
        <v>0</v>
      </c>
      <c r="M24" s="84">
        <f>SUMIFS(RM_PM_Quantity[Quantity],RM_PM_Quantity[Date],M$1,RM_PM_Quantity[Location],$D24,RM_PM_Quantity[Section],$C24,RM_PM_Quantity[RM Name],$E24)+IF($D24="MIND/Pre-Production",SUMIFS(RM_PM_Quantity[Quantity],RM_PM_Quantity[Date],M$1,RM_PM_Quantity[Location],"MIDC/Pre-Production",RM_PM_Quantity[Section],$C24,RM_PM_Quantity[RM Name],$E24),0)</f>
        <v>0</v>
      </c>
      <c r="N24" s="84">
        <f>SUMIFS(RM_PM_Quantity[Quantity],RM_PM_Quantity[Date],N$1,RM_PM_Quantity[Location],$D24,RM_PM_Quantity[Section],$C24,RM_PM_Quantity[RM Name],$E24)+IF($D24="MIND/Pre-Production",SUMIFS(RM_PM_Quantity[Quantity],RM_PM_Quantity[Date],N$1,RM_PM_Quantity[Location],"MIDC/Pre-Production",RM_PM_Quantity[Section],$C24,RM_PM_Quantity[RM Name],$E24),0)</f>
        <v>0</v>
      </c>
      <c r="O24" s="84">
        <f>SUMIFS(RM_PM_Quantity[Quantity],RM_PM_Quantity[Date],O$1,RM_PM_Quantity[Location],$D24,RM_PM_Quantity[Section],$C24,RM_PM_Quantity[RM Name],$E24)+IF($D24="MIND/Pre-Production",SUMIFS(RM_PM_Quantity[Quantity],RM_PM_Quantity[Date],O$1,RM_PM_Quantity[Location],"MIDC/Pre-Production",RM_PM_Quantity[Section],$C24,RM_PM_Quantity[RM Name],$E24),0)</f>
        <v>0</v>
      </c>
      <c r="P24" s="84">
        <f>SUMIFS(RM_PM_Quantity[Quantity],RM_PM_Quantity[Date],P$1,RM_PM_Quantity[Location],$D24,RM_PM_Quantity[Section],$C24,RM_PM_Quantity[RM Name],$E24)+IF($D24="MIND/Pre-Production",SUMIFS(RM_PM_Quantity[Quantity],RM_PM_Quantity[Date],P$1,RM_PM_Quantity[Location],"MIDC/Pre-Production",RM_PM_Quantity[Section],$C24,RM_PM_Quantity[RM Name],$E24),0)</f>
        <v>0</v>
      </c>
      <c r="Q24" s="84">
        <f>SUMIFS(RM_PM_Quantity[Quantity],RM_PM_Quantity[Date],Q$1,RM_PM_Quantity[Location],$D24,RM_PM_Quantity[Section],$C24,RM_PM_Quantity[RM Name],$E24)+IF($D24="MIND/Pre-Production",SUMIFS(RM_PM_Quantity[Quantity],RM_PM_Quantity[Date],Q$1,RM_PM_Quantity[Location],"MIDC/Pre-Production",RM_PM_Quantity[Section],$C24,RM_PM_Quantity[RM Name],$E24),0)</f>
        <v>0</v>
      </c>
      <c r="R24" s="84">
        <f>SUMIFS(RM_PM_Quantity[Quantity],RM_PM_Quantity[Date],R$1,RM_PM_Quantity[Location],$D24,RM_PM_Quantity[Section],$C24,RM_PM_Quantity[RM Name],$E24)+IF($D24="MIND/Pre-Production",SUMIFS(RM_PM_Quantity[Quantity],RM_PM_Quantity[Date],R$1,RM_PM_Quantity[Location],"MIDC/Pre-Production",RM_PM_Quantity[Section],$C24,RM_PM_Quantity[RM Name],$E24),0)</f>
        <v>0</v>
      </c>
      <c r="S24" s="84">
        <f>SUMIFS(RM_PM_Quantity[Quantity],RM_PM_Quantity[Date],S$1,RM_PM_Quantity[Location],$D24,RM_PM_Quantity[Section],$C24,RM_PM_Quantity[RM Name],$E24)+IF($D24="MIND/Pre-Production",SUMIFS(RM_PM_Quantity[Quantity],RM_PM_Quantity[Date],S$1,RM_PM_Quantity[Location],"MIDC/Pre-Production",RM_PM_Quantity[Section],$C24,RM_PM_Quantity[RM Name],$E24),0)</f>
        <v>0</v>
      </c>
      <c r="T24" s="84">
        <f>SUMIFS(RM_PM_Quantity[Quantity],RM_PM_Quantity[Date],T$1,RM_PM_Quantity[Location],$D24,RM_PM_Quantity[Section],$C24,RM_PM_Quantity[RM Name],$E24)+IF($D24="MIND/Pre-Production",SUMIFS(RM_PM_Quantity[Quantity],RM_PM_Quantity[Date],T$1,RM_PM_Quantity[Location],"MIDC/Pre-Production",RM_PM_Quantity[Section],$C24,RM_PM_Quantity[RM Name],$E24),0)</f>
        <v>1000</v>
      </c>
      <c r="U24" s="84">
        <f>SUMIFS(RM_PM_Quantity[Quantity],RM_PM_Quantity[Date],U$1,RM_PM_Quantity[Location],$D24,RM_PM_Quantity[Section],$C24,RM_PM_Quantity[RM Name],$E24)+IF($D24="MIND/Pre-Production",SUMIFS(RM_PM_Quantity[Quantity],RM_PM_Quantity[Date],U$1,RM_PM_Quantity[Location],"MIDC/Pre-Production",RM_PM_Quantity[Section],$C24,RM_PM_Quantity[RM Name],$E24),0)</f>
        <v>1000</v>
      </c>
      <c r="V24" s="84">
        <f>SUMIFS(RM_PM_Quantity[Quantity],RM_PM_Quantity[Date],V$1,RM_PM_Quantity[Location],$D24,RM_PM_Quantity[Section],$C24,RM_PM_Quantity[RM Name],$E24)+IF($D24="MIND/Pre-Production",SUMIFS(RM_PM_Quantity[Quantity],RM_PM_Quantity[Date],V$1,RM_PM_Quantity[Location],"MIDC/Pre-Production",RM_PM_Quantity[Section],$C24,RM_PM_Quantity[RM Name],$E24),0)</f>
        <v>0</v>
      </c>
      <c r="W24" s="84">
        <f>SUMIFS(RM_PM_Quantity[Quantity],RM_PM_Quantity[Date],W$1,RM_PM_Quantity[Location],$D24,RM_PM_Quantity[Section],$C24,RM_PM_Quantity[RM Name],$E24)+IF($D24="MIND/Pre-Production",SUMIFS(RM_PM_Quantity[Quantity],RM_PM_Quantity[Date],W$1,RM_PM_Quantity[Location],"MIDC/Pre-Production",RM_PM_Quantity[Section],$C24,RM_PM_Quantity[RM Name],$E24),0)</f>
        <v>0</v>
      </c>
      <c r="X24" s="84">
        <f>SUMIFS(RM_PM_Quantity[Quantity],RM_PM_Quantity[Date],X$1,RM_PM_Quantity[Location],$D24,RM_PM_Quantity[Section],$C24,RM_PM_Quantity[RM Name],$E24)+IF($D24="MIND/Pre-Production",SUMIFS(RM_PM_Quantity[Quantity],RM_PM_Quantity[Date],X$1,RM_PM_Quantity[Location],"MIDC/Pre-Production",RM_PM_Quantity[Section],$C24,RM_PM_Quantity[RM Name],$E24),0)</f>
        <v>0</v>
      </c>
      <c r="Y24" s="84">
        <f>SUMIFS(RM_PM_Quantity[Quantity],RM_PM_Quantity[Date],Y$1,RM_PM_Quantity[Location],$D24,RM_PM_Quantity[Section],$C24,RM_PM_Quantity[RM Name],$E24)+IF($D24="MIND/Pre-Production",SUMIFS(RM_PM_Quantity[Quantity],RM_PM_Quantity[Date],Y$1,RM_PM_Quantity[Location],"MIDC/Pre-Production",RM_PM_Quantity[Section],$C24,RM_PM_Quantity[RM Name],$E24),0)</f>
        <v>0</v>
      </c>
      <c r="Z24" s="84">
        <f>SUMIFS(RM_PM_Quantity[Quantity],RM_PM_Quantity[Date],Z$1,RM_PM_Quantity[Location],$D24,RM_PM_Quantity[Section],$C24,RM_PM_Quantity[RM Name],$E24)+IF($D24="MIND/Pre-Production",SUMIFS(RM_PM_Quantity[Quantity],RM_PM_Quantity[Date],Z$1,RM_PM_Quantity[Location],"MIDC/Pre-Production",RM_PM_Quantity[Section],$C24,RM_PM_Quantity[RM Name],$E24),0)</f>
        <v>0</v>
      </c>
      <c r="AA24" s="84">
        <f>SUMIFS(RM_PM_Quantity[Quantity],RM_PM_Quantity[Date],AA$1,RM_PM_Quantity[Location],$D24,RM_PM_Quantity[Section],$C24,RM_PM_Quantity[RM Name],$E24)+IF($D24="MIND/Pre-Production",SUMIFS(RM_PM_Quantity[Quantity],RM_PM_Quantity[Date],AA$1,RM_PM_Quantity[Location],"MIDC/Pre-Production",RM_PM_Quantity[Section],$C24,RM_PM_Quantity[RM Name],$E24),0)</f>
        <v>0</v>
      </c>
      <c r="AB24" s="84">
        <f>SUMIFS(RM_PM_Quantity[Quantity],RM_PM_Quantity[Date],AB$1,RM_PM_Quantity[Location],$D24,RM_PM_Quantity[Section],$C24,RM_PM_Quantity[RM Name],$E24)+IF($D24="MIND/Pre-Production",SUMIFS(RM_PM_Quantity[Quantity],RM_PM_Quantity[Date],AB$1,RM_PM_Quantity[Location],"MIDC/Pre-Production",RM_PM_Quantity[Section],$C24,RM_PM_Quantity[RM Name],$E24),0)</f>
        <v>0</v>
      </c>
      <c r="AC24" s="84">
        <f>SUMIFS(RM_PM_Quantity[Quantity],RM_PM_Quantity[Date],AC$1,RM_PM_Quantity[Location],$D24,RM_PM_Quantity[Section],$C24,RM_PM_Quantity[RM Name],$E24)+IF($D24="MIND/Pre-Production",SUMIFS(RM_PM_Quantity[Quantity],RM_PM_Quantity[Date],AC$1,RM_PM_Quantity[Location],"MIDC/Pre-Production",RM_PM_Quantity[Section],$C24,RM_PM_Quantity[RM Name],$E24),0)</f>
        <v>960</v>
      </c>
      <c r="AD24" s="84">
        <f>SUMIFS(RM_PM_Quantity[Quantity],RM_PM_Quantity[Date],AD$1,RM_PM_Quantity[Location],$D24,RM_PM_Quantity[Section],$C24,RM_PM_Quantity[RM Name],$E24)+IF($D24="MIND/Pre-Production",SUMIFS(RM_PM_Quantity[Quantity],RM_PM_Quantity[Date],AD$1,RM_PM_Quantity[Location],"MIDC/Pre-Production",RM_PM_Quantity[Section],$C24,RM_PM_Quantity[RM Name],$E24),0)</f>
        <v>0</v>
      </c>
      <c r="AE24" s="84">
        <f>SUMIFS(RM_PM_Quantity[Quantity],RM_PM_Quantity[Date],AE$1,RM_PM_Quantity[Location],$D24,RM_PM_Quantity[Section],$C24,RM_PM_Quantity[RM Name],$E24)+IF($D24="MIND/Pre-Production",SUMIFS(RM_PM_Quantity[Quantity],RM_PM_Quantity[Date],AE$1,RM_PM_Quantity[Location],"MIDC/Pre-Production",RM_PM_Quantity[Section],$C24,RM_PM_Quantity[RM Name],$E24),0)</f>
        <v>0</v>
      </c>
      <c r="AF24" s="84">
        <f>SUMIFS(RM_PM_Quantity[Quantity],RM_PM_Quantity[Date],AF$1,RM_PM_Quantity[Location],$D24,RM_PM_Quantity[Section],$C24,RM_PM_Quantity[RM Name],$E24)+IF($D24="MIND/Pre-Production",SUMIFS(RM_PM_Quantity[Quantity],RM_PM_Quantity[Date],AF$1,RM_PM_Quantity[Location],"MIDC/Pre-Production",RM_PM_Quantity[Section],$C24,RM_PM_Quantity[RM Name],$E24),0)</f>
        <v>0</v>
      </c>
      <c r="AG24" s="84">
        <f>SUMIFS(RM_PM_Quantity[Quantity],RM_PM_Quantity[Date],AG$1,RM_PM_Quantity[Location],$D24,RM_PM_Quantity[Section],$C24,RM_PM_Quantity[RM Name],$E24)+IF($D24="MIND/Pre-Production",SUMIFS(RM_PM_Quantity[Quantity],RM_PM_Quantity[Date],AG$1,RM_PM_Quantity[Location],"MIDC/Pre-Production",RM_PM_Quantity[Section],$C24,RM_PM_Quantity[RM Name],$E24),0)</f>
        <v>0</v>
      </c>
      <c r="AH24" s="84">
        <f>SUMIFS(RM_PM_Quantity[Quantity],RM_PM_Quantity[Date],AH$1,RM_PM_Quantity[Location],$D24,RM_PM_Quantity[Section],$C24,RM_PM_Quantity[RM Name],$E24)+IF($D24="MIND/Pre-Production",SUMIFS(RM_PM_Quantity[Quantity],RM_PM_Quantity[Date],AH$1,RM_PM_Quantity[Location],"MIDC/Pre-Production",RM_PM_Quantity[Section],$C24,RM_PM_Quantity[RM Name],$E24),0)</f>
        <v>0</v>
      </c>
      <c r="AI24" s="84">
        <f>SUMIFS(RM_PM_Quantity[Quantity],RM_PM_Quantity[Date],AI$1,RM_PM_Quantity[Location],$D24,RM_PM_Quantity[Section],$C24,RM_PM_Quantity[RM Name],$E24)+IF($D24="MIND/Pre-Production",SUMIFS(RM_PM_Quantity[Quantity],RM_PM_Quantity[Date],AI$1,RM_PM_Quantity[Location],"MIDC/Pre-Production",RM_PM_Quantity[Section],$C24,RM_PM_Quantity[RM Name],$E24),0)</f>
        <v>0</v>
      </c>
      <c r="AJ24" s="84">
        <f>SUMIFS(RM_PM_Quantity[Quantity],RM_PM_Quantity[Date],AJ$1,RM_PM_Quantity[Location],$D24,RM_PM_Quantity[Section],$C24,RM_PM_Quantity[RM Name],$E24)+IF($D24="MIND/Pre-Production",SUMIFS(RM_PM_Quantity[Quantity],RM_PM_Quantity[Date],AJ$1,RM_PM_Quantity[Location],"MIDC/Pre-Production",RM_PM_Quantity[Section],$C24,RM_PM_Quantity[RM Name],$E24),0)</f>
        <v>0</v>
      </c>
      <c r="AK24" s="84">
        <f>SUMIFS(RM_PM_Quantity[Quantity],RM_PM_Quantity[Date],AK$1,RM_PM_Quantity[Location],$D24,RM_PM_Quantity[Section],$C24,RM_PM_Quantity[RM Name],$E24)+IF($D24="MIND/Pre-Production",SUMIFS(RM_PM_Quantity[Quantity],RM_PM_Quantity[Date],AK$1,RM_PM_Quantity[Location],"MIDC/Pre-Production",RM_PM_Quantity[Section],$C24,RM_PM_Quantity[RM Name],$E24),0)</f>
        <v>0</v>
      </c>
      <c r="AL24" s="84">
        <f>SUMIFS(RM_PM_Quantity[Quantity],RM_PM_Quantity[Date],AL$1,RM_PM_Quantity[Location],$D24,RM_PM_Quantity[Section],$C24,RM_PM_Quantity[RM Name],$E24)+IF($D24="MIND/Pre-Production",SUMIFS(RM_PM_Quantity[Quantity],RM_PM_Quantity[Date],AL$1,RM_PM_Quantity[Location],"MIDC/Pre-Production",RM_PM_Quantity[Section],$C24,RM_PM_Quantity[RM Name],$E24),0)</f>
        <v>0</v>
      </c>
      <c r="AM24" s="84">
        <f>SUMIFS(RM_PM_Quantity[Quantity],RM_PM_Quantity[Date],AM$1,RM_PM_Quantity[Location],$D24,RM_PM_Quantity[Section],$C24,RM_PM_Quantity[RM Name],$E24)+IF($D24="MIND/Pre-Production",SUMIFS(RM_PM_Quantity[Quantity],RM_PM_Quantity[Date],AM$1,RM_PM_Quantity[Location],"MIDC/Pre-Production",RM_PM_Quantity[Section],$C24,RM_PM_Quantity[RM Name],$E24),0)</f>
        <v>0</v>
      </c>
      <c r="AN24" s="84">
        <f>SUMIFS(RM_PM_Quantity[Quantity],RM_PM_Quantity[Date],AN$1,RM_PM_Quantity[Location],$D24,RM_PM_Quantity[Section],$C24,RM_PM_Quantity[RM Name],$E24)+IF($D24="MIND/Pre-Production",SUMIFS(RM_PM_Quantity[Quantity],RM_PM_Quantity[Date],AN$1,RM_PM_Quantity[Location],"MIDC/Pre-Production",RM_PM_Quantity[Section],$C24,RM_PM_Quantity[RM Name],$E24),0)</f>
        <v>0</v>
      </c>
      <c r="AO24" s="84">
        <f>SUMIFS(RM_PM_Quantity[Quantity],RM_PM_Quantity[Date],AO$1,RM_PM_Quantity[Location],$D24,RM_PM_Quantity[Section],$C24,RM_PM_Quantity[RM Name],$E24)+IF($D24="MIND/Pre-Production",SUMIFS(RM_PM_Quantity[Quantity],RM_PM_Quantity[Date],AO$1,RM_PM_Quantity[Location],"MIDC/Pre-Production",RM_PM_Quantity[Section],$C24,RM_PM_Quantity[RM Name],$E24),0)</f>
        <v>0</v>
      </c>
      <c r="AP24" s="84">
        <f>SUMIFS(RM_PM_Quantity[Quantity],RM_PM_Quantity[Date],AP$1,RM_PM_Quantity[Location],$D24,RM_PM_Quantity[Section],$C24,RM_PM_Quantity[RM Name],$E24)+IF($D24="MIND/Pre-Production",SUMIFS(RM_PM_Quantity[Quantity],RM_PM_Quantity[Date],AP$1,RM_PM_Quantity[Location],"MIDC/Pre-Production",RM_PM_Quantity[Section],$C24,RM_PM_Quantity[RM Name],$E24),0)</f>
        <v>0</v>
      </c>
      <c r="AQ24" s="84">
        <f>SUMIFS(RM_PM_Quantity[Quantity],RM_PM_Quantity[Date],AQ$1,RM_PM_Quantity[Location],$D24,RM_PM_Quantity[Section],$C24,RM_PM_Quantity[RM Name],$E24)+IF($D24="MIND/Pre-Production",SUMIFS(RM_PM_Quantity[Quantity],RM_PM_Quantity[Date],AQ$1,RM_PM_Quantity[Location],"MIDC/Pre-Production",RM_PM_Quantity[Section],$C24,RM_PM_Quantity[RM Name],$E24),0)</f>
        <v>0</v>
      </c>
      <c r="AR24" s="84">
        <f>SUMIFS(RM_PM_Quantity[Quantity],RM_PM_Quantity[Date],AR$1,RM_PM_Quantity[Location],$D24,RM_PM_Quantity[Section],$C24,RM_PM_Quantity[RM Name],$E24)+IF($D24="MIND/Pre-Production",SUMIFS(RM_PM_Quantity[Quantity],RM_PM_Quantity[Date],AR$1,RM_PM_Quantity[Location],"MIDC/Pre-Production",RM_PM_Quantity[Section],$C24,RM_PM_Quantity[RM Name],$E24),0)</f>
        <v>0</v>
      </c>
      <c r="AS24" s="84">
        <f>SUMIFS(RM_PM_Quantity[Quantity],RM_PM_Quantity[Date],AS$1,RM_PM_Quantity[Location],$D24,RM_PM_Quantity[Section],$C24,RM_PM_Quantity[RM Name],$E24)+IF($D24="MIND/Pre-Production",SUMIFS(RM_PM_Quantity[Quantity],RM_PM_Quantity[Date],AS$1,RM_PM_Quantity[Location],"MIDC/Pre-Production",RM_PM_Quantity[Section],$C24,RM_PM_Quantity[RM Name],$E24),0)</f>
        <v>0</v>
      </c>
      <c r="AT24" s="84">
        <f>SUMIFS(RM_PM_Quantity[Quantity],RM_PM_Quantity[Date],AT$1,RM_PM_Quantity[Location],$D24,RM_PM_Quantity[Section],$C24,RM_PM_Quantity[RM Name],$E24)+IF($D24="MIND/Pre-Production",SUMIFS(RM_PM_Quantity[Quantity],RM_PM_Quantity[Date],AT$1,RM_PM_Quantity[Location],"MIDC/Pre-Production",RM_PM_Quantity[Section],$C24,RM_PM_Quantity[RM Name],$E24),0)</f>
        <v>0</v>
      </c>
      <c r="AU24" s="84">
        <f>SUMIFS(RM_PM_Quantity[Quantity],RM_PM_Quantity[Date],AU$1,RM_PM_Quantity[Location],$D24,RM_PM_Quantity[Section],$C24,RM_PM_Quantity[RM Name],$E24)+IF($D24="MIND/Pre-Production",SUMIFS(RM_PM_Quantity[Quantity],RM_PM_Quantity[Date],AU$1,RM_PM_Quantity[Location],"MIDC/Pre-Production",RM_PM_Quantity[Section],$C24,RM_PM_Quantity[RM Name],$E24),0)</f>
        <v>0</v>
      </c>
      <c r="AV24" s="84">
        <f>SUMIFS(RM_PM_Quantity[Quantity],RM_PM_Quantity[Date],AV$1,RM_PM_Quantity[Location],$D24,RM_PM_Quantity[Section],$C24,RM_PM_Quantity[RM Name],$E24)+IF($D24="MIND/Pre-Production",SUMIFS(RM_PM_Quantity[Quantity],RM_PM_Quantity[Date],AV$1,RM_PM_Quantity[Location],"MIDC/Pre-Production",RM_PM_Quantity[Section],$C24,RM_PM_Quantity[RM Name],$E24),0)</f>
        <v>0</v>
      </c>
      <c r="AW24" s="84">
        <f>SUMIFS(RM_PM_Quantity[Quantity],RM_PM_Quantity[Date],AW$1,RM_PM_Quantity[Location],$D24,RM_PM_Quantity[Section],$C24,RM_PM_Quantity[RM Name],$E24)+IF($D24="MIND/Pre-Production",SUMIFS(RM_PM_Quantity[Quantity],RM_PM_Quantity[Date],AW$1,RM_PM_Quantity[Location],"MIDC/Pre-Production",RM_PM_Quantity[Section],$C24,RM_PM_Quantity[RM Name],$E24),0)</f>
        <v>0</v>
      </c>
      <c r="AX24" s="84">
        <f>SUMIFS(RM_PM_Quantity[Quantity],RM_PM_Quantity[Date],AX$1,RM_PM_Quantity[Location],$D24,RM_PM_Quantity[Section],$C24,RM_PM_Quantity[RM Name],$E24)+IF($D24="MIND/Pre-Production",SUMIFS(RM_PM_Quantity[Quantity],RM_PM_Quantity[Date],AX$1,RM_PM_Quantity[Location],"MIDC/Pre-Production",RM_PM_Quantity[Section],$C24,RM_PM_Quantity[RM Name],$E24),0)</f>
        <v>0</v>
      </c>
      <c r="AY24" s="84">
        <f>SUMIFS(RM_PM_Quantity[Quantity],RM_PM_Quantity[Date],AY$1,RM_PM_Quantity[Location],$D24,RM_PM_Quantity[Section],$C24,RM_PM_Quantity[RM Name],$E24)+IF($D24="MIND/Pre-Production",SUMIFS(RM_PM_Quantity[Quantity],RM_PM_Quantity[Date],AY$1,RM_PM_Quantity[Location],"MIDC/Pre-Production",RM_PM_Quantity[Section],$C24,RM_PM_Quantity[RM Name],$E24),0)</f>
        <v>0</v>
      </c>
      <c r="AZ24" s="84">
        <f>SUMIFS(RM_PM_Quantity[Quantity],RM_PM_Quantity[Date],AZ$1,RM_PM_Quantity[Location],$D24,RM_PM_Quantity[Section],$C24,RM_PM_Quantity[RM Name],$E24)+IF($D24="MIND/Pre-Production",SUMIFS(RM_PM_Quantity[Quantity],RM_PM_Quantity[Date],AZ$1,RM_PM_Quantity[Location],"MIDC/Pre-Production",RM_PM_Quantity[Section],$C24,RM_PM_Quantity[RM Name],$E24),0)</f>
        <v>0</v>
      </c>
      <c r="BA24" s="84">
        <f>SUMIFS(RM_PM_Quantity[Quantity],RM_PM_Quantity[Date],BA$1,RM_PM_Quantity[Location],$D24,RM_PM_Quantity[Section],$C24,RM_PM_Quantity[RM Name],$E24)+IF($D24="MIND/Pre-Production",SUMIFS(RM_PM_Quantity[Quantity],RM_PM_Quantity[Date],BA$1,RM_PM_Quantity[Location],"MIDC/Pre-Production",RM_PM_Quantity[Section],$C24,RM_PM_Quantity[RM Name],$E24),0)</f>
        <v>0</v>
      </c>
      <c r="BB24" s="84">
        <f>SUMIFS(RM_PM_Quantity[Quantity],RM_PM_Quantity[Date],BB$1,RM_PM_Quantity[Location],$D24,RM_PM_Quantity[Section],$C24,RM_PM_Quantity[RM Name],$E24)+IF($D24="MIND/Pre-Production",SUMIFS(RM_PM_Quantity[Quantity],RM_PM_Quantity[Date],BB$1,RM_PM_Quantity[Location],"MIDC/Pre-Production",RM_PM_Quantity[Section],$C24,RM_PM_Quantity[RM Name],$E24),0)</f>
        <v>0</v>
      </c>
      <c r="BC24" s="84">
        <f>SUMIFS(RM_PM_Quantity[Quantity],RM_PM_Quantity[Date],BC$1,RM_PM_Quantity[Location],$D24,RM_PM_Quantity[Section],$C24,RM_PM_Quantity[RM Name],$E24)+IF($D24="MIND/Pre-Production",SUMIFS(RM_PM_Quantity[Quantity],RM_PM_Quantity[Date],BC$1,RM_PM_Quantity[Location],"MIDC/Pre-Production",RM_PM_Quantity[Section],$C24,RM_PM_Quantity[RM Name],$E24),0)</f>
        <v>0</v>
      </c>
      <c r="BD24" s="84">
        <f>SUMIFS(RM_PM_Quantity[Quantity],RM_PM_Quantity[Date],BD$1,RM_PM_Quantity[Location],$D24,RM_PM_Quantity[Section],$C24,RM_PM_Quantity[RM Name],$E24)+IF($D24="MIND/Pre-Production",SUMIFS(RM_PM_Quantity[Quantity],RM_PM_Quantity[Date],BD$1,RM_PM_Quantity[Location],"MIDC/Pre-Production",RM_PM_Quantity[Section],$C24,RM_PM_Quantity[RM Name],$E24),0)</f>
        <v>0</v>
      </c>
      <c r="BE24" s="84">
        <f>SUMIFS(RM_PM_Quantity[Quantity],RM_PM_Quantity[Date],BE$1,RM_PM_Quantity[Location],$D24,RM_PM_Quantity[Section],$C24,RM_PM_Quantity[RM Name],$E24)+IF($D24="MIND/Pre-Production",SUMIFS(RM_PM_Quantity[Quantity],RM_PM_Quantity[Date],BE$1,RM_PM_Quantity[Location],"MIDC/Pre-Production",RM_PM_Quantity[Section],$C24,RM_PM_Quantity[RM Name],$E24),0)</f>
        <v>0</v>
      </c>
      <c r="BF24" s="84">
        <f>SUMIFS(RM_PM_Quantity[Quantity],RM_PM_Quantity[Date],BF$1,RM_PM_Quantity[Location],$D24,RM_PM_Quantity[Section],$C24,RM_PM_Quantity[RM Name],$E24)+IF($D24="MIND/Pre-Production",SUMIFS(RM_PM_Quantity[Quantity],RM_PM_Quantity[Date],BF$1,RM_PM_Quantity[Location],"MIDC/Pre-Production",RM_PM_Quantity[Section],$C24,RM_PM_Quantity[RM Name],$E24),0)</f>
        <v>0</v>
      </c>
      <c r="BG24" s="84">
        <f>SUMIFS(RM_PM_Quantity[Quantity],RM_PM_Quantity[Date],BG$1,RM_PM_Quantity[Location],$D24,RM_PM_Quantity[Section],$C24,RM_PM_Quantity[RM Name],$E24)+IF($D24="MIND/Pre-Production",SUMIFS(RM_PM_Quantity[Quantity],RM_PM_Quantity[Date],BG$1,RM_PM_Quantity[Location],"MIDC/Pre-Production",RM_PM_Quantity[Section],$C24,RM_PM_Quantity[RM Name],$E24),0)</f>
        <v>0</v>
      </c>
      <c r="BH24" s="84">
        <f>SUMIFS(RM_PM_Quantity[Quantity],RM_PM_Quantity[Date],BH$1,RM_PM_Quantity[Location],$D24,RM_PM_Quantity[Section],$C24,RM_PM_Quantity[RM Name],$E24)+IF($D24="MIND/Pre-Production",SUMIFS(RM_PM_Quantity[Quantity],RM_PM_Quantity[Date],BH$1,RM_PM_Quantity[Location],"MIDC/Pre-Production",RM_PM_Quantity[Section],$C24,RM_PM_Quantity[RM Name],$E24),0)</f>
        <v>0</v>
      </c>
      <c r="BI24" s="84">
        <f>SUMIFS(RM_PM_Quantity[Quantity],RM_PM_Quantity[Date],BI$1,RM_PM_Quantity[Location],$D24,RM_PM_Quantity[Section],$C24,RM_PM_Quantity[RM Name],$E24)+IF($D24="MIND/Pre-Production",SUMIFS(RM_PM_Quantity[Quantity],RM_PM_Quantity[Date],BI$1,RM_PM_Quantity[Location],"MIDC/Pre-Production",RM_PM_Quantity[Section],$C24,RM_PM_Quantity[RM Name],$E24),0)</f>
        <v>0</v>
      </c>
      <c r="BJ24" s="84">
        <f>SUMIFS(RM_PM_Quantity[Quantity],RM_PM_Quantity[Date],BJ$1,RM_PM_Quantity[Location],$D24,RM_PM_Quantity[Section],$C24,RM_PM_Quantity[RM Name],$E24)+IF($D24="MIND/Pre-Production",SUMIFS(RM_PM_Quantity[Quantity],RM_PM_Quantity[Date],BJ$1,RM_PM_Quantity[Location],"MIDC/Pre-Production",RM_PM_Quantity[Section],$C24,RM_PM_Quantity[RM Name],$E24),0)</f>
        <v>0</v>
      </c>
      <c r="BK24" s="84">
        <f>SUMIFS(RM_PM_Quantity[Quantity],RM_PM_Quantity[Date],BK$1,RM_PM_Quantity[Location],$D24,RM_PM_Quantity[Section],$C24,RM_PM_Quantity[RM Name],$E24)+IF($D24="MIND/Pre-Production",SUMIFS(RM_PM_Quantity[Quantity],RM_PM_Quantity[Date],BK$1,RM_PM_Quantity[Location],"MIDC/Pre-Production",RM_PM_Quantity[Section],$C24,RM_PM_Quantity[RM Name],$E24),0)</f>
        <v>0</v>
      </c>
      <c r="BL24" s="84">
        <f>SUMIFS(RM_PM_Quantity[Quantity],RM_PM_Quantity[Date],BL$1,RM_PM_Quantity[Location],$D24,RM_PM_Quantity[Section],$C24,RM_PM_Quantity[RM Name],$E24)+IF($D24="MIND/Pre-Production",SUMIFS(RM_PM_Quantity[Quantity],RM_PM_Quantity[Date],BL$1,RM_PM_Quantity[Location],"MIDC/Pre-Production",RM_PM_Quantity[Section],$C24,RM_PM_Quantity[RM Name],$E24),0)</f>
        <v>0</v>
      </c>
      <c r="BM24" s="84">
        <f>SUMIFS(RM_PM_Quantity[Quantity],RM_PM_Quantity[Date],BM$1,RM_PM_Quantity[Location],$D24,RM_PM_Quantity[Section],$C24,RM_PM_Quantity[RM Name],$E24)+IF($D24="MIND/Pre-Production",SUMIFS(RM_PM_Quantity[Quantity],RM_PM_Quantity[Date],BM$1,RM_PM_Quantity[Location],"MIDC/Pre-Production",RM_PM_Quantity[Section],$C24,RM_PM_Quantity[RM Name],$E24),0)</f>
        <v>0</v>
      </c>
      <c r="BN24" s="84">
        <f>SUMIFS(RM_PM_Quantity[Quantity],RM_PM_Quantity[Date],BN$1,RM_PM_Quantity[Location],$D24,RM_PM_Quantity[Section],$C24,RM_PM_Quantity[RM Name],$E24)+IF($D24="MIND/Pre-Production",SUMIFS(RM_PM_Quantity[Quantity],RM_PM_Quantity[Date],BN$1,RM_PM_Quantity[Location],"MIDC/Pre-Production",RM_PM_Quantity[Section],$C24,RM_PM_Quantity[RM Name],$E24),0)</f>
        <v>0</v>
      </c>
      <c r="BO24" s="84">
        <f>SUMIFS(RM_PM_Quantity[Quantity],RM_PM_Quantity[Date],BO$1,RM_PM_Quantity[Location],$D24,RM_PM_Quantity[Section],$C24,RM_PM_Quantity[RM Name],$E24)+IF($D24="MIND/Pre-Production",SUMIFS(RM_PM_Quantity[Quantity],RM_PM_Quantity[Date],BO$1,RM_PM_Quantity[Location],"MIDC/Pre-Production",RM_PM_Quantity[Section],$C24,RM_PM_Quantity[RM Name],$E24),0)</f>
        <v>0</v>
      </c>
      <c r="BP24" s="84">
        <f>SUMIFS(RM_PM_Quantity[Quantity],RM_PM_Quantity[Date],BP$1,RM_PM_Quantity[Location],$D24,RM_PM_Quantity[Section],$C24,RM_PM_Quantity[RM Name],$E24)+IF($D24="MIND/Pre-Production",SUMIFS(RM_PM_Quantity[Quantity],RM_PM_Quantity[Date],BP$1,RM_PM_Quantity[Location],"MIDC/Pre-Production",RM_PM_Quantity[Section],$C24,RM_PM_Quantity[RM Name],$E24),0)</f>
        <v>0</v>
      </c>
      <c r="BQ24" s="84">
        <f>SUMIFS(RM_PM_Quantity[Quantity],RM_PM_Quantity[Date],BQ$1,RM_PM_Quantity[Location],$D24,RM_PM_Quantity[Section],$C24,RM_PM_Quantity[RM Name],$E24)+IF($D24="MIND/Pre-Production",SUMIFS(RM_PM_Quantity[Quantity],RM_PM_Quantity[Date],BQ$1,RM_PM_Quantity[Location],"MIDC/Pre-Production",RM_PM_Quantity[Section],$C24,RM_PM_Quantity[RM Name],$E24),0)</f>
        <v>0</v>
      </c>
      <c r="BR24" s="84">
        <f>SUMIFS(RM_PM_Quantity[Quantity],RM_PM_Quantity[Date],BR$1,RM_PM_Quantity[Location],$D24,RM_PM_Quantity[Section],$C24,RM_PM_Quantity[RM Name],$E24)+IF($D24="MIND/Pre-Production",SUMIFS(RM_PM_Quantity[Quantity],RM_PM_Quantity[Date],BR$1,RM_PM_Quantity[Location],"MIDC/Pre-Production",RM_PM_Quantity[Section],$C24,RM_PM_Quantity[RM Name],$E24),0)</f>
        <v>0</v>
      </c>
      <c r="BS24" s="84">
        <f>SUMIFS(RM_PM_Quantity[Quantity],RM_PM_Quantity[Date],BS$1,RM_PM_Quantity[Location],$D24,RM_PM_Quantity[Section],$C24,RM_PM_Quantity[RM Name],$E24)+IF($D24="MIND/Pre-Production",SUMIFS(RM_PM_Quantity[Quantity],RM_PM_Quantity[Date],BS$1,RM_PM_Quantity[Location],"MIDC/Pre-Production",RM_PM_Quantity[Section],$C24,RM_PM_Quantity[RM Name],$E24),0)</f>
        <v>0</v>
      </c>
      <c r="BT24" s="84">
        <f>SUMIFS(RM_PM_Quantity[ID],RM_PM_Quantity[Location],BT$1,RM_PM_Quantity[Section],$D24,RM_PM_Quantity[RM Name],$C24,RM_PM_Quantity[Quantity],$E24)+IF($D24="MIND/Pre-Production",SUMIFS(RM_PM_Quantity[ID],RM_PM_Quantity[Location],BT$1,RM_PM_Quantity[Section],"MIDC/Pre-Production",RM_PM_Quantity[RM Name],$C24,RM_PM_Quantity[Quantity],$E24),0)</f>
        <v>0</v>
      </c>
      <c r="BU24" s="84">
        <f>SUMIFS(RM_PM_Quantity[Name of Supervisor],RM_PM_Quantity[Section],BU$1,RM_PM_Quantity[RM Name],$D24,RM_PM_Quantity[Quantity],$C24,RM_PM_Quantity[ID],$E24)+IF($D24="MIND/Pre-Production",SUMIFS(RM_PM_Quantity[Name of Supervisor],RM_PM_Quantity[Section],BU$1,RM_PM_Quantity[RM Name],"MIDC/Pre-Production",RM_PM_Quantity[Quantity],$C24,RM_PM_Quantity[ID],$E24),0)</f>
        <v>0</v>
      </c>
      <c r="BV24" s="84">
        <f>SUMIFS(RM_PM_Quantity[Date],RM_PM_Quantity[RM Name],BV$1,RM_PM_Quantity[Quantity],$D24,RM_PM_Quantity[ID],$C24,RM_PM_Quantity[Name of Supervisor],$E24)+IF($D24="MIND/Pre-Production",SUMIFS(RM_PM_Quantity[Date],RM_PM_Quantity[RM Name],BV$1,RM_PM_Quantity[Quantity],"MIDC/Pre-Production",RM_PM_Quantity[ID],$C24,RM_PM_Quantity[Name of Supervisor],$E24),0)</f>
        <v>0</v>
      </c>
      <c r="BW24" s="84">
        <f>SUMIFS(RM_PM_Quantity[Location],RM_PM_Quantity[Quantity],BW$1,RM_PM_Quantity[ID],$D24,RM_PM_Quantity[Name of Supervisor],$C24,RM_PM_Quantity[Date],$E24)+IF($D24="MIND/Pre-Production",SUMIFS(RM_PM_Quantity[Location],RM_PM_Quantity[Quantity],BW$1,RM_PM_Quantity[ID],"MIDC/Pre-Production",RM_PM_Quantity[Name of Supervisor],$C24,RM_PM_Quantity[Date],$E24),0)</f>
        <v>0</v>
      </c>
      <c r="BX24" s="84">
        <f>SUMIFS(RM_PM_Quantity[Section],RM_PM_Quantity[ID],BX$1,RM_PM_Quantity[Name of Supervisor],$D24,RM_PM_Quantity[Date],$C24,RM_PM_Quantity[Location],$E24)+IF($D24="MIND/Pre-Production",SUMIFS(RM_PM_Quantity[Section],RM_PM_Quantity[ID],BX$1,RM_PM_Quantity[Name of Supervisor],"MIDC/Pre-Production",RM_PM_Quantity[Date],$C24,RM_PM_Quantity[Location],$E24),0)</f>
        <v>0</v>
      </c>
      <c r="BY24" s="84">
        <f>SUMIFS(RM_PM_Quantity[RM Name],RM_PM_Quantity[Name of Supervisor],BY$1,RM_PM_Quantity[Date],$D24,RM_PM_Quantity[Location],$C24,RM_PM_Quantity[Section],$E24)+IF($D24="MIND/Pre-Production",SUMIFS(RM_PM_Quantity[RM Name],RM_PM_Quantity[Name of Supervisor],BY$1,RM_PM_Quantity[Date],"MIDC/Pre-Production",RM_PM_Quantity[Location],$C24,RM_PM_Quantity[Section],$E24),0)</f>
        <v>0</v>
      </c>
    </row>
    <row r="25" spans="1:77" ht="45.75" customHeight="1">
      <c r="A25" s="79">
        <v>24</v>
      </c>
      <c r="B25" s="79" t="s">
        <v>102</v>
      </c>
      <c r="C25" s="80" t="s">
        <v>103</v>
      </c>
      <c r="D25" s="81" t="s">
        <v>68</v>
      </c>
      <c r="E25" s="82" t="s">
        <v>104</v>
      </c>
      <c r="F25" s="83">
        <f>IFERROR(_xlfn.XLOOKUP(B25,'[1]RM Tracker'!B:B,'[1]RM Tracker'!E:E),"0")</f>
        <v>0</v>
      </c>
      <c r="G25" s="85">
        <f t="shared" si="2"/>
        <v>0</v>
      </c>
      <c r="H25" s="85">
        <f t="shared" si="0"/>
        <v>0</v>
      </c>
      <c r="I25" s="91">
        <f t="shared" si="1"/>
        <v>0</v>
      </c>
      <c r="J25" s="84">
        <f>SUMIFS(RM_PM_Quantity[Quantity],RM_PM_Quantity[Date],J$1,RM_PM_Quantity[Location],$D25,RM_PM_Quantity[Section],$C25,RM_PM_Quantity[RM Name],$E25)+IF($D25="MIND/Pre-Production",SUMIFS(RM_PM_Quantity[Quantity],RM_PM_Quantity[Date],J$1,RM_PM_Quantity[Location],"MIDC/Pre-Production",RM_PM_Quantity[Section],$C25,RM_PM_Quantity[RM Name],$E25),0)</f>
        <v>0</v>
      </c>
      <c r="K25" s="84">
        <f>SUMIFS(RM_PM_Quantity[Quantity],RM_PM_Quantity[Date],K$1,RM_PM_Quantity[Location],$D25,RM_PM_Quantity[Section],$C25,RM_PM_Quantity[RM Name],$E25)+IF($D25="MIND/Pre-Production",SUMIFS(RM_PM_Quantity[Quantity],RM_PM_Quantity[Date],K$1,RM_PM_Quantity[Location],"MIDC/Pre-Production",RM_PM_Quantity[Section],$C25,RM_PM_Quantity[RM Name],$E25),0)</f>
        <v>0</v>
      </c>
      <c r="L25" s="84">
        <f>SUMIFS(RM_PM_Quantity[Quantity],RM_PM_Quantity[Date],L$1,RM_PM_Quantity[Location],$D25,RM_PM_Quantity[Section],$C25,RM_PM_Quantity[RM Name],$E25)+IF($D25="MIND/Pre-Production",SUMIFS(RM_PM_Quantity[Quantity],RM_PM_Quantity[Date],L$1,RM_PM_Quantity[Location],"MIDC/Pre-Production",RM_PM_Quantity[Section],$C25,RM_PM_Quantity[RM Name],$E25),0)</f>
        <v>0</v>
      </c>
      <c r="M25" s="84">
        <f>SUMIFS(RM_PM_Quantity[Quantity],RM_PM_Quantity[Date],M$1,RM_PM_Quantity[Location],$D25,RM_PM_Quantity[Section],$C25,RM_PM_Quantity[RM Name],$E25)+IF($D25="MIND/Pre-Production",SUMIFS(RM_PM_Quantity[Quantity],RM_PM_Quantity[Date],M$1,RM_PM_Quantity[Location],"MIDC/Pre-Production",RM_PM_Quantity[Section],$C25,RM_PM_Quantity[RM Name],$E25),0)</f>
        <v>5150</v>
      </c>
      <c r="N25" s="84">
        <f>SUMIFS(RM_PM_Quantity[Quantity],RM_PM_Quantity[Date],N$1,RM_PM_Quantity[Location],$D25,RM_PM_Quantity[Section],$C25,RM_PM_Quantity[RM Name],$E25)+IF($D25="MIND/Pre-Production",SUMIFS(RM_PM_Quantity[Quantity],RM_PM_Quantity[Date],N$1,RM_PM_Quantity[Location],"MIDC/Pre-Production",RM_PM_Quantity[Section],$C25,RM_PM_Quantity[RM Name],$E25),0)</f>
        <v>0</v>
      </c>
      <c r="O25" s="84">
        <f>SUMIFS(RM_PM_Quantity[Quantity],RM_PM_Quantity[Date],O$1,RM_PM_Quantity[Location],$D25,RM_PM_Quantity[Section],$C25,RM_PM_Quantity[RM Name],$E25)+IF($D25="MIND/Pre-Production",SUMIFS(RM_PM_Quantity[Quantity],RM_PM_Quantity[Date],O$1,RM_PM_Quantity[Location],"MIDC/Pre-Production",RM_PM_Quantity[Section],$C25,RM_PM_Quantity[RM Name],$E25),0)</f>
        <v>0</v>
      </c>
      <c r="P25" s="84">
        <f>SUMIFS(RM_PM_Quantity[Quantity],RM_PM_Quantity[Date],P$1,RM_PM_Quantity[Location],$D25,RM_PM_Quantity[Section],$C25,RM_PM_Quantity[RM Name],$E25)+IF($D25="MIND/Pre-Production",SUMIFS(RM_PM_Quantity[Quantity],RM_PM_Quantity[Date],P$1,RM_PM_Quantity[Location],"MIDC/Pre-Production",RM_PM_Quantity[Section],$C25,RM_PM_Quantity[RM Name],$E25),0)</f>
        <v>0</v>
      </c>
      <c r="Q25" s="84">
        <f>SUMIFS(RM_PM_Quantity[Quantity],RM_PM_Quantity[Date],Q$1,RM_PM_Quantity[Location],$D25,RM_PM_Quantity[Section],$C25,RM_PM_Quantity[RM Name],$E25)+IF($D25="MIND/Pre-Production",SUMIFS(RM_PM_Quantity[Quantity],RM_PM_Quantity[Date],Q$1,RM_PM_Quantity[Location],"MIDC/Pre-Production",RM_PM_Quantity[Section],$C25,RM_PM_Quantity[RM Name],$E25),0)</f>
        <v>0</v>
      </c>
      <c r="R25" s="84">
        <f>SUMIFS(RM_PM_Quantity[Quantity],RM_PM_Quantity[Date],R$1,RM_PM_Quantity[Location],$D25,RM_PM_Quantity[Section],$C25,RM_PM_Quantity[RM Name],$E25)+IF($D25="MIND/Pre-Production",SUMIFS(RM_PM_Quantity[Quantity],RM_PM_Quantity[Date],R$1,RM_PM_Quantity[Location],"MIDC/Pre-Production",RM_PM_Quantity[Section],$C25,RM_PM_Quantity[RM Name],$E25),0)</f>
        <v>0</v>
      </c>
      <c r="S25" s="84">
        <f>SUMIFS(RM_PM_Quantity[Quantity],RM_PM_Quantity[Date],S$1,RM_PM_Quantity[Location],$D25,RM_PM_Quantity[Section],$C25,RM_PM_Quantity[RM Name],$E25)+IF($D25="MIND/Pre-Production",SUMIFS(RM_PM_Quantity[Quantity],RM_PM_Quantity[Date],S$1,RM_PM_Quantity[Location],"MIDC/Pre-Production",RM_PM_Quantity[Section],$C25,RM_PM_Quantity[RM Name],$E25),0)</f>
        <v>0</v>
      </c>
      <c r="T25" s="84">
        <f>SUMIFS(RM_PM_Quantity[Quantity],RM_PM_Quantity[Date],T$1,RM_PM_Quantity[Location],$D25,RM_PM_Quantity[Section],$C25,RM_PM_Quantity[RM Name],$E25)+IF($D25="MIND/Pre-Production",SUMIFS(RM_PM_Quantity[Quantity],RM_PM_Quantity[Date],T$1,RM_PM_Quantity[Location],"MIDC/Pre-Production",RM_PM_Quantity[Section],$C25,RM_PM_Quantity[RM Name],$E25),0)</f>
        <v>0</v>
      </c>
      <c r="U25" s="84">
        <f>SUMIFS(RM_PM_Quantity[Quantity],RM_PM_Quantity[Date],U$1,RM_PM_Quantity[Location],$D25,RM_PM_Quantity[Section],$C25,RM_PM_Quantity[RM Name],$E25)+IF($D25="MIND/Pre-Production",SUMIFS(RM_PM_Quantity[Quantity],RM_PM_Quantity[Date],U$1,RM_PM_Quantity[Location],"MIDC/Pre-Production",RM_PM_Quantity[Section],$C25,RM_PM_Quantity[RM Name],$E25),0)</f>
        <v>0</v>
      </c>
      <c r="V25" s="84">
        <f>SUMIFS(RM_PM_Quantity[Quantity],RM_PM_Quantity[Date],V$1,RM_PM_Quantity[Location],$D25,RM_PM_Quantity[Section],$C25,RM_PM_Quantity[RM Name],$E25)+IF($D25="MIND/Pre-Production",SUMIFS(RM_PM_Quantity[Quantity],RM_PM_Quantity[Date],V$1,RM_PM_Quantity[Location],"MIDC/Pre-Production",RM_PM_Quantity[Section],$C25,RM_PM_Quantity[RM Name],$E25),0)</f>
        <v>0</v>
      </c>
      <c r="W25" s="84">
        <f>SUMIFS(RM_PM_Quantity[Quantity],RM_PM_Quantity[Date],W$1,RM_PM_Quantity[Location],$D25,RM_PM_Quantity[Section],$C25,RM_PM_Quantity[RM Name],$E25)+IF($D25="MIND/Pre-Production",SUMIFS(RM_PM_Quantity[Quantity],RM_PM_Quantity[Date],W$1,RM_PM_Quantity[Location],"MIDC/Pre-Production",RM_PM_Quantity[Section],$C25,RM_PM_Quantity[RM Name],$E25),0)</f>
        <v>0</v>
      </c>
      <c r="X25" s="84">
        <f>SUMIFS(RM_PM_Quantity[Quantity],RM_PM_Quantity[Date],X$1,RM_PM_Quantity[Location],$D25,RM_PM_Quantity[Section],$C25,RM_PM_Quantity[RM Name],$E25)+IF($D25="MIND/Pre-Production",SUMIFS(RM_PM_Quantity[Quantity],RM_PM_Quantity[Date],X$1,RM_PM_Quantity[Location],"MIDC/Pre-Production",RM_PM_Quantity[Section],$C25,RM_PM_Quantity[RM Name],$E25),0)</f>
        <v>0</v>
      </c>
      <c r="Y25" s="84">
        <f>SUMIFS(RM_PM_Quantity[Quantity],RM_PM_Quantity[Date],Y$1,RM_PM_Quantity[Location],$D25,RM_PM_Quantity[Section],$C25,RM_PM_Quantity[RM Name],$E25)+IF($D25="MIND/Pre-Production",SUMIFS(RM_PM_Quantity[Quantity],RM_PM_Quantity[Date],Y$1,RM_PM_Quantity[Location],"MIDC/Pre-Production",RM_PM_Quantity[Section],$C25,RM_PM_Quantity[RM Name],$E25),0)</f>
        <v>0</v>
      </c>
      <c r="Z25" s="84">
        <f>SUMIFS(RM_PM_Quantity[Quantity],RM_PM_Quantity[Date],Z$1,RM_PM_Quantity[Location],$D25,RM_PM_Quantity[Section],$C25,RM_PM_Quantity[RM Name],$E25)+IF($D25="MIND/Pre-Production",SUMIFS(RM_PM_Quantity[Quantity],RM_PM_Quantity[Date],Z$1,RM_PM_Quantity[Location],"MIDC/Pre-Production",RM_PM_Quantity[Section],$C25,RM_PM_Quantity[RM Name],$E25),0)</f>
        <v>0</v>
      </c>
      <c r="AA25" s="84">
        <f>SUMIFS(RM_PM_Quantity[Quantity],RM_PM_Quantity[Date],AA$1,RM_PM_Quantity[Location],$D25,RM_PM_Quantity[Section],$C25,RM_PM_Quantity[RM Name],$E25)+IF($D25="MIND/Pre-Production",SUMIFS(RM_PM_Quantity[Quantity],RM_PM_Quantity[Date],AA$1,RM_PM_Quantity[Location],"MIDC/Pre-Production",RM_PM_Quantity[Section],$C25,RM_PM_Quantity[RM Name],$E25),0)</f>
        <v>0</v>
      </c>
      <c r="AB25" s="84">
        <f>SUMIFS(RM_PM_Quantity[Quantity],RM_PM_Quantity[Date],AB$1,RM_PM_Quantity[Location],$D25,RM_PM_Quantity[Section],$C25,RM_PM_Quantity[RM Name],$E25)+IF($D25="MIND/Pre-Production",SUMIFS(RM_PM_Quantity[Quantity],RM_PM_Quantity[Date],AB$1,RM_PM_Quantity[Location],"MIDC/Pre-Production",RM_PM_Quantity[Section],$C25,RM_PM_Quantity[RM Name],$E25),0)</f>
        <v>0</v>
      </c>
      <c r="AC25" s="84">
        <f>SUMIFS(RM_PM_Quantity[Quantity],RM_PM_Quantity[Date],AC$1,RM_PM_Quantity[Location],$D25,RM_PM_Quantity[Section],$C25,RM_PM_Quantity[RM Name],$E25)+IF($D25="MIND/Pre-Production",SUMIFS(RM_PM_Quantity[Quantity],RM_PM_Quantity[Date],AC$1,RM_PM_Quantity[Location],"MIDC/Pre-Production",RM_PM_Quantity[Section],$C25,RM_PM_Quantity[RM Name],$E25),0)</f>
        <v>0</v>
      </c>
      <c r="AD25" s="84">
        <f>SUMIFS(RM_PM_Quantity[Quantity],RM_PM_Quantity[Date],AD$1,RM_PM_Quantity[Location],$D25,RM_PM_Quantity[Section],$C25,RM_PM_Quantity[RM Name],$E25)+IF($D25="MIND/Pre-Production",SUMIFS(RM_PM_Quantity[Quantity],RM_PM_Quantity[Date],AD$1,RM_PM_Quantity[Location],"MIDC/Pre-Production",RM_PM_Quantity[Section],$C25,RM_PM_Quantity[RM Name],$E25),0)</f>
        <v>0</v>
      </c>
      <c r="AE25" s="84">
        <f>SUMIFS(RM_PM_Quantity[Quantity],RM_PM_Quantity[Date],AE$1,RM_PM_Quantity[Location],$D25,RM_PM_Quantity[Section],$C25,RM_PM_Quantity[RM Name],$E25)+IF($D25="MIND/Pre-Production",SUMIFS(RM_PM_Quantity[Quantity],RM_PM_Quantity[Date],AE$1,RM_PM_Quantity[Location],"MIDC/Pre-Production",RM_PM_Quantity[Section],$C25,RM_PM_Quantity[RM Name],$E25),0)</f>
        <v>0</v>
      </c>
      <c r="AF25" s="84">
        <f>SUMIFS(RM_PM_Quantity[Quantity],RM_PM_Quantity[Date],AF$1,RM_PM_Quantity[Location],$D25,RM_PM_Quantity[Section],$C25,RM_PM_Quantity[RM Name],$E25)+IF($D25="MIND/Pre-Production",SUMIFS(RM_PM_Quantity[Quantity],RM_PM_Quantity[Date],AF$1,RM_PM_Quantity[Location],"MIDC/Pre-Production",RM_PM_Quantity[Section],$C25,RM_PM_Quantity[RM Name],$E25),0)</f>
        <v>0</v>
      </c>
      <c r="AG25" s="84">
        <f>SUMIFS(RM_PM_Quantity[Quantity],RM_PM_Quantity[Date],AG$1,RM_PM_Quantity[Location],$D25,RM_PM_Quantity[Section],$C25,RM_PM_Quantity[RM Name],$E25)+IF($D25="MIND/Pre-Production",SUMIFS(RM_PM_Quantity[Quantity],RM_PM_Quantity[Date],AG$1,RM_PM_Quantity[Location],"MIDC/Pre-Production",RM_PM_Quantity[Section],$C25,RM_PM_Quantity[RM Name],$E25),0)</f>
        <v>0</v>
      </c>
      <c r="AH25" s="84">
        <f>SUMIFS(RM_PM_Quantity[Quantity],RM_PM_Quantity[Date],AH$1,RM_PM_Quantity[Location],$D25,RM_PM_Quantity[Section],$C25,RM_PM_Quantity[RM Name],$E25)+IF($D25="MIND/Pre-Production",SUMIFS(RM_PM_Quantity[Quantity],RM_PM_Quantity[Date],AH$1,RM_PM_Quantity[Location],"MIDC/Pre-Production",RM_PM_Quantity[Section],$C25,RM_PM_Quantity[RM Name],$E25),0)</f>
        <v>0</v>
      </c>
      <c r="AI25" s="84">
        <f>SUMIFS(RM_PM_Quantity[Quantity],RM_PM_Quantity[Date],AI$1,RM_PM_Quantity[Location],$D25,RM_PM_Quantity[Section],$C25,RM_PM_Quantity[RM Name],$E25)+IF($D25="MIND/Pre-Production",SUMIFS(RM_PM_Quantity[Quantity],RM_PM_Quantity[Date],AI$1,RM_PM_Quantity[Location],"MIDC/Pre-Production",RM_PM_Quantity[Section],$C25,RM_PM_Quantity[RM Name],$E25),0)</f>
        <v>0</v>
      </c>
      <c r="AJ25" s="84">
        <f>SUMIFS(RM_PM_Quantity[Quantity],RM_PM_Quantity[Date],AJ$1,RM_PM_Quantity[Location],$D25,RM_PM_Quantity[Section],$C25,RM_PM_Quantity[RM Name],$E25)+IF($D25="MIND/Pre-Production",SUMIFS(RM_PM_Quantity[Quantity],RM_PM_Quantity[Date],AJ$1,RM_PM_Quantity[Location],"MIDC/Pre-Production",RM_PM_Quantity[Section],$C25,RM_PM_Quantity[RM Name],$E25),0)</f>
        <v>5850</v>
      </c>
      <c r="AK25" s="84">
        <f>SUMIFS(RM_PM_Quantity[Quantity],RM_PM_Quantity[Date],AK$1,RM_PM_Quantity[Location],$D25,RM_PM_Quantity[Section],$C25,RM_PM_Quantity[RM Name],$E25)+IF($D25="MIND/Pre-Production",SUMIFS(RM_PM_Quantity[Quantity],RM_PM_Quantity[Date],AK$1,RM_PM_Quantity[Location],"MIDC/Pre-Production",RM_PM_Quantity[Section],$C25,RM_PM_Quantity[RM Name],$E25),0)</f>
        <v>0</v>
      </c>
      <c r="AL25" s="84">
        <f>SUMIFS(RM_PM_Quantity[Quantity],RM_PM_Quantity[Date],AL$1,RM_PM_Quantity[Location],$D25,RM_PM_Quantity[Section],$C25,RM_PM_Quantity[RM Name],$E25)+IF($D25="MIND/Pre-Production",SUMIFS(RM_PM_Quantity[Quantity],RM_PM_Quantity[Date],AL$1,RM_PM_Quantity[Location],"MIDC/Pre-Production",RM_PM_Quantity[Section],$C25,RM_PM_Quantity[RM Name],$E25),0)</f>
        <v>0</v>
      </c>
      <c r="AM25" s="84">
        <f>SUMIFS(RM_PM_Quantity[Quantity],RM_PM_Quantity[Date],AM$1,RM_PM_Quantity[Location],$D25,RM_PM_Quantity[Section],$C25,RM_PM_Quantity[RM Name],$E25)+IF($D25="MIND/Pre-Production",SUMIFS(RM_PM_Quantity[Quantity],RM_PM_Quantity[Date],AM$1,RM_PM_Quantity[Location],"MIDC/Pre-Production",RM_PM_Quantity[Section],$C25,RM_PM_Quantity[RM Name],$E25),0)</f>
        <v>0</v>
      </c>
      <c r="AN25" s="84">
        <f>SUMIFS(RM_PM_Quantity[Quantity],RM_PM_Quantity[Date],AN$1,RM_PM_Quantity[Location],$D25,RM_PM_Quantity[Section],$C25,RM_PM_Quantity[RM Name],$E25)+IF($D25="MIND/Pre-Production",SUMIFS(RM_PM_Quantity[Quantity],RM_PM_Quantity[Date],AN$1,RM_PM_Quantity[Location],"MIDC/Pre-Production",RM_PM_Quantity[Section],$C25,RM_PM_Quantity[RM Name],$E25),0)</f>
        <v>0</v>
      </c>
      <c r="AO25" s="84">
        <f>SUMIFS(RM_PM_Quantity[Quantity],RM_PM_Quantity[Date],AO$1,RM_PM_Quantity[Location],$D25,RM_PM_Quantity[Section],$C25,RM_PM_Quantity[RM Name],$E25)+IF($D25="MIND/Pre-Production",SUMIFS(RM_PM_Quantity[Quantity],RM_PM_Quantity[Date],AO$1,RM_PM_Quantity[Location],"MIDC/Pre-Production",RM_PM_Quantity[Section],$C25,RM_PM_Quantity[RM Name],$E25),0)</f>
        <v>0</v>
      </c>
      <c r="AP25" s="84">
        <f>SUMIFS(RM_PM_Quantity[Quantity],RM_PM_Quantity[Date],AP$1,RM_PM_Quantity[Location],$D25,RM_PM_Quantity[Section],$C25,RM_PM_Quantity[RM Name],$E25)+IF($D25="MIND/Pre-Production",SUMIFS(RM_PM_Quantity[Quantity],RM_PM_Quantity[Date],AP$1,RM_PM_Quantity[Location],"MIDC/Pre-Production",RM_PM_Quantity[Section],$C25,RM_PM_Quantity[RM Name],$E25),0)</f>
        <v>0</v>
      </c>
      <c r="AQ25" s="84">
        <f>SUMIFS(RM_PM_Quantity[Quantity],RM_PM_Quantity[Date],AQ$1,RM_PM_Quantity[Location],$D25,RM_PM_Quantity[Section],$C25,RM_PM_Quantity[RM Name],$E25)+IF($D25="MIND/Pre-Production",SUMIFS(RM_PM_Quantity[Quantity],RM_PM_Quantity[Date],AQ$1,RM_PM_Quantity[Location],"MIDC/Pre-Production",RM_PM_Quantity[Section],$C25,RM_PM_Quantity[RM Name],$E25),0)</f>
        <v>0</v>
      </c>
      <c r="AR25" s="84">
        <f>SUMIFS(RM_PM_Quantity[Quantity],RM_PM_Quantity[Date],AR$1,RM_PM_Quantity[Location],$D25,RM_PM_Quantity[Section],$C25,RM_PM_Quantity[RM Name],$E25)+IF($D25="MIND/Pre-Production",SUMIFS(RM_PM_Quantity[Quantity],RM_PM_Quantity[Date],AR$1,RM_PM_Quantity[Location],"MIDC/Pre-Production",RM_PM_Quantity[Section],$C25,RM_PM_Quantity[RM Name],$E25),0)</f>
        <v>0</v>
      </c>
      <c r="AS25" s="84">
        <f>SUMIFS(RM_PM_Quantity[Quantity],RM_PM_Quantity[Date],AS$1,RM_PM_Quantity[Location],$D25,RM_PM_Quantity[Section],$C25,RM_PM_Quantity[RM Name],$E25)+IF($D25="MIND/Pre-Production",SUMIFS(RM_PM_Quantity[Quantity],RM_PM_Quantity[Date],AS$1,RM_PM_Quantity[Location],"MIDC/Pre-Production",RM_PM_Quantity[Section],$C25,RM_PM_Quantity[RM Name],$E25),0)</f>
        <v>0</v>
      </c>
      <c r="AT25" s="84">
        <f>SUMIFS(RM_PM_Quantity[Quantity],RM_PM_Quantity[Date],AT$1,RM_PM_Quantity[Location],$D25,RM_PM_Quantity[Section],$C25,RM_PM_Quantity[RM Name],$E25)+IF($D25="MIND/Pre-Production",SUMIFS(RM_PM_Quantity[Quantity],RM_PM_Quantity[Date],AT$1,RM_PM_Quantity[Location],"MIDC/Pre-Production",RM_PM_Quantity[Section],$C25,RM_PM_Quantity[RM Name],$E25),0)</f>
        <v>0</v>
      </c>
      <c r="AU25" s="84">
        <f>SUMIFS(RM_PM_Quantity[Quantity],RM_PM_Quantity[Date],AU$1,RM_PM_Quantity[Location],$D25,RM_PM_Quantity[Section],$C25,RM_PM_Quantity[RM Name],$E25)+IF($D25="MIND/Pre-Production",SUMIFS(RM_PM_Quantity[Quantity],RM_PM_Quantity[Date],AU$1,RM_PM_Quantity[Location],"MIDC/Pre-Production",RM_PM_Quantity[Section],$C25,RM_PM_Quantity[RM Name],$E25),0)</f>
        <v>0</v>
      </c>
      <c r="AV25" s="84">
        <f>SUMIFS(RM_PM_Quantity[Quantity],RM_PM_Quantity[Date],AV$1,RM_PM_Quantity[Location],$D25,RM_PM_Quantity[Section],$C25,RM_PM_Quantity[RM Name],$E25)+IF($D25="MIND/Pre-Production",SUMIFS(RM_PM_Quantity[Quantity],RM_PM_Quantity[Date],AV$1,RM_PM_Quantity[Location],"MIDC/Pre-Production",RM_PM_Quantity[Section],$C25,RM_PM_Quantity[RM Name],$E25),0)</f>
        <v>0</v>
      </c>
      <c r="AW25" s="84">
        <f>SUMIFS(RM_PM_Quantity[Quantity],RM_PM_Quantity[Date],AW$1,RM_PM_Quantity[Location],$D25,RM_PM_Quantity[Section],$C25,RM_PM_Quantity[RM Name],$E25)+IF($D25="MIND/Pre-Production",SUMIFS(RM_PM_Quantity[Quantity],RM_PM_Quantity[Date],AW$1,RM_PM_Quantity[Location],"MIDC/Pre-Production",RM_PM_Quantity[Section],$C25,RM_PM_Quantity[RM Name],$E25),0)</f>
        <v>0</v>
      </c>
      <c r="AX25" s="84">
        <f>SUMIFS(RM_PM_Quantity[Quantity],RM_PM_Quantity[Date],AX$1,RM_PM_Quantity[Location],$D25,RM_PM_Quantity[Section],$C25,RM_PM_Quantity[RM Name],$E25)+IF($D25="MIND/Pre-Production",SUMIFS(RM_PM_Quantity[Quantity],RM_PM_Quantity[Date],AX$1,RM_PM_Quantity[Location],"MIDC/Pre-Production",RM_PM_Quantity[Section],$C25,RM_PM_Quantity[RM Name],$E25),0)</f>
        <v>0</v>
      </c>
      <c r="AY25" s="84">
        <f>SUMIFS(RM_PM_Quantity[Quantity],RM_PM_Quantity[Date],AY$1,RM_PM_Quantity[Location],$D25,RM_PM_Quantity[Section],$C25,RM_PM_Quantity[RM Name],$E25)+IF($D25="MIND/Pre-Production",SUMIFS(RM_PM_Quantity[Quantity],RM_PM_Quantity[Date],AY$1,RM_PM_Quantity[Location],"MIDC/Pre-Production",RM_PM_Quantity[Section],$C25,RM_PM_Quantity[RM Name],$E25),0)</f>
        <v>0</v>
      </c>
      <c r="AZ25" s="84">
        <f>SUMIFS(RM_PM_Quantity[Quantity],RM_PM_Quantity[Date],AZ$1,RM_PM_Quantity[Location],$D25,RM_PM_Quantity[Section],$C25,RM_PM_Quantity[RM Name],$E25)+IF($D25="MIND/Pre-Production",SUMIFS(RM_PM_Quantity[Quantity],RM_PM_Quantity[Date],AZ$1,RM_PM_Quantity[Location],"MIDC/Pre-Production",RM_PM_Quantity[Section],$C25,RM_PM_Quantity[RM Name],$E25),0)</f>
        <v>0</v>
      </c>
      <c r="BA25" s="84">
        <f>SUMIFS(RM_PM_Quantity[Quantity],RM_PM_Quantity[Date],BA$1,RM_PM_Quantity[Location],$D25,RM_PM_Quantity[Section],$C25,RM_PM_Quantity[RM Name],$E25)+IF($D25="MIND/Pre-Production",SUMIFS(RM_PM_Quantity[Quantity],RM_PM_Quantity[Date],BA$1,RM_PM_Quantity[Location],"MIDC/Pre-Production",RM_PM_Quantity[Section],$C25,RM_PM_Quantity[RM Name],$E25),0)</f>
        <v>0</v>
      </c>
      <c r="BB25" s="84">
        <f>SUMIFS(RM_PM_Quantity[Quantity],RM_PM_Quantity[Date],BB$1,RM_PM_Quantity[Location],$D25,RM_PM_Quantity[Section],$C25,RM_PM_Quantity[RM Name],$E25)+IF($D25="MIND/Pre-Production",SUMIFS(RM_PM_Quantity[Quantity],RM_PM_Quantity[Date],BB$1,RM_PM_Quantity[Location],"MIDC/Pre-Production",RM_PM_Quantity[Section],$C25,RM_PM_Quantity[RM Name],$E25),0)</f>
        <v>0</v>
      </c>
      <c r="BC25" s="84">
        <f>SUMIFS(RM_PM_Quantity[Quantity],RM_PM_Quantity[Date],BC$1,RM_PM_Quantity[Location],$D25,RM_PM_Quantity[Section],$C25,RM_PM_Quantity[RM Name],$E25)+IF($D25="MIND/Pre-Production",SUMIFS(RM_PM_Quantity[Quantity],RM_PM_Quantity[Date],BC$1,RM_PM_Quantity[Location],"MIDC/Pre-Production",RM_PM_Quantity[Section],$C25,RM_PM_Quantity[RM Name],$E25),0)</f>
        <v>0</v>
      </c>
      <c r="BD25" s="84">
        <f>SUMIFS(RM_PM_Quantity[Quantity],RM_PM_Quantity[Date],BD$1,RM_PM_Quantity[Location],$D25,RM_PM_Quantity[Section],$C25,RM_PM_Quantity[RM Name],$E25)+IF($D25="MIND/Pre-Production",SUMIFS(RM_PM_Quantity[Quantity],RM_PM_Quantity[Date],BD$1,RM_PM_Quantity[Location],"MIDC/Pre-Production",RM_PM_Quantity[Section],$C25,RM_PM_Quantity[RM Name],$E25),0)</f>
        <v>0</v>
      </c>
      <c r="BE25" s="84">
        <f>SUMIFS(RM_PM_Quantity[Quantity],RM_PM_Quantity[Date],BE$1,RM_PM_Quantity[Location],$D25,RM_PM_Quantity[Section],$C25,RM_PM_Quantity[RM Name],$E25)+IF($D25="MIND/Pre-Production",SUMIFS(RM_PM_Quantity[Quantity],RM_PM_Quantity[Date],BE$1,RM_PM_Quantity[Location],"MIDC/Pre-Production",RM_PM_Quantity[Section],$C25,RM_PM_Quantity[RM Name],$E25),0)</f>
        <v>0</v>
      </c>
      <c r="BF25" s="84">
        <f>SUMIFS(RM_PM_Quantity[Quantity],RM_PM_Quantity[Date],BF$1,RM_PM_Quantity[Location],$D25,RM_PM_Quantity[Section],$C25,RM_PM_Quantity[RM Name],$E25)+IF($D25="MIND/Pre-Production",SUMIFS(RM_PM_Quantity[Quantity],RM_PM_Quantity[Date],BF$1,RM_PM_Quantity[Location],"MIDC/Pre-Production",RM_PM_Quantity[Section],$C25,RM_PM_Quantity[RM Name],$E25),0)</f>
        <v>0</v>
      </c>
      <c r="BG25" s="84">
        <f>SUMIFS(RM_PM_Quantity[Quantity],RM_PM_Quantity[Date],BG$1,RM_PM_Quantity[Location],$D25,RM_PM_Quantity[Section],$C25,RM_PM_Quantity[RM Name],$E25)+IF($D25="MIND/Pre-Production",SUMIFS(RM_PM_Quantity[Quantity],RM_PM_Quantity[Date],BG$1,RM_PM_Quantity[Location],"MIDC/Pre-Production",RM_PM_Quantity[Section],$C25,RM_PM_Quantity[RM Name],$E25),0)</f>
        <v>0</v>
      </c>
      <c r="BH25" s="84">
        <f>SUMIFS(RM_PM_Quantity[Quantity],RM_PM_Quantity[Date],BH$1,RM_PM_Quantity[Location],$D25,RM_PM_Quantity[Section],$C25,RM_PM_Quantity[RM Name],$E25)+IF($D25="MIND/Pre-Production",SUMIFS(RM_PM_Quantity[Quantity],RM_PM_Quantity[Date],BH$1,RM_PM_Quantity[Location],"MIDC/Pre-Production",RM_PM_Quantity[Section],$C25,RM_PM_Quantity[RM Name],$E25),0)</f>
        <v>0</v>
      </c>
      <c r="BI25" s="84">
        <f>SUMIFS(RM_PM_Quantity[Quantity],RM_PM_Quantity[Date],BI$1,RM_PM_Quantity[Location],$D25,RM_PM_Quantity[Section],$C25,RM_PM_Quantity[RM Name],$E25)+IF($D25="MIND/Pre-Production",SUMIFS(RM_PM_Quantity[Quantity],RM_PM_Quantity[Date],BI$1,RM_PM_Quantity[Location],"MIDC/Pre-Production",RM_PM_Quantity[Section],$C25,RM_PM_Quantity[RM Name],$E25),0)</f>
        <v>0</v>
      </c>
      <c r="BJ25" s="84">
        <f>SUMIFS(RM_PM_Quantity[Quantity],RM_PM_Quantity[Date],BJ$1,RM_PM_Quantity[Location],$D25,RM_PM_Quantity[Section],$C25,RM_PM_Quantity[RM Name],$E25)+IF($D25="MIND/Pre-Production",SUMIFS(RM_PM_Quantity[Quantity],RM_PM_Quantity[Date],BJ$1,RM_PM_Quantity[Location],"MIDC/Pre-Production",RM_PM_Quantity[Section],$C25,RM_PM_Quantity[RM Name],$E25),0)</f>
        <v>0</v>
      </c>
      <c r="BK25" s="84">
        <f>SUMIFS(RM_PM_Quantity[Quantity],RM_PM_Quantity[Date],BK$1,RM_PM_Quantity[Location],$D25,RM_PM_Quantity[Section],$C25,RM_PM_Quantity[RM Name],$E25)+IF($D25="MIND/Pre-Production",SUMIFS(RM_PM_Quantity[Quantity],RM_PM_Quantity[Date],BK$1,RM_PM_Quantity[Location],"MIDC/Pre-Production",RM_PM_Quantity[Section],$C25,RM_PM_Quantity[RM Name],$E25),0)</f>
        <v>0</v>
      </c>
      <c r="BL25" s="84">
        <f>SUMIFS(RM_PM_Quantity[Quantity],RM_PM_Quantity[Date],BL$1,RM_PM_Quantity[Location],$D25,RM_PM_Quantity[Section],$C25,RM_PM_Quantity[RM Name],$E25)+IF($D25="MIND/Pre-Production",SUMIFS(RM_PM_Quantity[Quantity],RM_PM_Quantity[Date],BL$1,RM_PM_Quantity[Location],"MIDC/Pre-Production",RM_PM_Quantity[Section],$C25,RM_PM_Quantity[RM Name],$E25),0)</f>
        <v>0</v>
      </c>
      <c r="BM25" s="84">
        <f>SUMIFS(RM_PM_Quantity[Quantity],RM_PM_Quantity[Date],BM$1,RM_PM_Quantity[Location],$D25,RM_PM_Quantity[Section],$C25,RM_PM_Quantity[RM Name],$E25)+IF($D25="MIND/Pre-Production",SUMIFS(RM_PM_Quantity[Quantity],RM_PM_Quantity[Date],BM$1,RM_PM_Quantity[Location],"MIDC/Pre-Production",RM_PM_Quantity[Section],$C25,RM_PM_Quantity[RM Name],$E25),0)</f>
        <v>0</v>
      </c>
      <c r="BN25" s="84">
        <f>SUMIFS(RM_PM_Quantity[Quantity],RM_PM_Quantity[Date],BN$1,RM_PM_Quantity[Location],$D25,RM_PM_Quantity[Section],$C25,RM_PM_Quantity[RM Name],$E25)+IF($D25="MIND/Pre-Production",SUMIFS(RM_PM_Quantity[Quantity],RM_PM_Quantity[Date],BN$1,RM_PM_Quantity[Location],"MIDC/Pre-Production",RM_PM_Quantity[Section],$C25,RM_PM_Quantity[RM Name],$E25),0)</f>
        <v>0</v>
      </c>
      <c r="BO25" s="84">
        <f>SUMIFS(RM_PM_Quantity[Quantity],RM_PM_Quantity[Date],BO$1,RM_PM_Quantity[Location],$D25,RM_PM_Quantity[Section],$C25,RM_PM_Quantity[RM Name],$E25)+IF($D25="MIND/Pre-Production",SUMIFS(RM_PM_Quantity[Quantity],RM_PM_Quantity[Date],BO$1,RM_PM_Quantity[Location],"MIDC/Pre-Production",RM_PM_Quantity[Section],$C25,RM_PM_Quantity[RM Name],$E25),0)</f>
        <v>0</v>
      </c>
      <c r="BP25" s="84">
        <f>SUMIFS(RM_PM_Quantity[Quantity],RM_PM_Quantity[Date],BP$1,RM_PM_Quantity[Location],$D25,RM_PM_Quantity[Section],$C25,RM_PM_Quantity[RM Name],$E25)+IF($D25="MIND/Pre-Production",SUMIFS(RM_PM_Quantity[Quantity],RM_PM_Quantity[Date],BP$1,RM_PM_Quantity[Location],"MIDC/Pre-Production",RM_PM_Quantity[Section],$C25,RM_PM_Quantity[RM Name],$E25),0)</f>
        <v>0</v>
      </c>
      <c r="BQ25" s="84">
        <f>SUMIFS(RM_PM_Quantity[Quantity],RM_PM_Quantity[Date],BQ$1,RM_PM_Quantity[Location],$D25,RM_PM_Quantity[Section],$C25,RM_PM_Quantity[RM Name],$E25)+IF($D25="MIND/Pre-Production",SUMIFS(RM_PM_Quantity[Quantity],RM_PM_Quantity[Date],BQ$1,RM_PM_Quantity[Location],"MIDC/Pre-Production",RM_PM_Quantity[Section],$C25,RM_PM_Quantity[RM Name],$E25),0)</f>
        <v>0</v>
      </c>
      <c r="BR25" s="84">
        <f>SUMIFS(RM_PM_Quantity[Quantity],RM_PM_Quantity[Date],BR$1,RM_PM_Quantity[Location],$D25,RM_PM_Quantity[Section],$C25,RM_PM_Quantity[RM Name],$E25)+IF($D25="MIND/Pre-Production",SUMIFS(RM_PM_Quantity[Quantity],RM_PM_Quantity[Date],BR$1,RM_PM_Quantity[Location],"MIDC/Pre-Production",RM_PM_Quantity[Section],$C25,RM_PM_Quantity[RM Name],$E25),0)</f>
        <v>0</v>
      </c>
      <c r="BS25" s="84">
        <f>SUMIFS(RM_PM_Quantity[Quantity],RM_PM_Quantity[Date],BS$1,RM_PM_Quantity[Location],$D25,RM_PM_Quantity[Section],$C25,RM_PM_Quantity[RM Name],$E25)+IF($D25="MIND/Pre-Production",SUMIFS(RM_PM_Quantity[Quantity],RM_PM_Quantity[Date],BS$1,RM_PM_Quantity[Location],"MIDC/Pre-Production",RM_PM_Quantity[Section],$C25,RM_PM_Quantity[RM Name],$E25),0)</f>
        <v>0</v>
      </c>
      <c r="BT25" s="84">
        <f>SUMIFS(RM_PM_Quantity[ID],RM_PM_Quantity[Location],BT$1,RM_PM_Quantity[Section],$D25,RM_PM_Quantity[RM Name],$C25,RM_PM_Quantity[Quantity],$E25)+IF($D25="MIND/Pre-Production",SUMIFS(RM_PM_Quantity[ID],RM_PM_Quantity[Location],BT$1,RM_PM_Quantity[Section],"MIDC/Pre-Production",RM_PM_Quantity[RM Name],$C25,RM_PM_Quantity[Quantity],$E25),0)</f>
        <v>0</v>
      </c>
      <c r="BU25" s="84">
        <f>SUMIFS(RM_PM_Quantity[Name of Supervisor],RM_PM_Quantity[Section],BU$1,RM_PM_Quantity[RM Name],$D25,RM_PM_Quantity[Quantity],$C25,RM_PM_Quantity[ID],$E25)+IF($D25="MIND/Pre-Production",SUMIFS(RM_PM_Quantity[Name of Supervisor],RM_PM_Quantity[Section],BU$1,RM_PM_Quantity[RM Name],"MIDC/Pre-Production",RM_PM_Quantity[Quantity],$C25,RM_PM_Quantity[ID],$E25),0)</f>
        <v>0</v>
      </c>
      <c r="BV25" s="84">
        <f>SUMIFS(RM_PM_Quantity[Date],RM_PM_Quantity[RM Name],BV$1,RM_PM_Quantity[Quantity],$D25,RM_PM_Quantity[ID],$C25,RM_PM_Quantity[Name of Supervisor],$E25)+IF($D25="MIND/Pre-Production",SUMIFS(RM_PM_Quantity[Date],RM_PM_Quantity[RM Name],BV$1,RM_PM_Quantity[Quantity],"MIDC/Pre-Production",RM_PM_Quantity[ID],$C25,RM_PM_Quantity[Name of Supervisor],$E25),0)</f>
        <v>0</v>
      </c>
      <c r="BW25" s="84">
        <f>SUMIFS(RM_PM_Quantity[Location],RM_PM_Quantity[Quantity],BW$1,RM_PM_Quantity[ID],$D25,RM_PM_Quantity[Name of Supervisor],$C25,RM_PM_Quantity[Date],$E25)+IF($D25="MIND/Pre-Production",SUMIFS(RM_PM_Quantity[Location],RM_PM_Quantity[Quantity],BW$1,RM_PM_Quantity[ID],"MIDC/Pre-Production",RM_PM_Quantity[Name of Supervisor],$C25,RM_PM_Quantity[Date],$E25),0)</f>
        <v>0</v>
      </c>
      <c r="BX25" s="84">
        <f>SUMIFS(RM_PM_Quantity[Section],RM_PM_Quantity[ID],BX$1,RM_PM_Quantity[Name of Supervisor],$D25,RM_PM_Quantity[Date],$C25,RM_PM_Quantity[Location],$E25)+IF($D25="MIND/Pre-Production",SUMIFS(RM_PM_Quantity[Section],RM_PM_Quantity[ID],BX$1,RM_PM_Quantity[Name of Supervisor],"MIDC/Pre-Production",RM_PM_Quantity[Date],$C25,RM_PM_Quantity[Location],$E25),0)</f>
        <v>0</v>
      </c>
      <c r="BY25" s="84">
        <f>SUMIFS(RM_PM_Quantity[RM Name],RM_PM_Quantity[Name of Supervisor],BY$1,RM_PM_Quantity[Date],$D25,RM_PM_Quantity[Location],$C25,RM_PM_Quantity[Section],$E25)+IF($D25="MIND/Pre-Production",SUMIFS(RM_PM_Quantity[RM Name],RM_PM_Quantity[Name of Supervisor],BY$1,RM_PM_Quantity[Date],"MIDC/Pre-Production",RM_PM_Quantity[Location],$C25,RM_PM_Quantity[Section],$E25),0)</f>
        <v>0</v>
      </c>
    </row>
    <row r="26" spans="1:77" ht="45.75" customHeight="1">
      <c r="A26" s="79">
        <v>25</v>
      </c>
      <c r="B26" s="79" t="s">
        <v>105</v>
      </c>
      <c r="C26" s="80" t="s">
        <v>103</v>
      </c>
      <c r="D26" s="81" t="s">
        <v>68</v>
      </c>
      <c r="E26" s="82" t="s">
        <v>106</v>
      </c>
      <c r="F26" s="83">
        <f>IFERROR(_xlfn.XLOOKUP(B26,'[1]RM Tracker'!B:B,'[1]RM Tracker'!E:E),"0")</f>
        <v>47199.96</v>
      </c>
      <c r="G26" s="85">
        <f t="shared" si="2"/>
        <v>0</v>
      </c>
      <c r="H26" s="85">
        <f t="shared" si="0"/>
        <v>-47199.96</v>
      </c>
      <c r="I26" s="91">
        <f t="shared" si="1"/>
        <v>0</v>
      </c>
      <c r="J26" s="84">
        <f>SUMIFS(RM_PM_Quantity[Quantity],RM_PM_Quantity[Date],J$1,RM_PM_Quantity[Location],$D26,RM_PM_Quantity[Section],$C26,RM_PM_Quantity[RM Name],$E26)+IF($D26="MIND/Pre-Production",SUMIFS(RM_PM_Quantity[Quantity],RM_PM_Quantity[Date],J$1,RM_PM_Quantity[Location],"MIDC/Pre-Production",RM_PM_Quantity[Section],$C26,RM_PM_Quantity[RM Name],$E26),0)</f>
        <v>0</v>
      </c>
      <c r="K26" s="84">
        <f>SUMIFS(RM_PM_Quantity[Quantity],RM_PM_Quantity[Date],K$1,RM_PM_Quantity[Location],$D26,RM_PM_Quantity[Section],$C26,RM_PM_Quantity[RM Name],$E26)+IF($D26="MIND/Pre-Production",SUMIFS(RM_PM_Quantity[Quantity],RM_PM_Quantity[Date],K$1,RM_PM_Quantity[Location],"MIDC/Pre-Production",RM_PM_Quantity[Section],$C26,RM_PM_Quantity[RM Name],$E26),0)</f>
        <v>0</v>
      </c>
      <c r="L26" s="84">
        <f>SUMIFS(RM_PM_Quantity[Quantity],RM_PM_Quantity[Date],L$1,RM_PM_Quantity[Location],$D26,RM_PM_Quantity[Section],$C26,RM_PM_Quantity[RM Name],$E26)+IF($D26="MIND/Pre-Production",SUMIFS(RM_PM_Quantity[Quantity],RM_PM_Quantity[Date],L$1,RM_PM_Quantity[Location],"MIDC/Pre-Production",RM_PM_Quantity[Section],$C26,RM_PM_Quantity[RM Name],$E26),0)</f>
        <v>0</v>
      </c>
      <c r="M26" s="84">
        <f>SUMIFS(RM_PM_Quantity[Quantity],RM_PM_Quantity[Date],M$1,RM_PM_Quantity[Location],$D26,RM_PM_Quantity[Section],$C26,RM_PM_Quantity[RM Name],$E26)+IF($D26="MIND/Pre-Production",SUMIFS(RM_PM_Quantity[Quantity],RM_PM_Quantity[Date],M$1,RM_PM_Quantity[Location],"MIDC/Pre-Production",RM_PM_Quantity[Section],$C26,RM_PM_Quantity[RM Name],$E26),0)</f>
        <v>0</v>
      </c>
      <c r="N26" s="84">
        <f>SUMIFS(RM_PM_Quantity[Quantity],RM_PM_Quantity[Date],N$1,RM_PM_Quantity[Location],$D26,RM_PM_Quantity[Section],$C26,RM_PM_Quantity[RM Name],$E26)+IF($D26="MIND/Pre-Production",SUMIFS(RM_PM_Quantity[Quantity],RM_PM_Quantity[Date],N$1,RM_PM_Quantity[Location],"MIDC/Pre-Production",RM_PM_Quantity[Section],$C26,RM_PM_Quantity[RM Name],$E26),0)</f>
        <v>0</v>
      </c>
      <c r="O26" s="84">
        <f>SUMIFS(RM_PM_Quantity[Quantity],RM_PM_Quantity[Date],O$1,RM_PM_Quantity[Location],$D26,RM_PM_Quantity[Section],$C26,RM_PM_Quantity[RM Name],$E26)+IF($D26="MIND/Pre-Production",SUMIFS(RM_PM_Quantity[Quantity],RM_PM_Quantity[Date],O$1,RM_PM_Quantity[Location],"MIDC/Pre-Production",RM_PM_Quantity[Section],$C26,RM_PM_Quantity[RM Name],$E26),0)</f>
        <v>0</v>
      </c>
      <c r="P26" s="84">
        <f>SUMIFS(RM_PM_Quantity[Quantity],RM_PM_Quantity[Date],P$1,RM_PM_Quantity[Location],$D26,RM_PM_Quantity[Section],$C26,RM_PM_Quantity[RM Name],$E26)+IF($D26="MIND/Pre-Production",SUMIFS(RM_PM_Quantity[Quantity],RM_PM_Quantity[Date],P$1,RM_PM_Quantity[Location],"MIDC/Pre-Production",RM_PM_Quantity[Section],$C26,RM_PM_Quantity[RM Name],$E26),0)</f>
        <v>0</v>
      </c>
      <c r="Q26" s="84">
        <f>SUMIFS(RM_PM_Quantity[Quantity],RM_PM_Quantity[Date],Q$1,RM_PM_Quantity[Location],$D26,RM_PM_Quantity[Section],$C26,RM_PM_Quantity[RM Name],$E26)+IF($D26="MIND/Pre-Production",SUMIFS(RM_PM_Quantity[Quantity],RM_PM_Quantity[Date],Q$1,RM_PM_Quantity[Location],"MIDC/Pre-Production",RM_PM_Quantity[Section],$C26,RM_PM_Quantity[RM Name],$E26),0)</f>
        <v>0</v>
      </c>
      <c r="R26" s="84">
        <f>SUMIFS(RM_PM_Quantity[Quantity],RM_PM_Quantity[Date],R$1,RM_PM_Quantity[Location],$D26,RM_PM_Quantity[Section],$C26,RM_PM_Quantity[RM Name],$E26)+IF($D26="MIND/Pre-Production",SUMIFS(RM_PM_Quantity[Quantity],RM_PM_Quantity[Date],R$1,RM_PM_Quantity[Location],"MIDC/Pre-Production",RM_PM_Quantity[Section],$C26,RM_PM_Quantity[RM Name],$E26),0)</f>
        <v>0</v>
      </c>
      <c r="S26" s="84">
        <f>SUMIFS(RM_PM_Quantity[Quantity],RM_PM_Quantity[Date],S$1,RM_PM_Quantity[Location],$D26,RM_PM_Quantity[Section],$C26,RM_PM_Quantity[RM Name],$E26)+IF($D26="MIND/Pre-Production",SUMIFS(RM_PM_Quantity[Quantity],RM_PM_Quantity[Date],S$1,RM_PM_Quantity[Location],"MIDC/Pre-Production",RM_PM_Quantity[Section],$C26,RM_PM_Quantity[RM Name],$E26),0)</f>
        <v>0</v>
      </c>
      <c r="T26" s="84">
        <f>SUMIFS(RM_PM_Quantity[Quantity],RM_PM_Quantity[Date],T$1,RM_PM_Quantity[Location],$D26,RM_PM_Quantity[Section],$C26,RM_PM_Quantity[RM Name],$E26)+IF($D26="MIND/Pre-Production",SUMIFS(RM_PM_Quantity[Quantity],RM_PM_Quantity[Date],T$1,RM_PM_Quantity[Location],"MIDC/Pre-Production",RM_PM_Quantity[Section],$C26,RM_PM_Quantity[RM Name],$E26),0)</f>
        <v>0</v>
      </c>
      <c r="U26" s="84">
        <f>SUMIFS(RM_PM_Quantity[Quantity],RM_PM_Quantity[Date],U$1,RM_PM_Quantity[Location],$D26,RM_PM_Quantity[Section],$C26,RM_PM_Quantity[RM Name],$E26)+IF($D26="MIND/Pre-Production",SUMIFS(RM_PM_Quantity[Quantity],RM_PM_Quantity[Date],U$1,RM_PM_Quantity[Location],"MIDC/Pre-Production",RM_PM_Quantity[Section],$C26,RM_PM_Quantity[RM Name],$E26),0)</f>
        <v>0</v>
      </c>
      <c r="V26" s="84">
        <f>SUMIFS(RM_PM_Quantity[Quantity],RM_PM_Quantity[Date],V$1,RM_PM_Quantity[Location],$D26,RM_PM_Quantity[Section],$C26,RM_PM_Quantity[RM Name],$E26)+IF($D26="MIND/Pre-Production",SUMIFS(RM_PM_Quantity[Quantity],RM_PM_Quantity[Date],V$1,RM_PM_Quantity[Location],"MIDC/Pre-Production",RM_PM_Quantity[Section],$C26,RM_PM_Quantity[RM Name],$E26),0)</f>
        <v>0</v>
      </c>
      <c r="W26" s="84">
        <f>SUMIFS(RM_PM_Quantity[Quantity],RM_PM_Quantity[Date],W$1,RM_PM_Quantity[Location],$D26,RM_PM_Quantity[Section],$C26,RM_PM_Quantity[RM Name],$E26)+IF($D26="MIND/Pre-Production",SUMIFS(RM_PM_Quantity[Quantity],RM_PM_Quantity[Date],W$1,RM_PM_Quantity[Location],"MIDC/Pre-Production",RM_PM_Quantity[Section],$C26,RM_PM_Quantity[RM Name],$E26),0)</f>
        <v>0</v>
      </c>
      <c r="X26" s="84">
        <f>SUMIFS(RM_PM_Quantity[Quantity],RM_PM_Quantity[Date],X$1,RM_PM_Quantity[Location],$D26,RM_PM_Quantity[Section],$C26,RM_PM_Quantity[RM Name],$E26)+IF($D26="MIND/Pre-Production",SUMIFS(RM_PM_Quantity[Quantity],RM_PM_Quantity[Date],X$1,RM_PM_Quantity[Location],"MIDC/Pre-Production",RM_PM_Quantity[Section],$C26,RM_PM_Quantity[RM Name],$E26),0)</f>
        <v>0</v>
      </c>
      <c r="Y26" s="84">
        <f>SUMIFS(RM_PM_Quantity[Quantity],RM_PM_Quantity[Date],Y$1,RM_PM_Quantity[Location],$D26,RM_PM_Quantity[Section],$C26,RM_PM_Quantity[RM Name],$E26)+IF($D26="MIND/Pre-Production",SUMIFS(RM_PM_Quantity[Quantity],RM_PM_Quantity[Date],Y$1,RM_PM_Quantity[Location],"MIDC/Pre-Production",RM_PM_Quantity[Section],$C26,RM_PM_Quantity[RM Name],$E26),0)</f>
        <v>0</v>
      </c>
      <c r="Z26" s="84">
        <f>SUMIFS(RM_PM_Quantity[Quantity],RM_PM_Quantity[Date],Z$1,RM_PM_Quantity[Location],$D26,RM_PM_Quantity[Section],$C26,RM_PM_Quantity[RM Name],$E26)+IF($D26="MIND/Pre-Production",SUMIFS(RM_PM_Quantity[Quantity],RM_PM_Quantity[Date],Z$1,RM_PM_Quantity[Location],"MIDC/Pre-Production",RM_PM_Quantity[Section],$C26,RM_PM_Quantity[RM Name],$E26),0)</f>
        <v>0</v>
      </c>
      <c r="AA26" s="84">
        <f>SUMIFS(RM_PM_Quantity[Quantity],RM_PM_Quantity[Date],AA$1,RM_PM_Quantity[Location],$D26,RM_PM_Quantity[Section],$C26,RM_PM_Quantity[RM Name],$E26)+IF($D26="MIND/Pre-Production",SUMIFS(RM_PM_Quantity[Quantity],RM_PM_Quantity[Date],AA$1,RM_PM_Quantity[Location],"MIDC/Pre-Production",RM_PM_Quantity[Section],$C26,RM_PM_Quantity[RM Name],$E26),0)</f>
        <v>0</v>
      </c>
      <c r="AB26" s="84">
        <f>SUMIFS(RM_PM_Quantity[Quantity],RM_PM_Quantity[Date],AB$1,RM_PM_Quantity[Location],$D26,RM_PM_Quantity[Section],$C26,RM_PM_Quantity[RM Name],$E26)+IF($D26="MIND/Pre-Production",SUMIFS(RM_PM_Quantity[Quantity],RM_PM_Quantity[Date],AB$1,RM_PM_Quantity[Location],"MIDC/Pre-Production",RM_PM_Quantity[Section],$C26,RM_PM_Quantity[RM Name],$E26),0)</f>
        <v>0</v>
      </c>
      <c r="AC26" s="84">
        <f>SUMIFS(RM_PM_Quantity[Quantity],RM_PM_Quantity[Date],AC$1,RM_PM_Quantity[Location],$D26,RM_PM_Quantity[Section],$C26,RM_PM_Quantity[RM Name],$E26)+IF($D26="MIND/Pre-Production",SUMIFS(RM_PM_Quantity[Quantity],RM_PM_Quantity[Date],AC$1,RM_PM_Quantity[Location],"MIDC/Pre-Production",RM_PM_Quantity[Section],$C26,RM_PM_Quantity[RM Name],$E26),0)</f>
        <v>0</v>
      </c>
      <c r="AD26" s="84">
        <f>SUMIFS(RM_PM_Quantity[Quantity],RM_PM_Quantity[Date],AD$1,RM_PM_Quantity[Location],$D26,RM_PM_Quantity[Section],$C26,RM_PM_Quantity[RM Name],$E26)+IF($D26="MIND/Pre-Production",SUMIFS(RM_PM_Quantity[Quantity],RM_PM_Quantity[Date],AD$1,RM_PM_Quantity[Location],"MIDC/Pre-Production",RM_PM_Quantity[Section],$C26,RM_PM_Quantity[RM Name],$E26),0)</f>
        <v>0</v>
      </c>
      <c r="AE26" s="84">
        <f>SUMIFS(RM_PM_Quantity[Quantity],RM_PM_Quantity[Date],AE$1,RM_PM_Quantity[Location],$D26,RM_PM_Quantity[Section],$C26,RM_PM_Quantity[RM Name],$E26)+IF($D26="MIND/Pre-Production",SUMIFS(RM_PM_Quantity[Quantity],RM_PM_Quantity[Date],AE$1,RM_PM_Quantity[Location],"MIDC/Pre-Production",RM_PM_Quantity[Section],$C26,RM_PM_Quantity[RM Name],$E26),0)</f>
        <v>0</v>
      </c>
      <c r="AF26" s="84">
        <f>SUMIFS(RM_PM_Quantity[Quantity],RM_PM_Quantity[Date],AF$1,RM_PM_Quantity[Location],$D26,RM_PM_Quantity[Section],$C26,RM_PM_Quantity[RM Name],$E26)+IF($D26="MIND/Pre-Production",SUMIFS(RM_PM_Quantity[Quantity],RM_PM_Quantity[Date],AF$1,RM_PM_Quantity[Location],"MIDC/Pre-Production",RM_PM_Quantity[Section],$C26,RM_PM_Quantity[RM Name],$E26),0)</f>
        <v>0</v>
      </c>
      <c r="AG26" s="84">
        <f>SUMIFS(RM_PM_Quantity[Quantity],RM_PM_Quantity[Date],AG$1,RM_PM_Quantity[Location],$D26,RM_PM_Quantity[Section],$C26,RM_PM_Quantity[RM Name],$E26)+IF($D26="MIND/Pre-Production",SUMIFS(RM_PM_Quantity[Quantity],RM_PM_Quantity[Date],AG$1,RM_PM_Quantity[Location],"MIDC/Pre-Production",RM_PM_Quantity[Section],$C26,RM_PM_Quantity[RM Name],$E26),0)</f>
        <v>0</v>
      </c>
      <c r="AH26" s="84">
        <f>SUMIFS(RM_PM_Quantity[Quantity],RM_PM_Quantity[Date],AH$1,RM_PM_Quantity[Location],$D26,RM_PM_Quantity[Section],$C26,RM_PM_Quantity[RM Name],$E26)+IF($D26="MIND/Pre-Production",SUMIFS(RM_PM_Quantity[Quantity],RM_PM_Quantity[Date],AH$1,RM_PM_Quantity[Location],"MIDC/Pre-Production",RM_PM_Quantity[Section],$C26,RM_PM_Quantity[RM Name],$E26),0)</f>
        <v>0</v>
      </c>
      <c r="AI26" s="84">
        <f>SUMIFS(RM_PM_Quantity[Quantity],RM_PM_Quantity[Date],AI$1,RM_PM_Quantity[Location],$D26,RM_PM_Quantity[Section],$C26,RM_PM_Quantity[RM Name],$E26)+IF($D26="MIND/Pre-Production",SUMIFS(RM_PM_Quantity[Quantity],RM_PM_Quantity[Date],AI$1,RM_PM_Quantity[Location],"MIDC/Pre-Production",RM_PM_Quantity[Section],$C26,RM_PM_Quantity[RM Name],$E26),0)</f>
        <v>0</v>
      </c>
      <c r="AJ26" s="84">
        <f>SUMIFS(RM_PM_Quantity[Quantity],RM_PM_Quantity[Date],AJ$1,RM_PM_Quantity[Location],$D26,RM_PM_Quantity[Section],$C26,RM_PM_Quantity[RM Name],$E26)+IF($D26="MIND/Pre-Production",SUMIFS(RM_PM_Quantity[Quantity],RM_PM_Quantity[Date],AJ$1,RM_PM_Quantity[Location],"MIDC/Pre-Production",RM_PM_Quantity[Section],$C26,RM_PM_Quantity[RM Name],$E26),0)</f>
        <v>0</v>
      </c>
      <c r="AK26" s="84">
        <f>SUMIFS(RM_PM_Quantity[Quantity],RM_PM_Quantity[Date],AK$1,RM_PM_Quantity[Location],$D26,RM_PM_Quantity[Section],$C26,RM_PM_Quantity[RM Name],$E26)+IF($D26="MIND/Pre-Production",SUMIFS(RM_PM_Quantity[Quantity],RM_PM_Quantity[Date],AK$1,RM_PM_Quantity[Location],"MIDC/Pre-Production",RM_PM_Quantity[Section],$C26,RM_PM_Quantity[RM Name],$E26),0)</f>
        <v>0</v>
      </c>
      <c r="AL26" s="84">
        <f>SUMIFS(RM_PM_Quantity[Quantity],RM_PM_Quantity[Date],AL$1,RM_PM_Quantity[Location],$D26,RM_PM_Quantity[Section],$C26,RM_PM_Quantity[RM Name],$E26)+IF($D26="MIND/Pre-Production",SUMIFS(RM_PM_Quantity[Quantity],RM_PM_Quantity[Date],AL$1,RM_PM_Quantity[Location],"MIDC/Pre-Production",RM_PM_Quantity[Section],$C26,RM_PM_Quantity[RM Name],$E26),0)</f>
        <v>0</v>
      </c>
      <c r="AM26" s="84">
        <f>SUMIFS(RM_PM_Quantity[Quantity],RM_PM_Quantity[Date],AM$1,RM_PM_Quantity[Location],$D26,RM_PM_Quantity[Section],$C26,RM_PM_Quantity[RM Name],$E26)+IF($D26="MIND/Pre-Production",SUMIFS(RM_PM_Quantity[Quantity],RM_PM_Quantity[Date],AM$1,RM_PM_Quantity[Location],"MIDC/Pre-Production",RM_PM_Quantity[Section],$C26,RM_PM_Quantity[RM Name],$E26),0)</f>
        <v>0</v>
      </c>
      <c r="AN26" s="84">
        <f>SUMIFS(RM_PM_Quantity[Quantity],RM_PM_Quantity[Date],AN$1,RM_PM_Quantity[Location],$D26,RM_PM_Quantity[Section],$C26,RM_PM_Quantity[RM Name],$E26)+IF($D26="MIND/Pre-Production",SUMIFS(RM_PM_Quantity[Quantity],RM_PM_Quantity[Date],AN$1,RM_PM_Quantity[Location],"MIDC/Pre-Production",RM_PM_Quantity[Section],$C26,RM_PM_Quantity[RM Name],$E26),0)</f>
        <v>0</v>
      </c>
      <c r="AO26" s="84">
        <f>SUMIFS(RM_PM_Quantity[Quantity],RM_PM_Quantity[Date],AO$1,RM_PM_Quantity[Location],$D26,RM_PM_Quantity[Section],$C26,RM_PM_Quantity[RM Name],$E26)+IF($D26="MIND/Pre-Production",SUMIFS(RM_PM_Quantity[Quantity],RM_PM_Quantity[Date],AO$1,RM_PM_Quantity[Location],"MIDC/Pre-Production",RM_PM_Quantity[Section],$C26,RM_PM_Quantity[RM Name],$E26),0)</f>
        <v>0</v>
      </c>
      <c r="AP26" s="84">
        <f>SUMIFS(RM_PM_Quantity[Quantity],RM_PM_Quantity[Date],AP$1,RM_PM_Quantity[Location],$D26,RM_PM_Quantity[Section],$C26,RM_PM_Quantity[RM Name],$E26)+IF($D26="MIND/Pre-Production",SUMIFS(RM_PM_Quantity[Quantity],RM_PM_Quantity[Date],AP$1,RM_PM_Quantity[Location],"MIDC/Pre-Production",RM_PM_Quantity[Section],$C26,RM_PM_Quantity[RM Name],$E26),0)</f>
        <v>0</v>
      </c>
      <c r="AQ26" s="84">
        <f>SUMIFS(RM_PM_Quantity[Quantity],RM_PM_Quantity[Date],AQ$1,RM_PM_Quantity[Location],$D26,RM_PM_Quantity[Section],$C26,RM_PM_Quantity[RM Name],$E26)+IF($D26="MIND/Pre-Production",SUMIFS(RM_PM_Quantity[Quantity],RM_PM_Quantity[Date],AQ$1,RM_PM_Quantity[Location],"MIDC/Pre-Production",RM_PM_Quantity[Section],$C26,RM_PM_Quantity[RM Name],$E26),0)</f>
        <v>0</v>
      </c>
      <c r="AR26" s="84">
        <f>SUMIFS(RM_PM_Quantity[Quantity],RM_PM_Quantity[Date],AR$1,RM_PM_Quantity[Location],$D26,RM_PM_Quantity[Section],$C26,RM_PM_Quantity[RM Name],$E26)+IF($D26="MIND/Pre-Production",SUMIFS(RM_PM_Quantity[Quantity],RM_PM_Quantity[Date],AR$1,RM_PM_Quantity[Location],"MIDC/Pre-Production",RM_PM_Quantity[Section],$C26,RM_PM_Quantity[RM Name],$E26),0)</f>
        <v>0</v>
      </c>
      <c r="AS26" s="84">
        <f>SUMIFS(RM_PM_Quantity[Quantity],RM_PM_Quantity[Date],AS$1,RM_PM_Quantity[Location],$D26,RM_PM_Quantity[Section],$C26,RM_PM_Quantity[RM Name],$E26)+IF($D26="MIND/Pre-Production",SUMIFS(RM_PM_Quantity[Quantity],RM_PM_Quantity[Date],AS$1,RM_PM_Quantity[Location],"MIDC/Pre-Production",RM_PM_Quantity[Section],$C26,RM_PM_Quantity[RM Name],$E26),0)</f>
        <v>0</v>
      </c>
      <c r="AT26" s="84">
        <f>SUMIFS(RM_PM_Quantity[Quantity],RM_PM_Quantity[Date],AT$1,RM_PM_Quantity[Location],$D26,RM_PM_Quantity[Section],$C26,RM_PM_Quantity[RM Name],$E26)+IF($D26="MIND/Pre-Production",SUMIFS(RM_PM_Quantity[Quantity],RM_PM_Quantity[Date],AT$1,RM_PM_Quantity[Location],"MIDC/Pre-Production",RM_PM_Quantity[Section],$C26,RM_PM_Quantity[RM Name],$E26),0)</f>
        <v>0</v>
      </c>
      <c r="AU26" s="84">
        <f>SUMIFS(RM_PM_Quantity[Quantity],RM_PM_Quantity[Date],AU$1,RM_PM_Quantity[Location],$D26,RM_PM_Quantity[Section],$C26,RM_PM_Quantity[RM Name],$E26)+IF($D26="MIND/Pre-Production",SUMIFS(RM_PM_Quantity[Quantity],RM_PM_Quantity[Date],AU$1,RM_PM_Quantity[Location],"MIDC/Pre-Production",RM_PM_Quantity[Section],$C26,RM_PM_Quantity[RM Name],$E26),0)</f>
        <v>0</v>
      </c>
      <c r="AV26" s="84">
        <f>SUMIFS(RM_PM_Quantity[Quantity],RM_PM_Quantity[Date],AV$1,RM_PM_Quantity[Location],$D26,RM_PM_Quantity[Section],$C26,RM_PM_Quantity[RM Name],$E26)+IF($D26="MIND/Pre-Production",SUMIFS(RM_PM_Quantity[Quantity],RM_PM_Quantity[Date],AV$1,RM_PM_Quantity[Location],"MIDC/Pre-Production",RM_PM_Quantity[Section],$C26,RM_PM_Quantity[RM Name],$E26),0)</f>
        <v>0</v>
      </c>
      <c r="AW26" s="84">
        <f>SUMIFS(RM_PM_Quantity[Quantity],RM_PM_Quantity[Date],AW$1,RM_PM_Quantity[Location],$D26,RM_PM_Quantity[Section],$C26,RM_PM_Quantity[RM Name],$E26)+IF($D26="MIND/Pre-Production",SUMIFS(RM_PM_Quantity[Quantity],RM_PM_Quantity[Date],AW$1,RM_PM_Quantity[Location],"MIDC/Pre-Production",RM_PM_Quantity[Section],$C26,RM_PM_Quantity[RM Name],$E26),0)</f>
        <v>0</v>
      </c>
      <c r="AX26" s="84">
        <f>SUMIFS(RM_PM_Quantity[Quantity],RM_PM_Quantity[Date],AX$1,RM_PM_Quantity[Location],$D26,RM_PM_Quantity[Section],$C26,RM_PM_Quantity[RM Name],$E26)+IF($D26="MIND/Pre-Production",SUMIFS(RM_PM_Quantity[Quantity],RM_PM_Quantity[Date],AX$1,RM_PM_Quantity[Location],"MIDC/Pre-Production",RM_PM_Quantity[Section],$C26,RM_PM_Quantity[RM Name],$E26),0)</f>
        <v>0</v>
      </c>
      <c r="AY26" s="84">
        <f>SUMIFS(RM_PM_Quantity[Quantity],RM_PM_Quantity[Date],AY$1,RM_PM_Quantity[Location],$D26,RM_PM_Quantity[Section],$C26,RM_PM_Quantity[RM Name],$E26)+IF($D26="MIND/Pre-Production",SUMIFS(RM_PM_Quantity[Quantity],RM_PM_Quantity[Date],AY$1,RM_PM_Quantity[Location],"MIDC/Pre-Production",RM_PM_Quantity[Section],$C26,RM_PM_Quantity[RM Name],$E26),0)</f>
        <v>0</v>
      </c>
      <c r="AZ26" s="84">
        <f>SUMIFS(RM_PM_Quantity[Quantity],RM_PM_Quantity[Date],AZ$1,RM_PM_Quantity[Location],$D26,RM_PM_Quantity[Section],$C26,RM_PM_Quantity[RM Name],$E26)+IF($D26="MIND/Pre-Production",SUMIFS(RM_PM_Quantity[Quantity],RM_PM_Quantity[Date],AZ$1,RM_PM_Quantity[Location],"MIDC/Pre-Production",RM_PM_Quantity[Section],$C26,RM_PM_Quantity[RM Name],$E26),0)</f>
        <v>0</v>
      </c>
      <c r="BA26" s="84">
        <f>SUMIFS(RM_PM_Quantity[Quantity],RM_PM_Quantity[Date],BA$1,RM_PM_Quantity[Location],$D26,RM_PM_Quantity[Section],$C26,RM_PM_Quantity[RM Name],$E26)+IF($D26="MIND/Pre-Production",SUMIFS(RM_PM_Quantity[Quantity],RM_PM_Quantity[Date],BA$1,RM_PM_Quantity[Location],"MIDC/Pre-Production",RM_PM_Quantity[Section],$C26,RM_PM_Quantity[RM Name],$E26),0)</f>
        <v>0</v>
      </c>
      <c r="BB26" s="84">
        <f>SUMIFS(RM_PM_Quantity[Quantity],RM_PM_Quantity[Date],BB$1,RM_PM_Quantity[Location],$D26,RM_PM_Quantity[Section],$C26,RM_PM_Quantity[RM Name],$E26)+IF($D26="MIND/Pre-Production",SUMIFS(RM_PM_Quantity[Quantity],RM_PM_Quantity[Date],BB$1,RM_PM_Quantity[Location],"MIDC/Pre-Production",RM_PM_Quantity[Section],$C26,RM_PM_Quantity[RM Name],$E26),0)</f>
        <v>0</v>
      </c>
      <c r="BC26" s="84">
        <f>SUMIFS(RM_PM_Quantity[Quantity],RM_PM_Quantity[Date],BC$1,RM_PM_Quantity[Location],$D26,RM_PM_Quantity[Section],$C26,RM_PM_Quantity[RM Name],$E26)+IF($D26="MIND/Pre-Production",SUMIFS(RM_PM_Quantity[Quantity],RM_PM_Quantity[Date],BC$1,RM_PM_Quantity[Location],"MIDC/Pre-Production",RM_PM_Quantity[Section],$C26,RM_PM_Quantity[RM Name],$E26),0)</f>
        <v>0</v>
      </c>
      <c r="BD26" s="84">
        <f>SUMIFS(RM_PM_Quantity[Quantity],RM_PM_Quantity[Date],BD$1,RM_PM_Quantity[Location],$D26,RM_PM_Quantity[Section],$C26,RM_PM_Quantity[RM Name],$E26)+IF($D26="MIND/Pre-Production",SUMIFS(RM_PM_Quantity[Quantity],RM_PM_Quantity[Date],BD$1,RM_PM_Quantity[Location],"MIDC/Pre-Production",RM_PM_Quantity[Section],$C26,RM_PM_Quantity[RM Name],$E26),0)</f>
        <v>0</v>
      </c>
      <c r="BE26" s="84">
        <f>SUMIFS(RM_PM_Quantity[Quantity],RM_PM_Quantity[Date],BE$1,RM_PM_Quantity[Location],$D26,RM_PM_Quantity[Section],$C26,RM_PM_Quantity[RM Name],$E26)+IF($D26="MIND/Pre-Production",SUMIFS(RM_PM_Quantity[Quantity],RM_PM_Quantity[Date],BE$1,RM_PM_Quantity[Location],"MIDC/Pre-Production",RM_PM_Quantity[Section],$C26,RM_PM_Quantity[RM Name],$E26),0)</f>
        <v>0</v>
      </c>
      <c r="BF26" s="84">
        <f>SUMIFS(RM_PM_Quantity[Quantity],RM_PM_Quantity[Date],BF$1,RM_PM_Quantity[Location],$D26,RM_PM_Quantity[Section],$C26,RM_PM_Quantity[RM Name],$E26)+IF($D26="MIND/Pre-Production",SUMIFS(RM_PM_Quantity[Quantity],RM_PM_Quantity[Date],BF$1,RM_PM_Quantity[Location],"MIDC/Pre-Production",RM_PM_Quantity[Section],$C26,RM_PM_Quantity[RM Name],$E26),0)</f>
        <v>0</v>
      </c>
      <c r="BG26" s="84">
        <f>SUMIFS(RM_PM_Quantity[Quantity],RM_PM_Quantity[Date],BG$1,RM_PM_Quantity[Location],$D26,RM_PM_Quantity[Section],$C26,RM_PM_Quantity[RM Name],$E26)+IF($D26="MIND/Pre-Production",SUMIFS(RM_PM_Quantity[Quantity],RM_PM_Quantity[Date],BG$1,RM_PM_Quantity[Location],"MIDC/Pre-Production",RM_PM_Quantity[Section],$C26,RM_PM_Quantity[RM Name],$E26),0)</f>
        <v>0</v>
      </c>
      <c r="BH26" s="84">
        <f>SUMIFS(RM_PM_Quantity[Quantity],RM_PM_Quantity[Date],BH$1,RM_PM_Quantity[Location],$D26,RM_PM_Quantity[Section],$C26,RM_PM_Quantity[RM Name],$E26)+IF($D26="MIND/Pre-Production",SUMIFS(RM_PM_Quantity[Quantity],RM_PM_Quantity[Date],BH$1,RM_PM_Quantity[Location],"MIDC/Pre-Production",RM_PM_Quantity[Section],$C26,RM_PM_Quantity[RM Name],$E26),0)</f>
        <v>0</v>
      </c>
      <c r="BI26" s="84">
        <f>SUMIFS(RM_PM_Quantity[Quantity],RM_PM_Quantity[Date],BI$1,RM_PM_Quantity[Location],$D26,RM_PM_Quantity[Section],$C26,RM_PM_Quantity[RM Name],$E26)+IF($D26="MIND/Pre-Production",SUMIFS(RM_PM_Quantity[Quantity],RM_PM_Quantity[Date],BI$1,RM_PM_Quantity[Location],"MIDC/Pre-Production",RM_PM_Quantity[Section],$C26,RM_PM_Quantity[RM Name],$E26),0)</f>
        <v>0</v>
      </c>
      <c r="BJ26" s="84">
        <f>SUMIFS(RM_PM_Quantity[Quantity],RM_PM_Quantity[Date],BJ$1,RM_PM_Quantity[Location],$D26,RM_PM_Quantity[Section],$C26,RM_PM_Quantity[RM Name],$E26)+IF($D26="MIND/Pre-Production",SUMIFS(RM_PM_Quantity[Quantity],RM_PM_Quantity[Date],BJ$1,RM_PM_Quantity[Location],"MIDC/Pre-Production",RM_PM_Quantity[Section],$C26,RM_PM_Quantity[RM Name],$E26),0)</f>
        <v>0</v>
      </c>
      <c r="BK26" s="84">
        <f>SUMIFS(RM_PM_Quantity[Quantity],RM_PM_Quantity[Date],BK$1,RM_PM_Quantity[Location],$D26,RM_PM_Quantity[Section],$C26,RM_PM_Quantity[RM Name],$E26)+IF($D26="MIND/Pre-Production",SUMIFS(RM_PM_Quantity[Quantity],RM_PM_Quantity[Date],BK$1,RM_PM_Quantity[Location],"MIDC/Pre-Production",RM_PM_Quantity[Section],$C26,RM_PM_Quantity[RM Name],$E26),0)</f>
        <v>0</v>
      </c>
      <c r="BL26" s="84">
        <f>SUMIFS(RM_PM_Quantity[Quantity],RM_PM_Quantity[Date],BL$1,RM_PM_Quantity[Location],$D26,RM_PM_Quantity[Section],$C26,RM_PM_Quantity[RM Name],$E26)+IF($D26="MIND/Pre-Production",SUMIFS(RM_PM_Quantity[Quantity],RM_PM_Quantity[Date],BL$1,RM_PM_Quantity[Location],"MIDC/Pre-Production",RM_PM_Quantity[Section],$C26,RM_PM_Quantity[RM Name],$E26),0)</f>
        <v>0</v>
      </c>
      <c r="BM26" s="84">
        <f>SUMIFS(RM_PM_Quantity[Quantity],RM_PM_Quantity[Date],BM$1,RM_PM_Quantity[Location],$D26,RM_PM_Quantity[Section],$C26,RM_PM_Quantity[RM Name],$E26)+IF($D26="MIND/Pre-Production",SUMIFS(RM_PM_Quantity[Quantity],RM_PM_Quantity[Date],BM$1,RM_PM_Quantity[Location],"MIDC/Pre-Production",RM_PM_Quantity[Section],$C26,RM_PM_Quantity[RM Name],$E26),0)</f>
        <v>0</v>
      </c>
      <c r="BN26" s="84">
        <f>SUMIFS(RM_PM_Quantity[Quantity],RM_PM_Quantity[Date],BN$1,RM_PM_Quantity[Location],$D26,RM_PM_Quantity[Section],$C26,RM_PM_Quantity[RM Name],$E26)+IF($D26="MIND/Pre-Production",SUMIFS(RM_PM_Quantity[Quantity],RM_PM_Quantity[Date],BN$1,RM_PM_Quantity[Location],"MIDC/Pre-Production",RM_PM_Quantity[Section],$C26,RM_PM_Quantity[RM Name],$E26),0)</f>
        <v>0</v>
      </c>
      <c r="BO26" s="84">
        <f>SUMIFS(RM_PM_Quantity[Quantity],RM_PM_Quantity[Date],BO$1,RM_PM_Quantity[Location],$D26,RM_PM_Quantity[Section],$C26,RM_PM_Quantity[RM Name],$E26)+IF($D26="MIND/Pre-Production",SUMIFS(RM_PM_Quantity[Quantity],RM_PM_Quantity[Date],BO$1,RM_PM_Quantity[Location],"MIDC/Pre-Production",RM_PM_Quantity[Section],$C26,RM_PM_Quantity[RM Name],$E26),0)</f>
        <v>0</v>
      </c>
      <c r="BP26" s="84">
        <f>SUMIFS(RM_PM_Quantity[Quantity],RM_PM_Quantity[Date],BP$1,RM_PM_Quantity[Location],$D26,RM_PM_Quantity[Section],$C26,RM_PM_Quantity[RM Name],$E26)+IF($D26="MIND/Pre-Production",SUMIFS(RM_PM_Quantity[Quantity],RM_PM_Quantity[Date],BP$1,RM_PM_Quantity[Location],"MIDC/Pre-Production",RM_PM_Quantity[Section],$C26,RM_PM_Quantity[RM Name],$E26),0)</f>
        <v>0</v>
      </c>
      <c r="BQ26" s="84">
        <f>SUMIFS(RM_PM_Quantity[Quantity],RM_PM_Quantity[Date],BQ$1,RM_PM_Quantity[Location],$D26,RM_PM_Quantity[Section],$C26,RM_PM_Quantity[RM Name],$E26)+IF($D26="MIND/Pre-Production",SUMIFS(RM_PM_Quantity[Quantity],RM_PM_Quantity[Date],BQ$1,RM_PM_Quantity[Location],"MIDC/Pre-Production",RM_PM_Quantity[Section],$C26,RM_PM_Quantity[RM Name],$E26),0)</f>
        <v>0</v>
      </c>
      <c r="BR26" s="84">
        <f>SUMIFS(RM_PM_Quantity[Quantity],RM_PM_Quantity[Date],BR$1,RM_PM_Quantity[Location],$D26,RM_PM_Quantity[Section],$C26,RM_PM_Quantity[RM Name],$E26)+IF($D26="MIND/Pre-Production",SUMIFS(RM_PM_Quantity[Quantity],RM_PM_Quantity[Date],BR$1,RM_PM_Quantity[Location],"MIDC/Pre-Production",RM_PM_Quantity[Section],$C26,RM_PM_Quantity[RM Name],$E26),0)</f>
        <v>0</v>
      </c>
      <c r="BS26" s="84">
        <f>SUMIFS(RM_PM_Quantity[Quantity],RM_PM_Quantity[Date],BS$1,RM_PM_Quantity[Location],$D26,RM_PM_Quantity[Section],$C26,RM_PM_Quantity[RM Name],$E26)+IF($D26="MIND/Pre-Production",SUMIFS(RM_PM_Quantity[Quantity],RM_PM_Quantity[Date],BS$1,RM_PM_Quantity[Location],"MIDC/Pre-Production",RM_PM_Quantity[Section],$C26,RM_PM_Quantity[RM Name],$E26),0)</f>
        <v>0</v>
      </c>
      <c r="BT26" s="84">
        <f>SUMIFS(RM_PM_Quantity[ID],RM_PM_Quantity[Location],BT$1,RM_PM_Quantity[Section],$D26,RM_PM_Quantity[RM Name],$C26,RM_PM_Quantity[Quantity],$E26)+IF($D26="MIND/Pre-Production",SUMIFS(RM_PM_Quantity[ID],RM_PM_Quantity[Location],BT$1,RM_PM_Quantity[Section],"MIDC/Pre-Production",RM_PM_Quantity[RM Name],$C26,RM_PM_Quantity[Quantity],$E26),0)</f>
        <v>0</v>
      </c>
      <c r="BU26" s="84">
        <f>SUMIFS(RM_PM_Quantity[Name of Supervisor],RM_PM_Quantity[Section],BU$1,RM_PM_Quantity[RM Name],$D26,RM_PM_Quantity[Quantity],$C26,RM_PM_Quantity[ID],$E26)+IF($D26="MIND/Pre-Production",SUMIFS(RM_PM_Quantity[Name of Supervisor],RM_PM_Quantity[Section],BU$1,RM_PM_Quantity[RM Name],"MIDC/Pre-Production",RM_PM_Quantity[Quantity],$C26,RM_PM_Quantity[ID],$E26),0)</f>
        <v>0</v>
      </c>
      <c r="BV26" s="84">
        <f>SUMIFS(RM_PM_Quantity[Date],RM_PM_Quantity[RM Name],BV$1,RM_PM_Quantity[Quantity],$D26,RM_PM_Quantity[ID],$C26,RM_PM_Quantity[Name of Supervisor],$E26)+IF($D26="MIND/Pre-Production",SUMIFS(RM_PM_Quantity[Date],RM_PM_Quantity[RM Name],BV$1,RM_PM_Quantity[Quantity],"MIDC/Pre-Production",RM_PM_Quantity[ID],$C26,RM_PM_Quantity[Name of Supervisor],$E26),0)</f>
        <v>0</v>
      </c>
      <c r="BW26" s="84">
        <f>SUMIFS(RM_PM_Quantity[Location],RM_PM_Quantity[Quantity],BW$1,RM_PM_Quantity[ID],$D26,RM_PM_Quantity[Name of Supervisor],$C26,RM_PM_Quantity[Date],$E26)+IF($D26="MIND/Pre-Production",SUMIFS(RM_PM_Quantity[Location],RM_PM_Quantity[Quantity],BW$1,RM_PM_Quantity[ID],"MIDC/Pre-Production",RM_PM_Quantity[Name of Supervisor],$C26,RM_PM_Quantity[Date],$E26),0)</f>
        <v>0</v>
      </c>
      <c r="BX26" s="84">
        <f>SUMIFS(RM_PM_Quantity[Section],RM_PM_Quantity[ID],BX$1,RM_PM_Quantity[Name of Supervisor],$D26,RM_PM_Quantity[Date],$C26,RM_PM_Quantity[Location],$E26)+IF($D26="MIND/Pre-Production",SUMIFS(RM_PM_Quantity[Section],RM_PM_Quantity[ID],BX$1,RM_PM_Quantity[Name of Supervisor],"MIDC/Pre-Production",RM_PM_Quantity[Date],$C26,RM_PM_Quantity[Location],$E26),0)</f>
        <v>0</v>
      </c>
      <c r="BY26" s="84">
        <f>SUMIFS(RM_PM_Quantity[RM Name],RM_PM_Quantity[Name of Supervisor],BY$1,RM_PM_Quantity[Date],$D26,RM_PM_Quantity[Location],$C26,RM_PM_Quantity[Section],$E26)+IF($D26="MIND/Pre-Production",SUMIFS(RM_PM_Quantity[RM Name],RM_PM_Quantity[Name of Supervisor],BY$1,RM_PM_Quantity[Date],"MIDC/Pre-Production",RM_PM_Quantity[Location],$C26,RM_PM_Quantity[Section],$E26),0)</f>
        <v>0</v>
      </c>
    </row>
    <row r="27" spans="1:77" ht="45.75" customHeight="1">
      <c r="A27" s="79">
        <v>26</v>
      </c>
      <c r="B27" s="79" t="s">
        <v>84</v>
      </c>
      <c r="C27" s="80" t="s">
        <v>103</v>
      </c>
      <c r="D27" s="81" t="s">
        <v>54</v>
      </c>
      <c r="E27" s="82" t="s">
        <v>93</v>
      </c>
      <c r="F27" s="83" t="str">
        <f>IFERROR(_xlfn.XLOOKUP(B27,'[1]RM Tracker'!B:B,'[1]RM Tracker'!E:E),"0")</f>
        <v>0</v>
      </c>
      <c r="G27" s="85">
        <f t="shared" si="2"/>
        <v>15000</v>
      </c>
      <c r="H27" s="85">
        <f t="shared" si="0"/>
        <v>15000</v>
      </c>
      <c r="I27" s="91">
        <f t="shared" si="1"/>
        <v>0</v>
      </c>
      <c r="J27" s="84">
        <f>SUMIFS(RM_PM_Quantity[Quantity],RM_PM_Quantity[Date],J$1,RM_PM_Quantity[Location],$D27,RM_PM_Quantity[Section],$C27,RM_PM_Quantity[RM Name],$E27)+IF($D27="MIND/Pre-Production",SUMIFS(RM_PM_Quantity[Quantity],RM_PM_Quantity[Date],J$1,RM_PM_Quantity[Location],"MIDC/Pre-Production",RM_PM_Quantity[Section],$C27,RM_PM_Quantity[RM Name],$E27),0)</f>
        <v>0</v>
      </c>
      <c r="K27" s="84">
        <f>SUMIFS(RM_PM_Quantity[Quantity],RM_PM_Quantity[Date],K$1,RM_PM_Quantity[Location],$D27,RM_PM_Quantity[Section],$C27,RM_PM_Quantity[RM Name],$E27)+IF($D27="MIND/Pre-Production",SUMIFS(RM_PM_Quantity[Quantity],RM_PM_Quantity[Date],K$1,RM_PM_Quantity[Location],"MIDC/Pre-Production",RM_PM_Quantity[Section],$C27,RM_PM_Quantity[RM Name],$E27),0)</f>
        <v>0</v>
      </c>
      <c r="L27" s="84">
        <f>SUMIFS(RM_PM_Quantity[Quantity],RM_PM_Quantity[Date],L$1,RM_PM_Quantity[Location],$D27,RM_PM_Quantity[Section],$C27,RM_PM_Quantity[RM Name],$E27)+IF($D27="MIND/Pre-Production",SUMIFS(RM_PM_Quantity[Quantity],RM_PM_Quantity[Date],L$1,RM_PM_Quantity[Location],"MIDC/Pre-Production",RM_PM_Quantity[Section],$C27,RM_PM_Quantity[RM Name],$E27),0)</f>
        <v>0</v>
      </c>
      <c r="M27" s="84">
        <f>SUMIFS(RM_PM_Quantity[Quantity],RM_PM_Quantity[Date],M$1,RM_PM_Quantity[Location],$D27,RM_PM_Quantity[Section],$C27,RM_PM_Quantity[RM Name],$E27)+IF($D27="MIND/Pre-Production",SUMIFS(RM_PM_Quantity[Quantity],RM_PM_Quantity[Date],M$1,RM_PM_Quantity[Location],"MIDC/Pre-Production",RM_PM_Quantity[Section],$C27,RM_PM_Quantity[RM Name],$E27),0)</f>
        <v>0</v>
      </c>
      <c r="N27" s="84">
        <f>SUMIFS(RM_PM_Quantity[Quantity],RM_PM_Quantity[Date],N$1,RM_PM_Quantity[Location],$D27,RM_PM_Quantity[Section],$C27,RM_PM_Quantity[RM Name],$E27)+IF($D27="MIND/Pre-Production",SUMIFS(RM_PM_Quantity[Quantity],RM_PM_Quantity[Date],N$1,RM_PM_Quantity[Location],"MIDC/Pre-Production",RM_PM_Quantity[Section],$C27,RM_PM_Quantity[RM Name],$E27),0)</f>
        <v>24540</v>
      </c>
      <c r="O27" s="84">
        <f>SUMIFS(RM_PM_Quantity[Quantity],RM_PM_Quantity[Date],O$1,RM_PM_Quantity[Location],$D27,RM_PM_Quantity[Section],$C27,RM_PM_Quantity[RM Name],$E27)+IF($D27="MIND/Pre-Production",SUMIFS(RM_PM_Quantity[Quantity],RM_PM_Quantity[Date],O$1,RM_PM_Quantity[Location],"MIDC/Pre-Production",RM_PM_Quantity[Section],$C27,RM_PM_Quantity[RM Name],$E27),0)</f>
        <v>0</v>
      </c>
      <c r="P27" s="84">
        <f>SUMIFS(RM_PM_Quantity[Quantity],RM_PM_Quantity[Date],P$1,RM_PM_Quantity[Location],$D27,RM_PM_Quantity[Section],$C27,RM_PM_Quantity[RM Name],$E27)+IF($D27="MIND/Pre-Production",SUMIFS(RM_PM_Quantity[Quantity],RM_PM_Quantity[Date],P$1,RM_PM_Quantity[Location],"MIDC/Pre-Production",RM_PM_Quantity[Section],$C27,RM_PM_Quantity[RM Name],$E27),0)</f>
        <v>20000</v>
      </c>
      <c r="Q27" s="84">
        <f>SUMIFS(RM_PM_Quantity[Quantity],RM_PM_Quantity[Date],Q$1,RM_PM_Quantity[Location],$D27,RM_PM_Quantity[Section],$C27,RM_PM_Quantity[RM Name],$E27)+IF($D27="MIND/Pre-Production",SUMIFS(RM_PM_Quantity[Quantity],RM_PM_Quantity[Date],Q$1,RM_PM_Quantity[Location],"MIDC/Pre-Production",RM_PM_Quantity[Section],$C27,RM_PM_Quantity[RM Name],$E27),0)</f>
        <v>0</v>
      </c>
      <c r="R27" s="84">
        <f>SUMIFS(RM_PM_Quantity[Quantity],RM_PM_Quantity[Date],R$1,RM_PM_Quantity[Location],$D27,RM_PM_Quantity[Section],$C27,RM_PM_Quantity[RM Name],$E27)+IF($D27="MIND/Pre-Production",SUMIFS(RM_PM_Quantity[Quantity],RM_PM_Quantity[Date],R$1,RM_PM_Quantity[Location],"MIDC/Pre-Production",RM_PM_Quantity[Section],$C27,RM_PM_Quantity[RM Name],$E27),0)</f>
        <v>20000</v>
      </c>
      <c r="S27" s="84">
        <f>SUMIFS(RM_PM_Quantity[Quantity],RM_PM_Quantity[Date],S$1,RM_PM_Quantity[Location],$D27,RM_PM_Quantity[Section],$C27,RM_PM_Quantity[RM Name],$E27)+IF($D27="MIND/Pre-Production",SUMIFS(RM_PM_Quantity[Quantity],RM_PM_Quantity[Date],S$1,RM_PM_Quantity[Location],"MIDC/Pre-Production",RM_PM_Quantity[Section],$C27,RM_PM_Quantity[RM Name],$E27),0)</f>
        <v>0</v>
      </c>
      <c r="T27" s="84">
        <f>SUMIFS(RM_PM_Quantity[Quantity],RM_PM_Quantity[Date],T$1,RM_PM_Quantity[Location],$D27,RM_PM_Quantity[Section],$C27,RM_PM_Quantity[RM Name],$E27)+IF($D27="MIND/Pre-Production",SUMIFS(RM_PM_Quantity[Quantity],RM_PM_Quantity[Date],T$1,RM_PM_Quantity[Location],"MIDC/Pre-Production",RM_PM_Quantity[Section],$C27,RM_PM_Quantity[RM Name],$E27),0)</f>
        <v>42000</v>
      </c>
      <c r="U27" s="84">
        <f>SUMIFS(RM_PM_Quantity[Quantity],RM_PM_Quantity[Date],U$1,RM_PM_Quantity[Location],$D27,RM_PM_Quantity[Section],$C27,RM_PM_Quantity[RM Name],$E27)+IF($D27="MIND/Pre-Production",SUMIFS(RM_PM_Quantity[Quantity],RM_PM_Quantity[Date],U$1,RM_PM_Quantity[Location],"MIDC/Pre-Production",RM_PM_Quantity[Section],$C27,RM_PM_Quantity[RM Name],$E27),0)</f>
        <v>0</v>
      </c>
      <c r="V27" s="84">
        <f>SUMIFS(RM_PM_Quantity[Quantity],RM_PM_Quantity[Date],V$1,RM_PM_Quantity[Location],$D27,RM_PM_Quantity[Section],$C27,RM_PM_Quantity[RM Name],$E27)+IF($D27="MIND/Pre-Production",SUMIFS(RM_PM_Quantity[Quantity],RM_PM_Quantity[Date],V$1,RM_PM_Quantity[Location],"MIDC/Pre-Production",RM_PM_Quantity[Section],$C27,RM_PM_Quantity[RM Name],$E27),0)</f>
        <v>0</v>
      </c>
      <c r="W27" s="84">
        <f>SUMIFS(RM_PM_Quantity[Quantity],RM_PM_Quantity[Date],W$1,RM_PM_Quantity[Location],$D27,RM_PM_Quantity[Section],$C27,RM_PM_Quantity[RM Name],$E27)+IF($D27="MIND/Pre-Production",SUMIFS(RM_PM_Quantity[Quantity],RM_PM_Quantity[Date],W$1,RM_PM_Quantity[Location],"MIDC/Pre-Production",RM_PM_Quantity[Section],$C27,RM_PM_Quantity[RM Name],$E27),0)</f>
        <v>0</v>
      </c>
      <c r="X27" s="84">
        <f>SUMIFS(RM_PM_Quantity[Quantity],RM_PM_Quantity[Date],X$1,RM_PM_Quantity[Location],$D27,RM_PM_Quantity[Section],$C27,RM_PM_Quantity[RM Name],$E27)+IF($D27="MIND/Pre-Production",SUMIFS(RM_PM_Quantity[Quantity],RM_PM_Quantity[Date],X$1,RM_PM_Quantity[Location],"MIDC/Pre-Production",RM_PM_Quantity[Section],$C27,RM_PM_Quantity[RM Name],$E27),0)</f>
        <v>0</v>
      </c>
      <c r="Y27" s="84">
        <f>SUMIFS(RM_PM_Quantity[Quantity],RM_PM_Quantity[Date],Y$1,RM_PM_Quantity[Location],$D27,RM_PM_Quantity[Section],$C27,RM_PM_Quantity[RM Name],$E27)+IF($D27="MIND/Pre-Production",SUMIFS(RM_PM_Quantity[Quantity],RM_PM_Quantity[Date],Y$1,RM_PM_Quantity[Location],"MIDC/Pre-Production",RM_PM_Quantity[Section],$C27,RM_PM_Quantity[RM Name],$E27),0)</f>
        <v>0</v>
      </c>
      <c r="Z27" s="84">
        <f>SUMIFS(RM_PM_Quantity[Quantity],RM_PM_Quantity[Date],Z$1,RM_PM_Quantity[Location],$D27,RM_PM_Quantity[Section],$C27,RM_PM_Quantity[RM Name],$E27)+IF($D27="MIND/Pre-Production",SUMIFS(RM_PM_Quantity[Quantity],RM_PM_Quantity[Date],Z$1,RM_PM_Quantity[Location],"MIDC/Pre-Production",RM_PM_Quantity[Section],$C27,RM_PM_Quantity[RM Name],$E27),0)</f>
        <v>0</v>
      </c>
      <c r="AA27" s="84">
        <f>SUMIFS(RM_PM_Quantity[Quantity],RM_PM_Quantity[Date],AA$1,RM_PM_Quantity[Location],$D27,RM_PM_Quantity[Section],$C27,RM_PM_Quantity[RM Name],$E27)+IF($D27="MIND/Pre-Production",SUMIFS(RM_PM_Quantity[Quantity],RM_PM_Quantity[Date],AA$1,RM_PM_Quantity[Location],"MIDC/Pre-Production",RM_PM_Quantity[Section],$C27,RM_PM_Quantity[RM Name],$E27),0)</f>
        <v>0</v>
      </c>
      <c r="AB27" s="84">
        <f>SUMIFS(RM_PM_Quantity[Quantity],RM_PM_Quantity[Date],AB$1,RM_PM_Quantity[Location],$D27,RM_PM_Quantity[Section],$C27,RM_PM_Quantity[RM Name],$E27)+IF($D27="MIND/Pre-Production",SUMIFS(RM_PM_Quantity[Quantity],RM_PM_Quantity[Date],AB$1,RM_PM_Quantity[Location],"MIDC/Pre-Production",RM_PM_Quantity[Section],$C27,RM_PM_Quantity[RM Name],$E27),0)</f>
        <v>16500</v>
      </c>
      <c r="AC27" s="84">
        <f>SUMIFS(RM_PM_Quantity[Quantity],RM_PM_Quantity[Date],AC$1,RM_PM_Quantity[Location],$D27,RM_PM_Quantity[Section],$C27,RM_PM_Quantity[RM Name],$E27)+IF($D27="MIND/Pre-Production",SUMIFS(RM_PM_Quantity[Quantity],RM_PM_Quantity[Date],AC$1,RM_PM_Quantity[Location],"MIDC/Pre-Production",RM_PM_Quantity[Section],$C27,RM_PM_Quantity[RM Name],$E27),0)</f>
        <v>9000</v>
      </c>
      <c r="AD27" s="84">
        <f>SUMIFS(RM_PM_Quantity[Quantity],RM_PM_Quantity[Date],AD$1,RM_PM_Quantity[Location],$D27,RM_PM_Quantity[Section],$C27,RM_PM_Quantity[RM Name],$E27)+IF($D27="MIND/Pre-Production",SUMIFS(RM_PM_Quantity[Quantity],RM_PM_Quantity[Date],AD$1,RM_PM_Quantity[Location],"MIDC/Pre-Production",RM_PM_Quantity[Section],$C27,RM_PM_Quantity[RM Name],$E27),0)</f>
        <v>0</v>
      </c>
      <c r="AE27" s="84">
        <f>SUMIFS(RM_PM_Quantity[Quantity],RM_PM_Quantity[Date],AE$1,RM_PM_Quantity[Location],$D27,RM_PM_Quantity[Section],$C27,RM_PM_Quantity[RM Name],$E27)+IF($D27="MIND/Pre-Production",SUMIFS(RM_PM_Quantity[Quantity],RM_PM_Quantity[Date],AE$1,RM_PM_Quantity[Location],"MIDC/Pre-Production",RM_PM_Quantity[Section],$C27,RM_PM_Quantity[RM Name],$E27),0)</f>
        <v>0</v>
      </c>
      <c r="AF27" s="84">
        <f>SUMIFS(RM_PM_Quantity[Quantity],RM_PM_Quantity[Date],AF$1,RM_PM_Quantity[Location],$D27,RM_PM_Quantity[Section],$C27,RM_PM_Quantity[RM Name],$E27)+IF($D27="MIND/Pre-Production",SUMIFS(RM_PM_Quantity[Quantity],RM_PM_Quantity[Date],AF$1,RM_PM_Quantity[Location],"MIDC/Pre-Production",RM_PM_Quantity[Section],$C27,RM_PM_Quantity[RM Name],$E27),0)</f>
        <v>10000</v>
      </c>
      <c r="AG27" s="84">
        <f>SUMIFS(RM_PM_Quantity[Quantity],RM_PM_Quantity[Date],AG$1,RM_PM_Quantity[Location],$D27,RM_PM_Quantity[Section],$C27,RM_PM_Quantity[RM Name],$E27)+IF($D27="MIND/Pre-Production",SUMIFS(RM_PM_Quantity[Quantity],RM_PM_Quantity[Date],AG$1,RM_PM_Quantity[Location],"MIDC/Pre-Production",RM_PM_Quantity[Section],$C27,RM_PM_Quantity[RM Name],$E27),0)</f>
        <v>0</v>
      </c>
      <c r="AH27" s="84">
        <f>SUMIFS(RM_PM_Quantity[Quantity],RM_PM_Quantity[Date],AH$1,RM_PM_Quantity[Location],$D27,RM_PM_Quantity[Section],$C27,RM_PM_Quantity[RM Name],$E27)+IF($D27="MIND/Pre-Production",SUMIFS(RM_PM_Quantity[Quantity],RM_PM_Quantity[Date],AH$1,RM_PM_Quantity[Location],"MIDC/Pre-Production",RM_PM_Quantity[Section],$C27,RM_PM_Quantity[RM Name],$E27),0)</f>
        <v>22000</v>
      </c>
      <c r="AI27" s="84">
        <f>SUMIFS(RM_PM_Quantity[Quantity],RM_PM_Quantity[Date],AI$1,RM_PM_Quantity[Location],$D27,RM_PM_Quantity[Section],$C27,RM_PM_Quantity[RM Name],$E27)+IF($D27="MIND/Pre-Production",SUMIFS(RM_PM_Quantity[Quantity],RM_PM_Quantity[Date],AI$1,RM_PM_Quantity[Location],"MIDC/Pre-Production",RM_PM_Quantity[Section],$C27,RM_PM_Quantity[RM Name],$E27),0)</f>
        <v>0</v>
      </c>
      <c r="AJ27" s="84">
        <f>SUMIFS(RM_PM_Quantity[Quantity],RM_PM_Quantity[Date],AJ$1,RM_PM_Quantity[Location],$D27,RM_PM_Quantity[Section],$C27,RM_PM_Quantity[RM Name],$E27)+IF($D27="MIND/Pre-Production",SUMIFS(RM_PM_Quantity[Quantity],RM_PM_Quantity[Date],AJ$1,RM_PM_Quantity[Location],"MIDC/Pre-Production",RM_PM_Quantity[Section],$C27,RM_PM_Quantity[RM Name],$E27),0)</f>
        <v>0</v>
      </c>
      <c r="AK27" s="84">
        <f>SUMIFS(RM_PM_Quantity[Quantity],RM_PM_Quantity[Date],AK$1,RM_PM_Quantity[Location],$D27,RM_PM_Quantity[Section],$C27,RM_PM_Quantity[RM Name],$E27)+IF($D27="MIND/Pre-Production",SUMIFS(RM_PM_Quantity[Quantity],RM_PM_Quantity[Date],AK$1,RM_PM_Quantity[Location],"MIDC/Pre-Production",RM_PM_Quantity[Section],$C27,RM_PM_Quantity[RM Name],$E27),0)</f>
        <v>0</v>
      </c>
      <c r="AL27" s="84">
        <f>SUMIFS(RM_PM_Quantity[Quantity],RM_PM_Quantity[Date],AL$1,RM_PM_Quantity[Location],$D27,RM_PM_Quantity[Section],$C27,RM_PM_Quantity[RM Name],$E27)+IF($D27="MIND/Pre-Production",SUMIFS(RM_PM_Quantity[Quantity],RM_PM_Quantity[Date],AL$1,RM_PM_Quantity[Location],"MIDC/Pre-Production",RM_PM_Quantity[Section],$C27,RM_PM_Quantity[RM Name],$E27),0)</f>
        <v>0</v>
      </c>
      <c r="AM27" s="84">
        <f>SUMIFS(RM_PM_Quantity[Quantity],RM_PM_Quantity[Date],AM$1,RM_PM_Quantity[Location],$D27,RM_PM_Quantity[Section],$C27,RM_PM_Quantity[RM Name],$E27)+IF($D27="MIND/Pre-Production",SUMIFS(RM_PM_Quantity[Quantity],RM_PM_Quantity[Date],AM$1,RM_PM_Quantity[Location],"MIDC/Pre-Production",RM_PM_Quantity[Section],$C27,RM_PM_Quantity[RM Name],$E27),0)</f>
        <v>0</v>
      </c>
      <c r="AN27" s="84">
        <f>SUMIFS(RM_PM_Quantity[Quantity],RM_PM_Quantity[Date],AN$1,RM_PM_Quantity[Location],$D27,RM_PM_Quantity[Section],$C27,RM_PM_Quantity[RM Name],$E27)+IF($D27="MIND/Pre-Production",SUMIFS(RM_PM_Quantity[Quantity],RM_PM_Quantity[Date],AN$1,RM_PM_Quantity[Location],"MIDC/Pre-Production",RM_PM_Quantity[Section],$C27,RM_PM_Quantity[RM Name],$E27),0)</f>
        <v>0</v>
      </c>
      <c r="AO27" s="84">
        <f>SUMIFS(RM_PM_Quantity[Quantity],RM_PM_Quantity[Date],AO$1,RM_PM_Quantity[Location],$D27,RM_PM_Quantity[Section],$C27,RM_PM_Quantity[RM Name],$E27)+IF($D27="MIND/Pre-Production",SUMIFS(RM_PM_Quantity[Quantity],RM_PM_Quantity[Date],AO$1,RM_PM_Quantity[Location],"MIDC/Pre-Production",RM_PM_Quantity[Section],$C27,RM_PM_Quantity[RM Name],$E27),0)</f>
        <v>0</v>
      </c>
      <c r="AP27" s="84">
        <f>SUMIFS(RM_PM_Quantity[Quantity],RM_PM_Quantity[Date],AP$1,RM_PM_Quantity[Location],$D27,RM_PM_Quantity[Section],$C27,RM_PM_Quantity[RM Name],$E27)+IF($D27="MIND/Pre-Production",SUMIFS(RM_PM_Quantity[Quantity],RM_PM_Quantity[Date],AP$1,RM_PM_Quantity[Location],"MIDC/Pre-Production",RM_PM_Quantity[Section],$C27,RM_PM_Quantity[RM Name],$E27),0)</f>
        <v>0</v>
      </c>
      <c r="AQ27" s="84">
        <f>SUMIFS(RM_PM_Quantity[Quantity],RM_PM_Quantity[Date],AQ$1,RM_PM_Quantity[Location],$D27,RM_PM_Quantity[Section],$C27,RM_PM_Quantity[RM Name],$E27)+IF($D27="MIND/Pre-Production",SUMIFS(RM_PM_Quantity[Quantity],RM_PM_Quantity[Date],AQ$1,RM_PM_Quantity[Location],"MIDC/Pre-Production",RM_PM_Quantity[Section],$C27,RM_PM_Quantity[RM Name],$E27),0)</f>
        <v>0</v>
      </c>
      <c r="AR27" s="84">
        <f>SUMIFS(RM_PM_Quantity[Quantity],RM_PM_Quantity[Date],AR$1,RM_PM_Quantity[Location],$D27,RM_PM_Quantity[Section],$C27,RM_PM_Quantity[RM Name],$E27)+IF($D27="MIND/Pre-Production",SUMIFS(RM_PM_Quantity[Quantity],RM_PM_Quantity[Date],AR$1,RM_PM_Quantity[Location],"MIDC/Pre-Production",RM_PM_Quantity[Section],$C27,RM_PM_Quantity[RM Name],$E27),0)</f>
        <v>0</v>
      </c>
      <c r="AS27" s="84">
        <f>SUMIFS(RM_PM_Quantity[Quantity],RM_PM_Quantity[Date],AS$1,RM_PM_Quantity[Location],$D27,RM_PM_Quantity[Section],$C27,RM_PM_Quantity[RM Name],$E27)+IF($D27="MIND/Pre-Production",SUMIFS(RM_PM_Quantity[Quantity],RM_PM_Quantity[Date],AS$1,RM_PM_Quantity[Location],"MIDC/Pre-Production",RM_PM_Quantity[Section],$C27,RM_PM_Quantity[RM Name],$E27),0)</f>
        <v>0</v>
      </c>
      <c r="AT27" s="84">
        <f>SUMIFS(RM_PM_Quantity[Quantity],RM_PM_Quantity[Date],AT$1,RM_PM_Quantity[Location],$D27,RM_PM_Quantity[Section],$C27,RM_PM_Quantity[RM Name],$E27)+IF($D27="MIND/Pre-Production",SUMIFS(RM_PM_Quantity[Quantity],RM_PM_Quantity[Date],AT$1,RM_PM_Quantity[Location],"MIDC/Pre-Production",RM_PM_Quantity[Section],$C27,RM_PM_Quantity[RM Name],$E27),0)</f>
        <v>0</v>
      </c>
      <c r="AU27" s="84">
        <f>SUMIFS(RM_PM_Quantity[Quantity],RM_PM_Quantity[Date],AU$1,RM_PM_Quantity[Location],$D27,RM_PM_Quantity[Section],$C27,RM_PM_Quantity[RM Name],$E27)+IF($D27="MIND/Pre-Production",SUMIFS(RM_PM_Quantity[Quantity],RM_PM_Quantity[Date],AU$1,RM_PM_Quantity[Location],"MIDC/Pre-Production",RM_PM_Quantity[Section],$C27,RM_PM_Quantity[RM Name],$E27),0)</f>
        <v>16850</v>
      </c>
      <c r="AV27" s="84">
        <f>SUMIFS(RM_PM_Quantity[Quantity],RM_PM_Quantity[Date],AV$1,RM_PM_Quantity[Location],$D27,RM_PM_Quantity[Section],$C27,RM_PM_Quantity[RM Name],$E27)+IF($D27="MIND/Pre-Production",SUMIFS(RM_PM_Quantity[Quantity],RM_PM_Quantity[Date],AV$1,RM_PM_Quantity[Location],"MIDC/Pre-Production",RM_PM_Quantity[Section],$C27,RM_PM_Quantity[RM Name],$E27),0)</f>
        <v>15000</v>
      </c>
      <c r="AW27" s="84">
        <f>SUMIFS(RM_PM_Quantity[Quantity],RM_PM_Quantity[Date],AW$1,RM_PM_Quantity[Location],$D27,RM_PM_Quantity[Section],$C27,RM_PM_Quantity[RM Name],$E27)+IF($D27="MIND/Pre-Production",SUMIFS(RM_PM_Quantity[Quantity],RM_PM_Quantity[Date],AW$1,RM_PM_Quantity[Location],"MIDC/Pre-Production",RM_PM_Quantity[Section],$C27,RM_PM_Quantity[RM Name],$E27),0)</f>
        <v>0</v>
      </c>
      <c r="AX27" s="84">
        <f>SUMIFS(RM_PM_Quantity[Quantity],RM_PM_Quantity[Date],AX$1,RM_PM_Quantity[Location],$D27,RM_PM_Quantity[Section],$C27,RM_PM_Quantity[RM Name],$E27)+IF($D27="MIND/Pre-Production",SUMIFS(RM_PM_Quantity[Quantity],RM_PM_Quantity[Date],AX$1,RM_PM_Quantity[Location],"MIDC/Pre-Production",RM_PM_Quantity[Section],$C27,RM_PM_Quantity[RM Name],$E27),0)</f>
        <v>0</v>
      </c>
      <c r="AY27" s="84">
        <f>SUMIFS(RM_PM_Quantity[Quantity],RM_PM_Quantity[Date],AY$1,RM_PM_Quantity[Location],$D27,RM_PM_Quantity[Section],$C27,RM_PM_Quantity[RM Name],$E27)+IF($D27="MIND/Pre-Production",SUMIFS(RM_PM_Quantity[Quantity],RM_PM_Quantity[Date],AY$1,RM_PM_Quantity[Location],"MIDC/Pre-Production",RM_PM_Quantity[Section],$C27,RM_PM_Quantity[RM Name],$E27),0)</f>
        <v>0</v>
      </c>
      <c r="AZ27" s="84">
        <f>SUMIFS(RM_PM_Quantity[Quantity],RM_PM_Quantity[Date],AZ$1,RM_PM_Quantity[Location],$D27,RM_PM_Quantity[Section],$C27,RM_PM_Quantity[RM Name],$E27)+IF($D27="MIND/Pre-Production",SUMIFS(RM_PM_Quantity[Quantity],RM_PM_Quantity[Date],AZ$1,RM_PM_Quantity[Location],"MIDC/Pre-Production",RM_PM_Quantity[Section],$C27,RM_PM_Quantity[RM Name],$E27),0)</f>
        <v>0</v>
      </c>
      <c r="BA27" s="84">
        <f>SUMIFS(RM_PM_Quantity[Quantity],RM_PM_Quantity[Date],BA$1,RM_PM_Quantity[Location],$D27,RM_PM_Quantity[Section],$C27,RM_PM_Quantity[RM Name],$E27)+IF($D27="MIND/Pre-Production",SUMIFS(RM_PM_Quantity[Quantity],RM_PM_Quantity[Date],BA$1,RM_PM_Quantity[Location],"MIDC/Pre-Production",RM_PM_Quantity[Section],$C27,RM_PM_Quantity[RM Name],$E27),0)</f>
        <v>0</v>
      </c>
      <c r="BB27" s="84">
        <f>SUMIFS(RM_PM_Quantity[Quantity],RM_PM_Quantity[Date],BB$1,RM_PM_Quantity[Location],$D27,RM_PM_Quantity[Section],$C27,RM_PM_Quantity[RM Name],$E27)+IF($D27="MIND/Pre-Production",SUMIFS(RM_PM_Quantity[Quantity],RM_PM_Quantity[Date],BB$1,RM_PM_Quantity[Location],"MIDC/Pre-Production",RM_PM_Quantity[Section],$C27,RM_PM_Quantity[RM Name],$E27),0)</f>
        <v>0</v>
      </c>
      <c r="BC27" s="84">
        <f>SUMIFS(RM_PM_Quantity[Quantity],RM_PM_Quantity[Date],BC$1,RM_PM_Quantity[Location],$D27,RM_PM_Quantity[Section],$C27,RM_PM_Quantity[RM Name],$E27)+IF($D27="MIND/Pre-Production",SUMIFS(RM_PM_Quantity[Quantity],RM_PM_Quantity[Date],BC$1,RM_PM_Quantity[Location],"MIDC/Pre-Production",RM_PM_Quantity[Section],$C27,RM_PM_Quantity[RM Name],$E27),0)</f>
        <v>0</v>
      </c>
      <c r="BD27" s="84">
        <f>SUMIFS(RM_PM_Quantity[Quantity],RM_PM_Quantity[Date],BD$1,RM_PM_Quantity[Location],$D27,RM_PM_Quantity[Section],$C27,RM_PM_Quantity[RM Name],$E27)+IF($D27="MIND/Pre-Production",SUMIFS(RM_PM_Quantity[Quantity],RM_PM_Quantity[Date],BD$1,RM_PM_Quantity[Location],"MIDC/Pre-Production",RM_PM_Quantity[Section],$C27,RM_PM_Quantity[RM Name],$E27),0)</f>
        <v>0</v>
      </c>
      <c r="BE27" s="84">
        <f>SUMIFS(RM_PM_Quantity[Quantity],RM_PM_Quantity[Date],BE$1,RM_PM_Quantity[Location],$D27,RM_PM_Quantity[Section],$C27,RM_PM_Quantity[RM Name],$E27)+IF($D27="MIND/Pre-Production",SUMIFS(RM_PM_Quantity[Quantity],RM_PM_Quantity[Date],BE$1,RM_PM_Quantity[Location],"MIDC/Pre-Production",RM_PM_Quantity[Section],$C27,RM_PM_Quantity[RM Name],$E27),0)</f>
        <v>0</v>
      </c>
      <c r="BF27" s="84">
        <f>SUMIFS(RM_PM_Quantity[Quantity],RM_PM_Quantity[Date],BF$1,RM_PM_Quantity[Location],$D27,RM_PM_Quantity[Section],$C27,RM_PM_Quantity[RM Name],$E27)+IF($D27="MIND/Pre-Production",SUMIFS(RM_PM_Quantity[Quantity],RM_PM_Quantity[Date],BF$1,RM_PM_Quantity[Location],"MIDC/Pre-Production",RM_PM_Quantity[Section],$C27,RM_PM_Quantity[RM Name],$E27),0)</f>
        <v>0</v>
      </c>
      <c r="BG27" s="84">
        <f>SUMIFS(RM_PM_Quantity[Quantity],RM_PM_Quantity[Date],BG$1,RM_PM_Quantity[Location],$D27,RM_PM_Quantity[Section],$C27,RM_PM_Quantity[RM Name],$E27)+IF($D27="MIND/Pre-Production",SUMIFS(RM_PM_Quantity[Quantity],RM_PM_Quantity[Date],BG$1,RM_PM_Quantity[Location],"MIDC/Pre-Production",RM_PM_Quantity[Section],$C27,RM_PM_Quantity[RM Name],$E27),0)</f>
        <v>0</v>
      </c>
      <c r="BH27" s="84">
        <f>SUMIFS(RM_PM_Quantity[Quantity],RM_PM_Quantity[Date],BH$1,RM_PM_Quantity[Location],$D27,RM_PM_Quantity[Section],$C27,RM_PM_Quantity[RM Name],$E27)+IF($D27="MIND/Pre-Production",SUMIFS(RM_PM_Quantity[Quantity],RM_PM_Quantity[Date],BH$1,RM_PM_Quantity[Location],"MIDC/Pre-Production",RM_PM_Quantity[Section],$C27,RM_PM_Quantity[RM Name],$E27),0)</f>
        <v>0</v>
      </c>
      <c r="BI27" s="84">
        <f>SUMIFS(RM_PM_Quantity[Quantity],RM_PM_Quantity[Date],BI$1,RM_PM_Quantity[Location],$D27,RM_PM_Quantity[Section],$C27,RM_PM_Quantity[RM Name],$E27)+IF($D27="MIND/Pre-Production",SUMIFS(RM_PM_Quantity[Quantity],RM_PM_Quantity[Date],BI$1,RM_PM_Quantity[Location],"MIDC/Pre-Production",RM_PM_Quantity[Section],$C27,RM_PM_Quantity[RM Name],$E27),0)</f>
        <v>0</v>
      </c>
      <c r="BJ27" s="84">
        <f>SUMIFS(RM_PM_Quantity[Quantity],RM_PM_Quantity[Date],BJ$1,RM_PM_Quantity[Location],$D27,RM_PM_Quantity[Section],$C27,RM_PM_Quantity[RM Name],$E27)+IF($D27="MIND/Pre-Production",SUMIFS(RM_PM_Quantity[Quantity],RM_PM_Quantity[Date],BJ$1,RM_PM_Quantity[Location],"MIDC/Pre-Production",RM_PM_Quantity[Section],$C27,RM_PM_Quantity[RM Name],$E27),0)</f>
        <v>0</v>
      </c>
      <c r="BK27" s="84">
        <f>SUMIFS(RM_PM_Quantity[Quantity],RM_PM_Quantity[Date],BK$1,RM_PM_Quantity[Location],$D27,RM_PM_Quantity[Section],$C27,RM_PM_Quantity[RM Name],$E27)+IF($D27="MIND/Pre-Production",SUMIFS(RM_PM_Quantity[Quantity],RM_PM_Quantity[Date],BK$1,RM_PM_Quantity[Location],"MIDC/Pre-Production",RM_PM_Quantity[Section],$C27,RM_PM_Quantity[RM Name],$E27),0)</f>
        <v>0</v>
      </c>
      <c r="BL27" s="84">
        <f>SUMIFS(RM_PM_Quantity[Quantity],RM_PM_Quantity[Date],BL$1,RM_PM_Quantity[Location],$D27,RM_PM_Quantity[Section],$C27,RM_PM_Quantity[RM Name],$E27)+IF($D27="MIND/Pre-Production",SUMIFS(RM_PM_Quantity[Quantity],RM_PM_Quantity[Date],BL$1,RM_PM_Quantity[Location],"MIDC/Pre-Production",RM_PM_Quantity[Section],$C27,RM_PM_Quantity[RM Name],$E27),0)</f>
        <v>0</v>
      </c>
      <c r="BM27" s="84">
        <f>SUMIFS(RM_PM_Quantity[Quantity],RM_PM_Quantity[Date],BM$1,RM_PM_Quantity[Location],$D27,RM_PM_Quantity[Section],$C27,RM_PM_Quantity[RM Name],$E27)+IF($D27="MIND/Pre-Production",SUMIFS(RM_PM_Quantity[Quantity],RM_PM_Quantity[Date],BM$1,RM_PM_Quantity[Location],"MIDC/Pre-Production",RM_PM_Quantity[Section],$C27,RM_PM_Quantity[RM Name],$E27),0)</f>
        <v>0</v>
      </c>
      <c r="BN27" s="84">
        <f>SUMIFS(RM_PM_Quantity[Quantity],RM_PM_Quantity[Date],BN$1,RM_PM_Quantity[Location],$D27,RM_PM_Quantity[Section],$C27,RM_PM_Quantity[RM Name],$E27)+IF($D27="MIND/Pre-Production",SUMIFS(RM_PM_Quantity[Quantity],RM_PM_Quantity[Date],BN$1,RM_PM_Quantity[Location],"MIDC/Pre-Production",RM_PM_Quantity[Section],$C27,RM_PM_Quantity[RM Name],$E27),0)</f>
        <v>0</v>
      </c>
      <c r="BO27" s="84">
        <f>SUMIFS(RM_PM_Quantity[Quantity],RM_PM_Quantity[Date],BO$1,RM_PM_Quantity[Location],$D27,RM_PM_Quantity[Section],$C27,RM_PM_Quantity[RM Name],$E27)+IF($D27="MIND/Pre-Production",SUMIFS(RM_PM_Quantity[Quantity],RM_PM_Quantity[Date],BO$1,RM_PM_Quantity[Location],"MIDC/Pre-Production",RM_PM_Quantity[Section],$C27,RM_PM_Quantity[RM Name],$E27),0)</f>
        <v>0</v>
      </c>
      <c r="BP27" s="84">
        <f>SUMIFS(RM_PM_Quantity[Quantity],RM_PM_Quantity[Date],BP$1,RM_PM_Quantity[Location],$D27,RM_PM_Quantity[Section],$C27,RM_PM_Quantity[RM Name],$E27)+IF($D27="MIND/Pre-Production",SUMIFS(RM_PM_Quantity[Quantity],RM_PM_Quantity[Date],BP$1,RM_PM_Quantity[Location],"MIDC/Pre-Production",RM_PM_Quantity[Section],$C27,RM_PM_Quantity[RM Name],$E27),0)</f>
        <v>0</v>
      </c>
      <c r="BQ27" s="84">
        <f>SUMIFS(RM_PM_Quantity[Quantity],RM_PM_Quantity[Date],BQ$1,RM_PM_Quantity[Location],$D27,RM_PM_Quantity[Section],$C27,RM_PM_Quantity[RM Name],$E27)+IF($D27="MIND/Pre-Production",SUMIFS(RM_PM_Quantity[Quantity],RM_PM_Quantity[Date],BQ$1,RM_PM_Quantity[Location],"MIDC/Pre-Production",RM_PM_Quantity[Section],$C27,RM_PM_Quantity[RM Name],$E27),0)</f>
        <v>0</v>
      </c>
      <c r="BR27" s="84">
        <f>SUMIFS(RM_PM_Quantity[Quantity],RM_PM_Quantity[Date],BR$1,RM_PM_Quantity[Location],$D27,RM_PM_Quantity[Section],$C27,RM_PM_Quantity[RM Name],$E27)+IF($D27="MIND/Pre-Production",SUMIFS(RM_PM_Quantity[Quantity],RM_PM_Quantity[Date],BR$1,RM_PM_Quantity[Location],"MIDC/Pre-Production",RM_PM_Quantity[Section],$C27,RM_PM_Quantity[RM Name],$E27),0)</f>
        <v>0</v>
      </c>
      <c r="BS27" s="84">
        <f>SUMIFS(RM_PM_Quantity[Quantity],RM_PM_Quantity[Date],BS$1,RM_PM_Quantity[Location],$D27,RM_PM_Quantity[Section],$C27,RM_PM_Quantity[RM Name],$E27)+IF($D27="MIND/Pre-Production",SUMIFS(RM_PM_Quantity[Quantity],RM_PM_Quantity[Date],BS$1,RM_PM_Quantity[Location],"MIDC/Pre-Production",RM_PM_Quantity[Section],$C27,RM_PM_Quantity[RM Name],$E27),0)</f>
        <v>0</v>
      </c>
      <c r="BT27" s="84">
        <f>SUMIFS(RM_PM_Quantity[ID],RM_PM_Quantity[Location],BT$1,RM_PM_Quantity[Section],$D27,RM_PM_Quantity[RM Name],$C27,RM_PM_Quantity[Quantity],$E27)+IF($D27="MIND/Pre-Production",SUMIFS(RM_PM_Quantity[ID],RM_PM_Quantity[Location],BT$1,RM_PM_Quantity[Section],"MIDC/Pre-Production",RM_PM_Quantity[RM Name],$C27,RM_PM_Quantity[Quantity],$E27),0)</f>
        <v>0</v>
      </c>
      <c r="BU27" s="84">
        <f>SUMIFS(RM_PM_Quantity[Name of Supervisor],RM_PM_Quantity[Section],BU$1,RM_PM_Quantity[RM Name],$D27,RM_PM_Quantity[Quantity],$C27,RM_PM_Quantity[ID],$E27)+IF($D27="MIND/Pre-Production",SUMIFS(RM_PM_Quantity[Name of Supervisor],RM_PM_Quantity[Section],BU$1,RM_PM_Quantity[RM Name],"MIDC/Pre-Production",RM_PM_Quantity[Quantity],$C27,RM_PM_Quantity[ID],$E27),0)</f>
        <v>0</v>
      </c>
      <c r="BV27" s="84">
        <f>SUMIFS(RM_PM_Quantity[Date],RM_PM_Quantity[RM Name],BV$1,RM_PM_Quantity[Quantity],$D27,RM_PM_Quantity[ID],$C27,RM_PM_Quantity[Name of Supervisor],$E27)+IF($D27="MIND/Pre-Production",SUMIFS(RM_PM_Quantity[Date],RM_PM_Quantity[RM Name],BV$1,RM_PM_Quantity[Quantity],"MIDC/Pre-Production",RM_PM_Quantity[ID],$C27,RM_PM_Quantity[Name of Supervisor],$E27),0)</f>
        <v>0</v>
      </c>
      <c r="BW27" s="84">
        <f>SUMIFS(RM_PM_Quantity[Location],RM_PM_Quantity[Quantity],BW$1,RM_PM_Quantity[ID],$D27,RM_PM_Quantity[Name of Supervisor],$C27,RM_PM_Quantity[Date],$E27)+IF($D27="MIND/Pre-Production",SUMIFS(RM_PM_Quantity[Location],RM_PM_Quantity[Quantity],BW$1,RM_PM_Quantity[ID],"MIDC/Pre-Production",RM_PM_Quantity[Name of Supervisor],$C27,RM_PM_Quantity[Date],$E27),0)</f>
        <v>0</v>
      </c>
      <c r="BX27" s="84">
        <f>SUMIFS(RM_PM_Quantity[Section],RM_PM_Quantity[ID],BX$1,RM_PM_Quantity[Name of Supervisor],$D27,RM_PM_Quantity[Date],$C27,RM_PM_Quantity[Location],$E27)+IF($D27="MIND/Pre-Production",SUMIFS(RM_PM_Quantity[Section],RM_PM_Quantity[ID],BX$1,RM_PM_Quantity[Name of Supervisor],"MIDC/Pre-Production",RM_PM_Quantity[Date],$C27,RM_PM_Quantity[Location],$E27),0)</f>
        <v>0</v>
      </c>
      <c r="BY27" s="84">
        <f>SUMIFS(RM_PM_Quantity[RM Name],RM_PM_Quantity[Name of Supervisor],BY$1,RM_PM_Quantity[Date],$D27,RM_PM_Quantity[Location],$C27,RM_PM_Quantity[Section],$E27)+IF($D27="MIND/Pre-Production",SUMIFS(RM_PM_Quantity[RM Name],RM_PM_Quantity[Name of Supervisor],BY$1,RM_PM_Quantity[Date],"MIDC/Pre-Production",RM_PM_Quantity[Location],$C27,RM_PM_Quantity[Section],$E27),0)</f>
        <v>0</v>
      </c>
    </row>
    <row r="28" spans="1:77" ht="45.75" customHeight="1">
      <c r="A28" s="79">
        <v>27</v>
      </c>
      <c r="B28" s="87" t="s">
        <v>94</v>
      </c>
      <c r="C28" s="80" t="s">
        <v>103</v>
      </c>
      <c r="D28" s="81" t="s">
        <v>54</v>
      </c>
      <c r="E28" s="82" t="s">
        <v>95</v>
      </c>
      <c r="F28" s="83">
        <f>IFERROR(_xlfn.XLOOKUP(B28,'[1]RM Tracker'!B:B,'[1]RM Tracker'!E:E),"0")</f>
        <v>242.52000000000041</v>
      </c>
      <c r="G28" s="85">
        <f t="shared" si="2"/>
        <v>0</v>
      </c>
      <c r="H28" s="85">
        <f t="shared" si="0"/>
        <v>-242.52000000000041</v>
      </c>
      <c r="I28" s="91">
        <f t="shared" si="1"/>
        <v>0</v>
      </c>
      <c r="J28" s="84">
        <f>SUMIFS(RM_PM_Quantity[Quantity],RM_PM_Quantity[Date],J$1,RM_PM_Quantity[Location],$D28,RM_PM_Quantity[Section],$C28,RM_PM_Quantity[RM Name],$E28)+IF($D28="MIND/Pre-Production",SUMIFS(RM_PM_Quantity[Quantity],RM_PM_Quantity[Date],J$1,RM_PM_Quantity[Location],"MIDC/Pre-Production",RM_PM_Quantity[Section],$C28,RM_PM_Quantity[RM Name],$E28),0)</f>
        <v>0</v>
      </c>
      <c r="K28" s="84">
        <f>SUMIFS(RM_PM_Quantity[Quantity],RM_PM_Quantity[Date],K$1,RM_PM_Quantity[Location],$D28,RM_PM_Quantity[Section],$C28,RM_PM_Quantity[RM Name],$E28)+IF($D28="MIND/Pre-Production",SUMIFS(RM_PM_Quantity[Quantity],RM_PM_Quantity[Date],K$1,RM_PM_Quantity[Location],"MIDC/Pre-Production",RM_PM_Quantity[Section],$C28,RM_PM_Quantity[RM Name],$E28),0)</f>
        <v>0</v>
      </c>
      <c r="L28" s="84">
        <f>SUMIFS(RM_PM_Quantity[Quantity],RM_PM_Quantity[Date],L$1,RM_PM_Quantity[Location],$D28,RM_PM_Quantity[Section],$C28,RM_PM_Quantity[RM Name],$E28)+IF($D28="MIND/Pre-Production",SUMIFS(RM_PM_Quantity[Quantity],RM_PM_Quantity[Date],L$1,RM_PM_Quantity[Location],"MIDC/Pre-Production",RM_PM_Quantity[Section],$C28,RM_PM_Quantity[RM Name],$E28),0)</f>
        <v>0</v>
      </c>
      <c r="M28" s="84">
        <f>SUMIFS(RM_PM_Quantity[Quantity],RM_PM_Quantity[Date],M$1,RM_PM_Quantity[Location],$D28,RM_PM_Quantity[Section],$C28,RM_PM_Quantity[RM Name],$E28)+IF($D28="MIND/Pre-Production",SUMIFS(RM_PM_Quantity[Quantity],RM_PM_Quantity[Date],M$1,RM_PM_Quantity[Location],"MIDC/Pre-Production",RM_PM_Quantity[Section],$C28,RM_PM_Quantity[RM Name],$E28),0)</f>
        <v>0</v>
      </c>
      <c r="N28" s="84">
        <f>SUMIFS(RM_PM_Quantity[Quantity],RM_PM_Quantity[Date],N$1,RM_PM_Quantity[Location],$D28,RM_PM_Quantity[Section],$C28,RM_PM_Quantity[RM Name],$E28)+IF($D28="MIND/Pre-Production",SUMIFS(RM_PM_Quantity[Quantity],RM_PM_Quantity[Date],N$1,RM_PM_Quantity[Location],"MIDC/Pre-Production",RM_PM_Quantity[Section],$C28,RM_PM_Quantity[RM Name],$E28),0)</f>
        <v>0</v>
      </c>
      <c r="O28" s="84">
        <f>SUMIFS(RM_PM_Quantity[Quantity],RM_PM_Quantity[Date],O$1,RM_PM_Quantity[Location],$D28,RM_PM_Quantity[Section],$C28,RM_PM_Quantity[RM Name],$E28)+IF($D28="MIND/Pre-Production",SUMIFS(RM_PM_Quantity[Quantity],RM_PM_Quantity[Date],O$1,RM_PM_Quantity[Location],"MIDC/Pre-Production",RM_PM_Quantity[Section],$C28,RM_PM_Quantity[RM Name],$E28),0)</f>
        <v>0</v>
      </c>
      <c r="P28" s="84">
        <f>SUMIFS(RM_PM_Quantity[Quantity],RM_PM_Quantity[Date],P$1,RM_PM_Quantity[Location],$D28,RM_PM_Quantity[Section],$C28,RM_PM_Quantity[RM Name],$E28)+IF($D28="MIND/Pre-Production",SUMIFS(RM_PM_Quantity[Quantity],RM_PM_Quantity[Date],P$1,RM_PM_Quantity[Location],"MIDC/Pre-Production",RM_PM_Quantity[Section],$C28,RM_PM_Quantity[RM Name],$E28),0)</f>
        <v>0</v>
      </c>
      <c r="Q28" s="84">
        <f>SUMIFS(RM_PM_Quantity[Quantity],RM_PM_Quantity[Date],Q$1,RM_PM_Quantity[Location],$D28,RM_PM_Quantity[Section],$C28,RM_PM_Quantity[RM Name],$E28)+IF($D28="MIND/Pre-Production",SUMIFS(RM_PM_Quantity[Quantity],RM_PM_Quantity[Date],Q$1,RM_PM_Quantity[Location],"MIDC/Pre-Production",RM_PM_Quantity[Section],$C28,RM_PM_Quantity[RM Name],$E28),0)</f>
        <v>3000</v>
      </c>
      <c r="R28" s="84">
        <f>SUMIFS(RM_PM_Quantity[Quantity],RM_PM_Quantity[Date],R$1,RM_PM_Quantity[Location],$D28,RM_PM_Quantity[Section],$C28,RM_PM_Quantity[RM Name],$E28)+IF($D28="MIND/Pre-Production",SUMIFS(RM_PM_Quantity[Quantity],RM_PM_Quantity[Date],R$1,RM_PM_Quantity[Location],"MIDC/Pre-Production",RM_PM_Quantity[Section],$C28,RM_PM_Quantity[RM Name],$E28),0)</f>
        <v>0</v>
      </c>
      <c r="S28" s="84">
        <f>SUMIFS(RM_PM_Quantity[Quantity],RM_PM_Quantity[Date],S$1,RM_PM_Quantity[Location],$D28,RM_PM_Quantity[Section],$C28,RM_PM_Quantity[RM Name],$E28)+IF($D28="MIND/Pre-Production",SUMIFS(RM_PM_Quantity[Quantity],RM_PM_Quantity[Date],S$1,RM_PM_Quantity[Location],"MIDC/Pre-Production",RM_PM_Quantity[Section],$C28,RM_PM_Quantity[RM Name],$E28),0)</f>
        <v>0</v>
      </c>
      <c r="T28" s="84">
        <f>SUMIFS(RM_PM_Quantity[Quantity],RM_PM_Quantity[Date],T$1,RM_PM_Quantity[Location],$D28,RM_PM_Quantity[Section],$C28,RM_PM_Quantity[RM Name],$E28)+IF($D28="MIND/Pre-Production",SUMIFS(RM_PM_Quantity[Quantity],RM_PM_Quantity[Date],T$1,RM_PM_Quantity[Location],"MIDC/Pre-Production",RM_PM_Quantity[Section],$C28,RM_PM_Quantity[RM Name],$E28),0)</f>
        <v>0</v>
      </c>
      <c r="U28" s="84">
        <f>SUMIFS(RM_PM_Quantity[Quantity],RM_PM_Quantity[Date],U$1,RM_PM_Quantity[Location],$D28,RM_PM_Quantity[Section],$C28,RM_PM_Quantity[RM Name],$E28)+IF($D28="MIND/Pre-Production",SUMIFS(RM_PM_Quantity[Quantity],RM_PM_Quantity[Date],U$1,RM_PM_Quantity[Location],"MIDC/Pre-Production",RM_PM_Quantity[Section],$C28,RM_PM_Quantity[RM Name],$E28),0)</f>
        <v>2500</v>
      </c>
      <c r="V28" s="84">
        <f>SUMIFS(RM_PM_Quantity[Quantity],RM_PM_Quantity[Date],V$1,RM_PM_Quantity[Location],$D28,RM_PM_Quantity[Section],$C28,RM_PM_Quantity[RM Name],$E28)+IF($D28="MIND/Pre-Production",SUMIFS(RM_PM_Quantity[Quantity],RM_PM_Quantity[Date],V$1,RM_PM_Quantity[Location],"MIDC/Pre-Production",RM_PM_Quantity[Section],$C28,RM_PM_Quantity[RM Name],$E28),0)</f>
        <v>0</v>
      </c>
      <c r="W28" s="84">
        <f>SUMIFS(RM_PM_Quantity[Quantity],RM_PM_Quantity[Date],W$1,RM_PM_Quantity[Location],$D28,RM_PM_Quantity[Section],$C28,RM_PM_Quantity[RM Name],$E28)+IF($D28="MIND/Pre-Production",SUMIFS(RM_PM_Quantity[Quantity],RM_PM_Quantity[Date],W$1,RM_PM_Quantity[Location],"MIDC/Pre-Production",RM_PM_Quantity[Section],$C28,RM_PM_Quantity[RM Name],$E28),0)</f>
        <v>0</v>
      </c>
      <c r="X28" s="84">
        <f>SUMIFS(RM_PM_Quantity[Quantity],RM_PM_Quantity[Date],X$1,RM_PM_Quantity[Location],$D28,RM_PM_Quantity[Section],$C28,RM_PM_Quantity[RM Name],$E28)+IF($D28="MIND/Pre-Production",SUMIFS(RM_PM_Quantity[Quantity],RM_PM_Quantity[Date],X$1,RM_PM_Quantity[Location],"MIDC/Pre-Production",RM_PM_Quantity[Section],$C28,RM_PM_Quantity[RM Name],$E28),0)</f>
        <v>0</v>
      </c>
      <c r="Y28" s="84">
        <f>SUMIFS(RM_PM_Quantity[Quantity],RM_PM_Quantity[Date],Y$1,RM_PM_Quantity[Location],$D28,RM_PM_Quantity[Section],$C28,RM_PM_Quantity[RM Name],$E28)+IF($D28="MIND/Pre-Production",SUMIFS(RM_PM_Quantity[Quantity],RM_PM_Quantity[Date],Y$1,RM_PM_Quantity[Location],"MIDC/Pre-Production",RM_PM_Quantity[Section],$C28,RM_PM_Quantity[RM Name],$E28),0)</f>
        <v>0</v>
      </c>
      <c r="Z28" s="84">
        <f>SUMIFS(RM_PM_Quantity[Quantity],RM_PM_Quantity[Date],Z$1,RM_PM_Quantity[Location],$D28,RM_PM_Quantity[Section],$C28,RM_PM_Quantity[RM Name],$E28)+IF($D28="MIND/Pre-Production",SUMIFS(RM_PM_Quantity[Quantity],RM_PM_Quantity[Date],Z$1,RM_PM_Quantity[Location],"MIDC/Pre-Production",RM_PM_Quantity[Section],$C28,RM_PM_Quantity[RM Name],$E28),0)</f>
        <v>0</v>
      </c>
      <c r="AA28" s="84">
        <f>SUMIFS(RM_PM_Quantity[Quantity],RM_PM_Quantity[Date],AA$1,RM_PM_Quantity[Location],$D28,RM_PM_Quantity[Section],$C28,RM_PM_Quantity[RM Name],$E28)+IF($D28="MIND/Pre-Production",SUMIFS(RM_PM_Quantity[Quantity],RM_PM_Quantity[Date],AA$1,RM_PM_Quantity[Location],"MIDC/Pre-Production",RM_PM_Quantity[Section],$C28,RM_PM_Quantity[RM Name],$E28),0)</f>
        <v>2250</v>
      </c>
      <c r="AB28" s="84">
        <f>SUMIFS(RM_PM_Quantity[Quantity],RM_PM_Quantity[Date],AB$1,RM_PM_Quantity[Location],$D28,RM_PM_Quantity[Section],$C28,RM_PM_Quantity[RM Name],$E28)+IF($D28="MIND/Pre-Production",SUMIFS(RM_PM_Quantity[Quantity],RM_PM_Quantity[Date],AB$1,RM_PM_Quantity[Location],"MIDC/Pre-Production",RM_PM_Quantity[Section],$C28,RM_PM_Quantity[RM Name],$E28),0)</f>
        <v>0</v>
      </c>
      <c r="AC28" s="84">
        <f>SUMIFS(RM_PM_Quantity[Quantity],RM_PM_Quantity[Date],AC$1,RM_PM_Quantity[Location],$D28,RM_PM_Quantity[Section],$C28,RM_PM_Quantity[RM Name],$E28)+IF($D28="MIND/Pre-Production",SUMIFS(RM_PM_Quantity[Quantity],RM_PM_Quantity[Date],AC$1,RM_PM_Quantity[Location],"MIDC/Pre-Production",RM_PM_Quantity[Section],$C28,RM_PM_Quantity[RM Name],$E28),0)</f>
        <v>0</v>
      </c>
      <c r="AD28" s="84">
        <f>SUMIFS(RM_PM_Quantity[Quantity],RM_PM_Quantity[Date],AD$1,RM_PM_Quantity[Location],$D28,RM_PM_Quantity[Section],$C28,RM_PM_Quantity[RM Name],$E28)+IF($D28="MIND/Pre-Production",SUMIFS(RM_PM_Quantity[Quantity],RM_PM_Quantity[Date],AD$1,RM_PM_Quantity[Location],"MIDC/Pre-Production",RM_PM_Quantity[Section],$C28,RM_PM_Quantity[RM Name],$E28),0)</f>
        <v>0</v>
      </c>
      <c r="AE28" s="84">
        <f>SUMIFS(RM_PM_Quantity[Quantity],RM_PM_Quantity[Date],AE$1,RM_PM_Quantity[Location],$D28,RM_PM_Quantity[Section],$C28,RM_PM_Quantity[RM Name],$E28)+IF($D28="MIND/Pre-Production",SUMIFS(RM_PM_Quantity[Quantity],RM_PM_Quantity[Date],AE$1,RM_PM_Quantity[Location],"MIDC/Pre-Production",RM_PM_Quantity[Section],$C28,RM_PM_Quantity[RM Name],$E28),0)</f>
        <v>0</v>
      </c>
      <c r="AF28" s="84">
        <f>SUMIFS(RM_PM_Quantity[Quantity],RM_PM_Quantity[Date],AF$1,RM_PM_Quantity[Location],$D28,RM_PM_Quantity[Section],$C28,RM_PM_Quantity[RM Name],$E28)+IF($D28="MIND/Pre-Production",SUMIFS(RM_PM_Quantity[Quantity],RM_PM_Quantity[Date],AF$1,RM_PM_Quantity[Location],"MIDC/Pre-Production",RM_PM_Quantity[Section],$C28,RM_PM_Quantity[RM Name],$E28),0)</f>
        <v>0</v>
      </c>
      <c r="AG28" s="84">
        <f>SUMIFS(RM_PM_Quantity[Quantity],RM_PM_Quantity[Date],AG$1,RM_PM_Quantity[Location],$D28,RM_PM_Quantity[Section],$C28,RM_PM_Quantity[RM Name],$E28)+IF($D28="MIND/Pre-Production",SUMIFS(RM_PM_Quantity[Quantity],RM_PM_Quantity[Date],AG$1,RM_PM_Quantity[Location],"MIDC/Pre-Production",RM_PM_Quantity[Section],$C28,RM_PM_Quantity[RM Name],$E28),0)</f>
        <v>0</v>
      </c>
      <c r="AH28" s="84">
        <f>SUMIFS(RM_PM_Quantity[Quantity],RM_PM_Quantity[Date],AH$1,RM_PM_Quantity[Location],$D28,RM_PM_Quantity[Section],$C28,RM_PM_Quantity[RM Name],$E28)+IF($D28="MIND/Pre-Production",SUMIFS(RM_PM_Quantity[Quantity],RM_PM_Quantity[Date],AH$1,RM_PM_Quantity[Location],"MIDC/Pre-Production",RM_PM_Quantity[Section],$C28,RM_PM_Quantity[RM Name],$E28),0)</f>
        <v>0</v>
      </c>
      <c r="AI28" s="84">
        <f>SUMIFS(RM_PM_Quantity[Quantity],RM_PM_Quantity[Date],AI$1,RM_PM_Quantity[Location],$D28,RM_PM_Quantity[Section],$C28,RM_PM_Quantity[RM Name],$E28)+IF($D28="MIND/Pre-Production",SUMIFS(RM_PM_Quantity[Quantity],RM_PM_Quantity[Date],AI$1,RM_PM_Quantity[Location],"MIDC/Pre-Production",RM_PM_Quantity[Section],$C28,RM_PM_Quantity[RM Name],$E28),0)</f>
        <v>0</v>
      </c>
      <c r="AJ28" s="84">
        <f>SUMIFS(RM_PM_Quantity[Quantity],RM_PM_Quantity[Date],AJ$1,RM_PM_Quantity[Location],$D28,RM_PM_Quantity[Section],$C28,RM_PM_Quantity[RM Name],$E28)+IF($D28="MIND/Pre-Production",SUMIFS(RM_PM_Quantity[Quantity],RM_PM_Quantity[Date],AJ$1,RM_PM_Quantity[Location],"MIDC/Pre-Production",RM_PM_Quantity[Section],$C28,RM_PM_Quantity[RM Name],$E28),0)</f>
        <v>0</v>
      </c>
      <c r="AK28" s="84">
        <f>SUMIFS(RM_PM_Quantity[Quantity],RM_PM_Quantity[Date],AK$1,RM_PM_Quantity[Location],$D28,RM_PM_Quantity[Section],$C28,RM_PM_Quantity[RM Name],$E28)+IF($D28="MIND/Pre-Production",SUMIFS(RM_PM_Quantity[Quantity],RM_PM_Quantity[Date],AK$1,RM_PM_Quantity[Location],"MIDC/Pre-Production",RM_PM_Quantity[Section],$C28,RM_PM_Quantity[RM Name],$E28),0)</f>
        <v>0</v>
      </c>
      <c r="AL28" s="84">
        <f>SUMIFS(RM_PM_Quantity[Quantity],RM_PM_Quantity[Date],AL$1,RM_PM_Quantity[Location],$D28,RM_PM_Quantity[Section],$C28,RM_PM_Quantity[RM Name],$E28)+IF($D28="MIND/Pre-Production",SUMIFS(RM_PM_Quantity[Quantity],RM_PM_Quantity[Date],AL$1,RM_PM_Quantity[Location],"MIDC/Pre-Production",RM_PM_Quantity[Section],$C28,RM_PM_Quantity[RM Name],$E28),0)</f>
        <v>0</v>
      </c>
      <c r="AM28" s="84">
        <f>SUMIFS(RM_PM_Quantity[Quantity],RM_PM_Quantity[Date],AM$1,RM_PM_Quantity[Location],$D28,RM_PM_Quantity[Section],$C28,RM_PM_Quantity[RM Name],$E28)+IF($D28="MIND/Pre-Production",SUMIFS(RM_PM_Quantity[Quantity],RM_PM_Quantity[Date],AM$1,RM_PM_Quantity[Location],"MIDC/Pre-Production",RM_PM_Quantity[Section],$C28,RM_PM_Quantity[RM Name],$E28),0)</f>
        <v>0</v>
      </c>
      <c r="AN28" s="84">
        <f>SUMIFS(RM_PM_Quantity[Quantity],RM_PM_Quantity[Date],AN$1,RM_PM_Quantity[Location],$D28,RM_PM_Quantity[Section],$C28,RM_PM_Quantity[RM Name],$E28)+IF($D28="MIND/Pre-Production",SUMIFS(RM_PM_Quantity[Quantity],RM_PM_Quantity[Date],AN$1,RM_PM_Quantity[Location],"MIDC/Pre-Production",RM_PM_Quantity[Section],$C28,RM_PM_Quantity[RM Name],$E28),0)</f>
        <v>0</v>
      </c>
      <c r="AO28" s="84">
        <f>SUMIFS(RM_PM_Quantity[Quantity],RM_PM_Quantity[Date],AO$1,RM_PM_Quantity[Location],$D28,RM_PM_Quantity[Section],$C28,RM_PM_Quantity[RM Name],$E28)+IF($D28="MIND/Pre-Production",SUMIFS(RM_PM_Quantity[Quantity],RM_PM_Quantity[Date],AO$1,RM_PM_Quantity[Location],"MIDC/Pre-Production",RM_PM_Quantity[Section],$C28,RM_PM_Quantity[RM Name],$E28),0)</f>
        <v>0</v>
      </c>
      <c r="AP28" s="84">
        <f>SUMIFS(RM_PM_Quantity[Quantity],RM_PM_Quantity[Date],AP$1,RM_PM_Quantity[Location],$D28,RM_PM_Quantity[Section],$C28,RM_PM_Quantity[RM Name],$E28)+IF($D28="MIND/Pre-Production",SUMIFS(RM_PM_Quantity[Quantity],RM_PM_Quantity[Date],AP$1,RM_PM_Quantity[Location],"MIDC/Pre-Production",RM_PM_Quantity[Section],$C28,RM_PM_Quantity[RM Name],$E28),0)</f>
        <v>0</v>
      </c>
      <c r="AQ28" s="84">
        <f>SUMIFS(RM_PM_Quantity[Quantity],RM_PM_Quantity[Date],AQ$1,RM_PM_Quantity[Location],$D28,RM_PM_Quantity[Section],$C28,RM_PM_Quantity[RM Name],$E28)+IF($D28="MIND/Pre-Production",SUMIFS(RM_PM_Quantity[Quantity],RM_PM_Quantity[Date],AQ$1,RM_PM_Quantity[Location],"MIDC/Pre-Production",RM_PM_Quantity[Section],$C28,RM_PM_Quantity[RM Name],$E28),0)</f>
        <v>0</v>
      </c>
      <c r="AR28" s="84">
        <f>SUMIFS(RM_PM_Quantity[Quantity],RM_PM_Quantity[Date],AR$1,RM_PM_Quantity[Location],$D28,RM_PM_Quantity[Section],$C28,RM_PM_Quantity[RM Name],$E28)+IF($D28="MIND/Pre-Production",SUMIFS(RM_PM_Quantity[Quantity],RM_PM_Quantity[Date],AR$1,RM_PM_Quantity[Location],"MIDC/Pre-Production",RM_PM_Quantity[Section],$C28,RM_PM_Quantity[RM Name],$E28),0)</f>
        <v>0</v>
      </c>
      <c r="AS28" s="84">
        <f>SUMIFS(RM_PM_Quantity[Quantity],RM_PM_Quantity[Date],AS$1,RM_PM_Quantity[Location],$D28,RM_PM_Quantity[Section],$C28,RM_PM_Quantity[RM Name],$E28)+IF($D28="MIND/Pre-Production",SUMIFS(RM_PM_Quantity[Quantity],RM_PM_Quantity[Date],AS$1,RM_PM_Quantity[Location],"MIDC/Pre-Production",RM_PM_Quantity[Section],$C28,RM_PM_Quantity[RM Name],$E28),0)</f>
        <v>0</v>
      </c>
      <c r="AT28" s="84">
        <f>SUMIFS(RM_PM_Quantity[Quantity],RM_PM_Quantity[Date],AT$1,RM_PM_Quantity[Location],$D28,RM_PM_Quantity[Section],$C28,RM_PM_Quantity[RM Name],$E28)+IF($D28="MIND/Pre-Production",SUMIFS(RM_PM_Quantity[Quantity],RM_PM_Quantity[Date],AT$1,RM_PM_Quantity[Location],"MIDC/Pre-Production",RM_PM_Quantity[Section],$C28,RM_PM_Quantity[RM Name],$E28),0)</f>
        <v>0</v>
      </c>
      <c r="AU28" s="84">
        <f>SUMIFS(RM_PM_Quantity[Quantity],RM_PM_Quantity[Date],AU$1,RM_PM_Quantity[Location],$D28,RM_PM_Quantity[Section],$C28,RM_PM_Quantity[RM Name],$E28)+IF($D28="MIND/Pre-Production",SUMIFS(RM_PM_Quantity[Quantity],RM_PM_Quantity[Date],AU$1,RM_PM_Quantity[Location],"MIDC/Pre-Production",RM_PM_Quantity[Section],$C28,RM_PM_Quantity[RM Name],$E28),0)</f>
        <v>0</v>
      </c>
      <c r="AV28" s="84">
        <f>SUMIFS(RM_PM_Quantity[Quantity],RM_PM_Quantity[Date],AV$1,RM_PM_Quantity[Location],$D28,RM_PM_Quantity[Section],$C28,RM_PM_Quantity[RM Name],$E28)+IF($D28="MIND/Pre-Production",SUMIFS(RM_PM_Quantity[Quantity],RM_PM_Quantity[Date],AV$1,RM_PM_Quantity[Location],"MIDC/Pre-Production",RM_PM_Quantity[Section],$C28,RM_PM_Quantity[RM Name],$E28),0)</f>
        <v>0</v>
      </c>
      <c r="AW28" s="84">
        <f>SUMIFS(RM_PM_Quantity[Quantity],RM_PM_Quantity[Date],AW$1,RM_PM_Quantity[Location],$D28,RM_PM_Quantity[Section],$C28,RM_PM_Quantity[RM Name],$E28)+IF($D28="MIND/Pre-Production",SUMIFS(RM_PM_Quantity[Quantity],RM_PM_Quantity[Date],AW$1,RM_PM_Quantity[Location],"MIDC/Pre-Production",RM_PM_Quantity[Section],$C28,RM_PM_Quantity[RM Name],$E28),0)</f>
        <v>0</v>
      </c>
      <c r="AX28" s="84">
        <f>SUMIFS(RM_PM_Quantity[Quantity],RM_PM_Quantity[Date],AX$1,RM_PM_Quantity[Location],$D28,RM_PM_Quantity[Section],$C28,RM_PM_Quantity[RM Name],$E28)+IF($D28="MIND/Pre-Production",SUMIFS(RM_PM_Quantity[Quantity],RM_PM_Quantity[Date],AX$1,RM_PM_Quantity[Location],"MIDC/Pre-Production",RM_PM_Quantity[Section],$C28,RM_PM_Quantity[RM Name],$E28),0)</f>
        <v>0</v>
      </c>
      <c r="AY28" s="84">
        <f>SUMIFS(RM_PM_Quantity[Quantity],RM_PM_Quantity[Date],AY$1,RM_PM_Quantity[Location],$D28,RM_PM_Quantity[Section],$C28,RM_PM_Quantity[RM Name],$E28)+IF($D28="MIND/Pre-Production",SUMIFS(RM_PM_Quantity[Quantity],RM_PM_Quantity[Date],AY$1,RM_PM_Quantity[Location],"MIDC/Pre-Production",RM_PM_Quantity[Section],$C28,RM_PM_Quantity[RM Name],$E28),0)</f>
        <v>0</v>
      </c>
      <c r="AZ28" s="84">
        <f>SUMIFS(RM_PM_Quantity[Quantity],RM_PM_Quantity[Date],AZ$1,RM_PM_Quantity[Location],$D28,RM_PM_Quantity[Section],$C28,RM_PM_Quantity[RM Name],$E28)+IF($D28="MIND/Pre-Production",SUMIFS(RM_PM_Quantity[Quantity],RM_PM_Quantity[Date],AZ$1,RM_PM_Quantity[Location],"MIDC/Pre-Production",RM_PM_Quantity[Section],$C28,RM_PM_Quantity[RM Name],$E28),0)</f>
        <v>0</v>
      </c>
      <c r="BA28" s="84">
        <f>SUMIFS(RM_PM_Quantity[Quantity],RM_PM_Quantity[Date],BA$1,RM_PM_Quantity[Location],$D28,RM_PM_Quantity[Section],$C28,RM_PM_Quantity[RM Name],$E28)+IF($D28="MIND/Pre-Production",SUMIFS(RM_PM_Quantity[Quantity],RM_PM_Quantity[Date],BA$1,RM_PM_Quantity[Location],"MIDC/Pre-Production",RM_PM_Quantity[Section],$C28,RM_PM_Quantity[RM Name],$E28),0)</f>
        <v>0</v>
      </c>
      <c r="BB28" s="84">
        <f>SUMIFS(RM_PM_Quantity[Quantity],RM_PM_Quantity[Date],BB$1,RM_PM_Quantity[Location],$D28,RM_PM_Quantity[Section],$C28,RM_PM_Quantity[RM Name],$E28)+IF($D28="MIND/Pre-Production",SUMIFS(RM_PM_Quantity[Quantity],RM_PM_Quantity[Date],BB$1,RM_PM_Quantity[Location],"MIDC/Pre-Production",RM_PM_Quantity[Section],$C28,RM_PM_Quantity[RM Name],$E28),0)</f>
        <v>0</v>
      </c>
      <c r="BC28" s="84">
        <f>SUMIFS(RM_PM_Quantity[Quantity],RM_PM_Quantity[Date],BC$1,RM_PM_Quantity[Location],$D28,RM_PM_Quantity[Section],$C28,RM_PM_Quantity[RM Name],$E28)+IF($D28="MIND/Pre-Production",SUMIFS(RM_PM_Quantity[Quantity],RM_PM_Quantity[Date],BC$1,RM_PM_Quantity[Location],"MIDC/Pre-Production",RM_PM_Quantity[Section],$C28,RM_PM_Quantity[RM Name],$E28),0)</f>
        <v>0</v>
      </c>
      <c r="BD28" s="84">
        <f>SUMIFS(RM_PM_Quantity[Quantity],RM_PM_Quantity[Date],BD$1,RM_PM_Quantity[Location],$D28,RM_PM_Quantity[Section],$C28,RM_PM_Quantity[RM Name],$E28)+IF($D28="MIND/Pre-Production",SUMIFS(RM_PM_Quantity[Quantity],RM_PM_Quantity[Date],BD$1,RM_PM_Quantity[Location],"MIDC/Pre-Production",RM_PM_Quantity[Section],$C28,RM_PM_Quantity[RM Name],$E28),0)</f>
        <v>0</v>
      </c>
      <c r="BE28" s="84">
        <f>SUMIFS(RM_PM_Quantity[Quantity],RM_PM_Quantity[Date],BE$1,RM_PM_Quantity[Location],$D28,RM_PM_Quantity[Section],$C28,RM_PM_Quantity[RM Name],$E28)+IF($D28="MIND/Pre-Production",SUMIFS(RM_PM_Quantity[Quantity],RM_PM_Quantity[Date],BE$1,RM_PM_Quantity[Location],"MIDC/Pre-Production",RM_PM_Quantity[Section],$C28,RM_PM_Quantity[RM Name],$E28),0)</f>
        <v>0</v>
      </c>
      <c r="BF28" s="84">
        <f>SUMIFS(RM_PM_Quantity[Quantity],RM_PM_Quantity[Date],BF$1,RM_PM_Quantity[Location],$D28,RM_PM_Quantity[Section],$C28,RM_PM_Quantity[RM Name],$E28)+IF($D28="MIND/Pre-Production",SUMIFS(RM_PM_Quantity[Quantity],RM_PM_Quantity[Date],BF$1,RM_PM_Quantity[Location],"MIDC/Pre-Production",RM_PM_Quantity[Section],$C28,RM_PM_Quantity[RM Name],$E28),0)</f>
        <v>0</v>
      </c>
      <c r="BG28" s="84">
        <f>SUMIFS(RM_PM_Quantity[Quantity],RM_PM_Quantity[Date],BG$1,RM_PM_Quantity[Location],$D28,RM_PM_Quantity[Section],$C28,RM_PM_Quantity[RM Name],$E28)+IF($D28="MIND/Pre-Production",SUMIFS(RM_PM_Quantity[Quantity],RM_PM_Quantity[Date],BG$1,RM_PM_Quantity[Location],"MIDC/Pre-Production",RM_PM_Quantity[Section],$C28,RM_PM_Quantity[RM Name],$E28),0)</f>
        <v>0</v>
      </c>
      <c r="BH28" s="84">
        <f>SUMIFS(RM_PM_Quantity[Quantity],RM_PM_Quantity[Date],BH$1,RM_PM_Quantity[Location],$D28,RM_PM_Quantity[Section],$C28,RM_PM_Quantity[RM Name],$E28)+IF($D28="MIND/Pre-Production",SUMIFS(RM_PM_Quantity[Quantity],RM_PM_Quantity[Date],BH$1,RM_PM_Quantity[Location],"MIDC/Pre-Production",RM_PM_Quantity[Section],$C28,RM_PM_Quantity[RM Name],$E28),0)</f>
        <v>0</v>
      </c>
      <c r="BI28" s="84">
        <f>SUMIFS(RM_PM_Quantity[Quantity],RM_PM_Quantity[Date],BI$1,RM_PM_Quantity[Location],$D28,RM_PM_Quantity[Section],$C28,RM_PM_Quantity[RM Name],$E28)+IF($D28="MIND/Pre-Production",SUMIFS(RM_PM_Quantity[Quantity],RM_PM_Quantity[Date],BI$1,RM_PM_Quantity[Location],"MIDC/Pre-Production",RM_PM_Quantity[Section],$C28,RM_PM_Quantity[RM Name],$E28),0)</f>
        <v>0</v>
      </c>
      <c r="BJ28" s="84">
        <f>SUMIFS(RM_PM_Quantity[Quantity],RM_PM_Quantity[Date],BJ$1,RM_PM_Quantity[Location],$D28,RM_PM_Quantity[Section],$C28,RM_PM_Quantity[RM Name],$E28)+IF($D28="MIND/Pre-Production",SUMIFS(RM_PM_Quantity[Quantity],RM_PM_Quantity[Date],BJ$1,RM_PM_Quantity[Location],"MIDC/Pre-Production",RM_PM_Quantity[Section],$C28,RM_PM_Quantity[RM Name],$E28),0)</f>
        <v>0</v>
      </c>
      <c r="BK28" s="84">
        <f>SUMIFS(RM_PM_Quantity[Quantity],RM_PM_Quantity[Date],BK$1,RM_PM_Quantity[Location],$D28,RM_PM_Quantity[Section],$C28,RM_PM_Quantity[RM Name],$E28)+IF($D28="MIND/Pre-Production",SUMIFS(RM_PM_Quantity[Quantity],RM_PM_Quantity[Date],BK$1,RM_PM_Quantity[Location],"MIDC/Pre-Production",RM_PM_Quantity[Section],$C28,RM_PM_Quantity[RM Name],$E28),0)</f>
        <v>0</v>
      </c>
      <c r="BL28" s="84">
        <f>SUMIFS(RM_PM_Quantity[Quantity],RM_PM_Quantity[Date],BL$1,RM_PM_Quantity[Location],$D28,RM_PM_Quantity[Section],$C28,RM_PM_Quantity[RM Name],$E28)+IF($D28="MIND/Pre-Production",SUMIFS(RM_PM_Quantity[Quantity],RM_PM_Quantity[Date],BL$1,RM_PM_Quantity[Location],"MIDC/Pre-Production",RM_PM_Quantity[Section],$C28,RM_PM_Quantity[RM Name],$E28),0)</f>
        <v>0</v>
      </c>
      <c r="BM28" s="84">
        <f>SUMIFS(RM_PM_Quantity[Quantity],RM_PM_Quantity[Date],BM$1,RM_PM_Quantity[Location],$D28,RM_PM_Quantity[Section],$C28,RM_PM_Quantity[RM Name],$E28)+IF($D28="MIND/Pre-Production",SUMIFS(RM_PM_Quantity[Quantity],RM_PM_Quantity[Date],BM$1,RM_PM_Quantity[Location],"MIDC/Pre-Production",RM_PM_Quantity[Section],$C28,RM_PM_Quantity[RM Name],$E28),0)</f>
        <v>0</v>
      </c>
      <c r="BN28" s="84">
        <f>SUMIFS(RM_PM_Quantity[Quantity],RM_PM_Quantity[Date],BN$1,RM_PM_Quantity[Location],$D28,RM_PM_Quantity[Section],$C28,RM_PM_Quantity[RM Name],$E28)+IF($D28="MIND/Pre-Production",SUMIFS(RM_PM_Quantity[Quantity],RM_PM_Quantity[Date],BN$1,RM_PM_Quantity[Location],"MIDC/Pre-Production",RM_PM_Quantity[Section],$C28,RM_PM_Quantity[RM Name],$E28),0)</f>
        <v>0</v>
      </c>
      <c r="BO28" s="84">
        <f>SUMIFS(RM_PM_Quantity[Quantity],RM_PM_Quantity[Date],BO$1,RM_PM_Quantity[Location],$D28,RM_PM_Quantity[Section],$C28,RM_PM_Quantity[RM Name],$E28)+IF($D28="MIND/Pre-Production",SUMIFS(RM_PM_Quantity[Quantity],RM_PM_Quantity[Date],BO$1,RM_PM_Quantity[Location],"MIDC/Pre-Production",RM_PM_Quantity[Section],$C28,RM_PM_Quantity[RM Name],$E28),0)</f>
        <v>0</v>
      </c>
      <c r="BP28" s="84">
        <f>SUMIFS(RM_PM_Quantity[Quantity],RM_PM_Quantity[Date],BP$1,RM_PM_Quantity[Location],$D28,RM_PM_Quantity[Section],$C28,RM_PM_Quantity[RM Name],$E28)+IF($D28="MIND/Pre-Production",SUMIFS(RM_PM_Quantity[Quantity],RM_PM_Quantity[Date],BP$1,RM_PM_Quantity[Location],"MIDC/Pre-Production",RM_PM_Quantity[Section],$C28,RM_PM_Quantity[RM Name],$E28),0)</f>
        <v>0</v>
      </c>
      <c r="BQ28" s="84">
        <f>SUMIFS(RM_PM_Quantity[Quantity],RM_PM_Quantity[Date],BQ$1,RM_PM_Quantity[Location],$D28,RM_PM_Quantity[Section],$C28,RM_PM_Quantity[RM Name],$E28)+IF($D28="MIND/Pre-Production",SUMIFS(RM_PM_Quantity[Quantity],RM_PM_Quantity[Date],BQ$1,RM_PM_Quantity[Location],"MIDC/Pre-Production",RM_PM_Quantity[Section],$C28,RM_PM_Quantity[RM Name],$E28),0)</f>
        <v>0</v>
      </c>
      <c r="BR28" s="84">
        <f>SUMIFS(RM_PM_Quantity[Quantity],RM_PM_Quantity[Date],BR$1,RM_PM_Quantity[Location],$D28,RM_PM_Quantity[Section],$C28,RM_PM_Quantity[RM Name],$E28)+IF($D28="MIND/Pre-Production",SUMIFS(RM_PM_Quantity[Quantity],RM_PM_Quantity[Date],BR$1,RM_PM_Quantity[Location],"MIDC/Pre-Production",RM_PM_Quantity[Section],$C28,RM_PM_Quantity[RM Name],$E28),0)</f>
        <v>0</v>
      </c>
      <c r="BS28" s="84">
        <f>SUMIFS(RM_PM_Quantity[Quantity],RM_PM_Quantity[Date],BS$1,RM_PM_Quantity[Location],$D28,RM_PM_Quantity[Section],$C28,RM_PM_Quantity[RM Name],$E28)+IF($D28="MIND/Pre-Production",SUMIFS(RM_PM_Quantity[Quantity],RM_PM_Quantity[Date],BS$1,RM_PM_Quantity[Location],"MIDC/Pre-Production",RM_PM_Quantity[Section],$C28,RM_PM_Quantity[RM Name],$E28),0)</f>
        <v>0</v>
      </c>
      <c r="BT28" s="84">
        <f>SUMIFS(RM_PM_Quantity[ID],RM_PM_Quantity[Location],BT$1,RM_PM_Quantity[Section],$D28,RM_PM_Quantity[RM Name],$C28,RM_PM_Quantity[Quantity],$E28)+IF($D28="MIND/Pre-Production",SUMIFS(RM_PM_Quantity[ID],RM_PM_Quantity[Location],BT$1,RM_PM_Quantity[Section],"MIDC/Pre-Production",RM_PM_Quantity[RM Name],$C28,RM_PM_Quantity[Quantity],$E28),0)</f>
        <v>0</v>
      </c>
      <c r="BU28" s="84">
        <f>SUMIFS(RM_PM_Quantity[Name of Supervisor],RM_PM_Quantity[Section],BU$1,RM_PM_Quantity[RM Name],$D28,RM_PM_Quantity[Quantity],$C28,RM_PM_Quantity[ID],$E28)+IF($D28="MIND/Pre-Production",SUMIFS(RM_PM_Quantity[Name of Supervisor],RM_PM_Quantity[Section],BU$1,RM_PM_Quantity[RM Name],"MIDC/Pre-Production",RM_PM_Quantity[Quantity],$C28,RM_PM_Quantity[ID],$E28),0)</f>
        <v>0</v>
      </c>
      <c r="BV28" s="84">
        <f>SUMIFS(RM_PM_Quantity[Date],RM_PM_Quantity[RM Name],BV$1,RM_PM_Quantity[Quantity],$D28,RM_PM_Quantity[ID],$C28,RM_PM_Quantity[Name of Supervisor],$E28)+IF($D28="MIND/Pre-Production",SUMIFS(RM_PM_Quantity[Date],RM_PM_Quantity[RM Name],BV$1,RM_PM_Quantity[Quantity],"MIDC/Pre-Production",RM_PM_Quantity[ID],$C28,RM_PM_Quantity[Name of Supervisor],$E28),0)</f>
        <v>0</v>
      </c>
      <c r="BW28" s="84">
        <f>SUMIFS(RM_PM_Quantity[Location],RM_PM_Quantity[Quantity],BW$1,RM_PM_Quantity[ID],$D28,RM_PM_Quantity[Name of Supervisor],$C28,RM_PM_Quantity[Date],$E28)+IF($D28="MIND/Pre-Production",SUMIFS(RM_PM_Quantity[Location],RM_PM_Quantity[Quantity],BW$1,RM_PM_Quantity[ID],"MIDC/Pre-Production",RM_PM_Quantity[Name of Supervisor],$C28,RM_PM_Quantity[Date],$E28),0)</f>
        <v>0</v>
      </c>
      <c r="BX28" s="84">
        <f>SUMIFS(RM_PM_Quantity[Section],RM_PM_Quantity[ID],BX$1,RM_PM_Quantity[Name of Supervisor],$D28,RM_PM_Quantity[Date],$C28,RM_PM_Quantity[Location],$E28)+IF($D28="MIND/Pre-Production",SUMIFS(RM_PM_Quantity[Section],RM_PM_Quantity[ID],BX$1,RM_PM_Quantity[Name of Supervisor],"MIDC/Pre-Production",RM_PM_Quantity[Date],$C28,RM_PM_Quantity[Location],$E28),0)</f>
        <v>0</v>
      </c>
      <c r="BY28" s="84">
        <f>SUMIFS(RM_PM_Quantity[RM Name],RM_PM_Quantity[Name of Supervisor],BY$1,RM_PM_Quantity[Date],$D28,RM_PM_Quantity[Location],$C28,RM_PM_Quantity[Section],$E28)+IF($D28="MIND/Pre-Production",SUMIFS(RM_PM_Quantity[RM Name],RM_PM_Quantity[Name of Supervisor],BY$1,RM_PM_Quantity[Date],"MIDC/Pre-Production",RM_PM_Quantity[Location],$C28,RM_PM_Quantity[Section],$E28),0)</f>
        <v>0</v>
      </c>
    </row>
    <row r="29" spans="1:77" ht="45.75" customHeight="1">
      <c r="A29" s="79">
        <v>28</v>
      </c>
      <c r="B29" s="87" t="s">
        <v>107</v>
      </c>
      <c r="C29" s="80" t="s">
        <v>108</v>
      </c>
      <c r="D29" s="81" t="s">
        <v>68</v>
      </c>
      <c r="E29" s="82" t="s">
        <v>109</v>
      </c>
      <c r="F29" s="83">
        <f>IFERROR(_xlfn.XLOOKUP(B29,'[1]RM Tracker'!B:B,'[1]RM Tracker'!E:E),"0")</f>
        <v>0</v>
      </c>
      <c r="G29" s="85">
        <f t="shared" si="2"/>
        <v>0</v>
      </c>
      <c r="H29" s="85">
        <f t="shared" si="0"/>
        <v>0</v>
      </c>
      <c r="I29" s="91">
        <f t="shared" si="1"/>
        <v>0</v>
      </c>
      <c r="J29" s="84">
        <f>SUMIFS(RM_PM_Quantity[Quantity],RM_PM_Quantity[Date],J$1,RM_PM_Quantity[Location],$D29,RM_PM_Quantity[Section],$C29,RM_PM_Quantity[RM Name],$E29)+IF($D29="MIND/Pre-Production",SUMIFS(RM_PM_Quantity[Quantity],RM_PM_Quantity[Date],J$1,RM_PM_Quantity[Location],"MIDC/Pre-Production",RM_PM_Quantity[Section],$C29,RM_PM_Quantity[RM Name],$E29),0)</f>
        <v>0</v>
      </c>
      <c r="K29" s="84">
        <f>SUMIFS(RM_PM_Quantity[Quantity],RM_PM_Quantity[Date],K$1,RM_PM_Quantity[Location],$D29,RM_PM_Quantity[Section],$C29,RM_PM_Quantity[RM Name],$E29)+IF($D29="MIND/Pre-Production",SUMIFS(RM_PM_Quantity[Quantity],RM_PM_Quantity[Date],K$1,RM_PM_Quantity[Location],"MIDC/Pre-Production",RM_PM_Quantity[Section],$C29,RM_PM_Quantity[RM Name],$E29),0)</f>
        <v>0</v>
      </c>
      <c r="L29" s="84">
        <f>SUMIFS(RM_PM_Quantity[Quantity],RM_PM_Quantity[Date],L$1,RM_PM_Quantity[Location],$D29,RM_PM_Quantity[Section],$C29,RM_PM_Quantity[RM Name],$E29)+IF($D29="MIND/Pre-Production",SUMIFS(RM_PM_Quantity[Quantity],RM_PM_Quantity[Date],L$1,RM_PM_Quantity[Location],"MIDC/Pre-Production",RM_PM_Quantity[Section],$C29,RM_PM_Quantity[RM Name],$E29),0)</f>
        <v>0</v>
      </c>
      <c r="M29" s="84">
        <f>SUMIFS(RM_PM_Quantity[Quantity],RM_PM_Quantity[Date],M$1,RM_PM_Quantity[Location],$D29,RM_PM_Quantity[Section],$C29,RM_PM_Quantity[RM Name],$E29)+IF($D29="MIND/Pre-Production",SUMIFS(RM_PM_Quantity[Quantity],RM_PM_Quantity[Date],M$1,RM_PM_Quantity[Location],"MIDC/Pre-Production",RM_PM_Quantity[Section],$C29,RM_PM_Quantity[RM Name],$E29),0)</f>
        <v>0</v>
      </c>
      <c r="N29" s="84">
        <f>SUMIFS(RM_PM_Quantity[Quantity],RM_PM_Quantity[Date],N$1,RM_PM_Quantity[Location],$D29,RM_PM_Quantity[Section],$C29,RM_PM_Quantity[RM Name],$E29)+IF($D29="MIND/Pre-Production",SUMIFS(RM_PM_Quantity[Quantity],RM_PM_Quantity[Date],N$1,RM_PM_Quantity[Location],"MIDC/Pre-Production",RM_PM_Quantity[Section],$C29,RM_PM_Quantity[RM Name],$E29),0)</f>
        <v>0</v>
      </c>
      <c r="O29" s="84">
        <f>SUMIFS(RM_PM_Quantity[Quantity],RM_PM_Quantity[Date],O$1,RM_PM_Quantity[Location],$D29,RM_PM_Quantity[Section],$C29,RM_PM_Quantity[RM Name],$E29)+IF($D29="MIND/Pre-Production",SUMIFS(RM_PM_Quantity[Quantity],RM_PM_Quantity[Date],O$1,RM_PM_Quantity[Location],"MIDC/Pre-Production",RM_PM_Quantity[Section],$C29,RM_PM_Quantity[RM Name],$E29),0)</f>
        <v>0</v>
      </c>
      <c r="P29" s="84">
        <f>SUMIFS(RM_PM_Quantity[Quantity],RM_PM_Quantity[Date],P$1,RM_PM_Quantity[Location],$D29,RM_PM_Quantity[Section],$C29,RM_PM_Quantity[RM Name],$E29)+IF($D29="MIND/Pre-Production",SUMIFS(RM_PM_Quantity[Quantity],RM_PM_Quantity[Date],P$1,RM_PM_Quantity[Location],"MIDC/Pre-Production",RM_PM_Quantity[Section],$C29,RM_PM_Quantity[RM Name],$E29),0)</f>
        <v>0</v>
      </c>
      <c r="Q29" s="84">
        <f>SUMIFS(RM_PM_Quantity[Quantity],RM_PM_Quantity[Date],Q$1,RM_PM_Quantity[Location],$D29,RM_PM_Quantity[Section],$C29,RM_PM_Quantity[RM Name],$E29)+IF($D29="MIND/Pre-Production",SUMIFS(RM_PM_Quantity[Quantity],RM_PM_Quantity[Date],Q$1,RM_PM_Quantity[Location],"MIDC/Pre-Production",RM_PM_Quantity[Section],$C29,RM_PM_Quantity[RM Name],$E29),0)</f>
        <v>0</v>
      </c>
      <c r="R29" s="84">
        <f>SUMIFS(RM_PM_Quantity[Quantity],RM_PM_Quantity[Date],R$1,RM_PM_Quantity[Location],$D29,RM_PM_Quantity[Section],$C29,RM_PM_Quantity[RM Name],$E29)+IF($D29="MIND/Pre-Production",SUMIFS(RM_PM_Quantity[Quantity],RM_PM_Quantity[Date],R$1,RM_PM_Quantity[Location],"MIDC/Pre-Production",RM_PM_Quantity[Section],$C29,RM_PM_Quantity[RM Name],$E29),0)</f>
        <v>0</v>
      </c>
      <c r="S29" s="84">
        <f>SUMIFS(RM_PM_Quantity[Quantity],RM_PM_Quantity[Date],S$1,RM_PM_Quantity[Location],$D29,RM_PM_Quantity[Section],$C29,RM_PM_Quantity[RM Name],$E29)+IF($D29="MIND/Pre-Production",SUMIFS(RM_PM_Quantity[Quantity],RM_PM_Quantity[Date],S$1,RM_PM_Quantity[Location],"MIDC/Pre-Production",RM_PM_Quantity[Section],$C29,RM_PM_Quantity[RM Name],$E29),0)</f>
        <v>0</v>
      </c>
      <c r="T29" s="84">
        <f>SUMIFS(RM_PM_Quantity[Quantity],RM_PM_Quantity[Date],T$1,RM_PM_Quantity[Location],$D29,RM_PM_Quantity[Section],$C29,RM_PM_Quantity[RM Name],$E29)+IF($D29="MIND/Pre-Production",SUMIFS(RM_PM_Quantity[Quantity],RM_PM_Quantity[Date],T$1,RM_PM_Quantity[Location],"MIDC/Pre-Production",RM_PM_Quantity[Section],$C29,RM_PM_Quantity[RM Name],$E29),0)</f>
        <v>0</v>
      </c>
      <c r="U29" s="84">
        <f>SUMIFS(RM_PM_Quantity[Quantity],RM_PM_Quantity[Date],U$1,RM_PM_Quantity[Location],$D29,RM_PM_Quantity[Section],$C29,RM_PM_Quantity[RM Name],$E29)+IF($D29="MIND/Pre-Production",SUMIFS(RM_PM_Quantity[Quantity],RM_PM_Quantity[Date],U$1,RM_PM_Quantity[Location],"MIDC/Pre-Production",RM_PM_Quantity[Section],$C29,RM_PM_Quantity[RM Name],$E29),0)</f>
        <v>0</v>
      </c>
      <c r="V29" s="84">
        <f>SUMIFS(RM_PM_Quantity[Quantity],RM_PM_Quantity[Date],V$1,RM_PM_Quantity[Location],$D29,RM_PM_Quantity[Section],$C29,RM_PM_Quantity[RM Name],$E29)+IF($D29="MIND/Pre-Production",SUMIFS(RM_PM_Quantity[Quantity],RM_PM_Quantity[Date],V$1,RM_PM_Quantity[Location],"MIDC/Pre-Production",RM_PM_Quantity[Section],$C29,RM_PM_Quantity[RM Name],$E29),0)</f>
        <v>0</v>
      </c>
      <c r="W29" s="84">
        <f>SUMIFS(RM_PM_Quantity[Quantity],RM_PM_Quantity[Date],W$1,RM_PM_Quantity[Location],$D29,RM_PM_Quantity[Section],$C29,RM_PM_Quantity[RM Name],$E29)+IF($D29="MIND/Pre-Production",SUMIFS(RM_PM_Quantity[Quantity],RM_PM_Quantity[Date],W$1,RM_PM_Quantity[Location],"MIDC/Pre-Production",RM_PM_Quantity[Section],$C29,RM_PM_Quantity[RM Name],$E29),0)</f>
        <v>0</v>
      </c>
      <c r="X29" s="84">
        <f>SUMIFS(RM_PM_Quantity[Quantity],RM_PM_Quantity[Date],X$1,RM_PM_Quantity[Location],$D29,RM_PM_Quantity[Section],$C29,RM_PM_Quantity[RM Name],$E29)+IF($D29="MIND/Pre-Production",SUMIFS(RM_PM_Quantity[Quantity],RM_PM_Quantity[Date],X$1,RM_PM_Quantity[Location],"MIDC/Pre-Production",RM_PM_Quantity[Section],$C29,RM_PM_Quantity[RM Name],$E29),0)</f>
        <v>0</v>
      </c>
      <c r="Y29" s="84">
        <f>SUMIFS(RM_PM_Quantity[Quantity],RM_PM_Quantity[Date],Y$1,RM_PM_Quantity[Location],$D29,RM_PM_Quantity[Section],$C29,RM_PM_Quantity[RM Name],$E29)+IF($D29="MIND/Pre-Production",SUMIFS(RM_PM_Quantity[Quantity],RM_PM_Quantity[Date],Y$1,RM_PM_Quantity[Location],"MIDC/Pre-Production",RM_PM_Quantity[Section],$C29,RM_PM_Quantity[RM Name],$E29),0)</f>
        <v>0</v>
      </c>
      <c r="Z29" s="84">
        <f>SUMIFS(RM_PM_Quantity[Quantity],RM_PM_Quantity[Date],Z$1,RM_PM_Quantity[Location],$D29,RM_PM_Quantity[Section],$C29,RM_PM_Quantity[RM Name],$E29)+IF($D29="MIND/Pre-Production",SUMIFS(RM_PM_Quantity[Quantity],RM_PM_Quantity[Date],Z$1,RM_PM_Quantity[Location],"MIDC/Pre-Production",RM_PM_Quantity[Section],$C29,RM_PM_Quantity[RM Name],$E29),0)</f>
        <v>0</v>
      </c>
      <c r="AA29" s="84">
        <f>SUMIFS(RM_PM_Quantity[Quantity],RM_PM_Quantity[Date],AA$1,RM_PM_Quantity[Location],$D29,RM_PM_Quantity[Section],$C29,RM_PM_Quantity[RM Name],$E29)+IF($D29="MIND/Pre-Production",SUMIFS(RM_PM_Quantity[Quantity],RM_PM_Quantity[Date],AA$1,RM_PM_Quantity[Location],"MIDC/Pre-Production",RM_PM_Quantity[Section],$C29,RM_PM_Quantity[RM Name],$E29),0)</f>
        <v>0</v>
      </c>
      <c r="AB29" s="84">
        <f>SUMIFS(RM_PM_Quantity[Quantity],RM_PM_Quantity[Date],AB$1,RM_PM_Quantity[Location],$D29,RM_PM_Quantity[Section],$C29,RM_PM_Quantity[RM Name],$E29)+IF($D29="MIND/Pre-Production",SUMIFS(RM_PM_Quantity[Quantity],RM_PM_Quantity[Date],AB$1,RM_PM_Quantity[Location],"MIDC/Pre-Production",RM_PM_Quantity[Section],$C29,RM_PM_Quantity[RM Name],$E29),0)</f>
        <v>0</v>
      </c>
      <c r="AC29" s="84">
        <f>SUMIFS(RM_PM_Quantity[Quantity],RM_PM_Quantity[Date],AC$1,RM_PM_Quantity[Location],$D29,RM_PM_Quantity[Section],$C29,RM_PM_Quantity[RM Name],$E29)+IF($D29="MIND/Pre-Production",SUMIFS(RM_PM_Quantity[Quantity],RM_PM_Quantity[Date],AC$1,RM_PM_Quantity[Location],"MIDC/Pre-Production",RM_PM_Quantity[Section],$C29,RM_PM_Quantity[RM Name],$E29),0)</f>
        <v>0</v>
      </c>
      <c r="AD29" s="84">
        <f>SUMIFS(RM_PM_Quantity[Quantity],RM_PM_Quantity[Date],AD$1,RM_PM_Quantity[Location],$D29,RM_PM_Quantity[Section],$C29,RM_PM_Quantity[RM Name],$E29)+IF($D29="MIND/Pre-Production",SUMIFS(RM_PM_Quantity[Quantity],RM_PM_Quantity[Date],AD$1,RM_PM_Quantity[Location],"MIDC/Pre-Production",RM_PM_Quantity[Section],$C29,RM_PM_Quantity[RM Name],$E29),0)</f>
        <v>0</v>
      </c>
      <c r="AE29" s="84">
        <f>SUMIFS(RM_PM_Quantity[Quantity],RM_PM_Quantity[Date],AE$1,RM_PM_Quantity[Location],$D29,RM_PM_Quantity[Section],$C29,RM_PM_Quantity[RM Name],$E29)+IF($D29="MIND/Pre-Production",SUMIFS(RM_PM_Quantity[Quantity],RM_PM_Quantity[Date],AE$1,RM_PM_Quantity[Location],"MIDC/Pre-Production",RM_PM_Quantity[Section],$C29,RM_PM_Quantity[RM Name],$E29),0)</f>
        <v>0</v>
      </c>
      <c r="AF29" s="84">
        <f>SUMIFS(RM_PM_Quantity[Quantity],RM_PM_Quantity[Date],AF$1,RM_PM_Quantity[Location],$D29,RM_PM_Quantity[Section],$C29,RM_PM_Quantity[RM Name],$E29)+IF($D29="MIND/Pre-Production",SUMIFS(RM_PM_Quantity[Quantity],RM_PM_Quantity[Date],AF$1,RM_PM_Quantity[Location],"MIDC/Pre-Production",RM_PM_Quantity[Section],$C29,RM_PM_Quantity[RM Name],$E29),0)</f>
        <v>0</v>
      </c>
      <c r="AG29" s="84">
        <f>SUMIFS(RM_PM_Quantity[Quantity],RM_PM_Quantity[Date],AG$1,RM_PM_Quantity[Location],$D29,RM_PM_Quantity[Section],$C29,RM_PM_Quantity[RM Name],$E29)+IF($D29="MIND/Pre-Production",SUMIFS(RM_PM_Quantity[Quantity],RM_PM_Quantity[Date],AG$1,RM_PM_Quantity[Location],"MIDC/Pre-Production",RM_PM_Quantity[Section],$C29,RM_PM_Quantity[RM Name],$E29),0)</f>
        <v>0</v>
      </c>
      <c r="AH29" s="84">
        <f>SUMIFS(RM_PM_Quantity[Quantity],RM_PM_Quantity[Date],AH$1,RM_PM_Quantity[Location],$D29,RM_PM_Quantity[Section],$C29,RM_PM_Quantity[RM Name],$E29)+IF($D29="MIND/Pre-Production",SUMIFS(RM_PM_Quantity[Quantity],RM_PM_Quantity[Date],AH$1,RM_PM_Quantity[Location],"MIDC/Pre-Production",RM_PM_Quantity[Section],$C29,RM_PM_Quantity[RM Name],$E29),0)</f>
        <v>0</v>
      </c>
      <c r="AI29" s="84">
        <f>SUMIFS(RM_PM_Quantity[Quantity],RM_PM_Quantity[Date],AI$1,RM_PM_Quantity[Location],$D29,RM_PM_Quantity[Section],$C29,RM_PM_Quantity[RM Name],$E29)+IF($D29="MIND/Pre-Production",SUMIFS(RM_PM_Quantity[Quantity],RM_PM_Quantity[Date],AI$1,RM_PM_Quantity[Location],"MIDC/Pre-Production",RM_PM_Quantity[Section],$C29,RM_PM_Quantity[RM Name],$E29),0)</f>
        <v>0</v>
      </c>
      <c r="AJ29" s="84">
        <f>SUMIFS(RM_PM_Quantity[Quantity],RM_PM_Quantity[Date],AJ$1,RM_PM_Quantity[Location],$D29,RM_PM_Quantity[Section],$C29,RM_PM_Quantity[RM Name],$E29)+IF($D29="MIND/Pre-Production",SUMIFS(RM_PM_Quantity[Quantity],RM_PM_Quantity[Date],AJ$1,RM_PM_Quantity[Location],"MIDC/Pre-Production",RM_PM_Quantity[Section],$C29,RM_PM_Quantity[RM Name],$E29),0)</f>
        <v>0</v>
      </c>
      <c r="AK29" s="84">
        <f>SUMIFS(RM_PM_Quantity[Quantity],RM_PM_Quantity[Date],AK$1,RM_PM_Quantity[Location],$D29,RM_PM_Quantity[Section],$C29,RM_PM_Quantity[RM Name],$E29)+IF($D29="MIND/Pre-Production",SUMIFS(RM_PM_Quantity[Quantity],RM_PM_Quantity[Date],AK$1,RM_PM_Quantity[Location],"MIDC/Pre-Production",RM_PM_Quantity[Section],$C29,RM_PM_Quantity[RM Name],$E29),0)</f>
        <v>0</v>
      </c>
      <c r="AL29" s="84">
        <f>SUMIFS(RM_PM_Quantity[Quantity],RM_PM_Quantity[Date],AL$1,RM_PM_Quantity[Location],$D29,RM_PM_Quantity[Section],$C29,RM_PM_Quantity[RM Name],$E29)+IF($D29="MIND/Pre-Production",SUMIFS(RM_PM_Quantity[Quantity],RM_PM_Quantity[Date],AL$1,RM_PM_Quantity[Location],"MIDC/Pre-Production",RM_PM_Quantity[Section],$C29,RM_PM_Quantity[RM Name],$E29),0)</f>
        <v>0</v>
      </c>
      <c r="AM29" s="84">
        <f>SUMIFS(RM_PM_Quantity[Quantity],RM_PM_Quantity[Date],AM$1,RM_PM_Quantity[Location],$D29,RM_PM_Quantity[Section],$C29,RM_PM_Quantity[RM Name],$E29)+IF($D29="MIND/Pre-Production",SUMIFS(RM_PM_Quantity[Quantity],RM_PM_Quantity[Date],AM$1,RM_PM_Quantity[Location],"MIDC/Pre-Production",RM_PM_Quantity[Section],$C29,RM_PM_Quantity[RM Name],$E29),0)</f>
        <v>0</v>
      </c>
      <c r="AN29" s="84">
        <f>SUMIFS(RM_PM_Quantity[Quantity],RM_PM_Quantity[Date],AN$1,RM_PM_Quantity[Location],$D29,RM_PM_Quantity[Section],$C29,RM_PM_Quantity[RM Name],$E29)+IF($D29="MIND/Pre-Production",SUMIFS(RM_PM_Quantity[Quantity],RM_PM_Quantity[Date],AN$1,RM_PM_Quantity[Location],"MIDC/Pre-Production",RM_PM_Quantity[Section],$C29,RM_PM_Quantity[RM Name],$E29),0)</f>
        <v>0</v>
      </c>
      <c r="AO29" s="84">
        <f>SUMIFS(RM_PM_Quantity[Quantity],RM_PM_Quantity[Date],AO$1,RM_PM_Quantity[Location],$D29,RM_PM_Quantity[Section],$C29,RM_PM_Quantity[RM Name],$E29)+IF($D29="MIND/Pre-Production",SUMIFS(RM_PM_Quantity[Quantity],RM_PM_Quantity[Date],AO$1,RM_PM_Quantity[Location],"MIDC/Pre-Production",RM_PM_Quantity[Section],$C29,RM_PM_Quantity[RM Name],$E29),0)</f>
        <v>0</v>
      </c>
      <c r="AP29" s="84">
        <f>SUMIFS(RM_PM_Quantity[Quantity],RM_PM_Quantity[Date],AP$1,RM_PM_Quantity[Location],$D29,RM_PM_Quantity[Section],$C29,RM_PM_Quantity[RM Name],$E29)+IF($D29="MIND/Pre-Production",SUMIFS(RM_PM_Quantity[Quantity],RM_PM_Quantity[Date],AP$1,RM_PM_Quantity[Location],"MIDC/Pre-Production",RM_PM_Quantity[Section],$C29,RM_PM_Quantity[RM Name],$E29),0)</f>
        <v>0</v>
      </c>
      <c r="AQ29" s="84">
        <f>SUMIFS(RM_PM_Quantity[Quantity],RM_PM_Quantity[Date],AQ$1,RM_PM_Quantity[Location],$D29,RM_PM_Quantity[Section],$C29,RM_PM_Quantity[RM Name],$E29)+IF($D29="MIND/Pre-Production",SUMIFS(RM_PM_Quantity[Quantity],RM_PM_Quantity[Date],AQ$1,RM_PM_Quantity[Location],"MIDC/Pre-Production",RM_PM_Quantity[Section],$C29,RM_PM_Quantity[RM Name],$E29),0)</f>
        <v>0</v>
      </c>
      <c r="AR29" s="84">
        <f>SUMIFS(RM_PM_Quantity[Quantity],RM_PM_Quantity[Date],AR$1,RM_PM_Quantity[Location],$D29,RM_PM_Quantity[Section],$C29,RM_PM_Quantity[RM Name],$E29)+IF($D29="MIND/Pre-Production",SUMIFS(RM_PM_Quantity[Quantity],RM_PM_Quantity[Date],AR$1,RM_PM_Quantity[Location],"MIDC/Pre-Production",RM_PM_Quantity[Section],$C29,RM_PM_Quantity[RM Name],$E29),0)</f>
        <v>0</v>
      </c>
      <c r="AS29" s="84">
        <f>SUMIFS(RM_PM_Quantity[Quantity],RM_PM_Quantity[Date],AS$1,RM_PM_Quantity[Location],$D29,RM_PM_Quantity[Section],$C29,RM_PM_Quantity[RM Name],$E29)+IF($D29="MIND/Pre-Production",SUMIFS(RM_PM_Quantity[Quantity],RM_PM_Quantity[Date],AS$1,RM_PM_Quantity[Location],"MIDC/Pre-Production",RM_PM_Quantity[Section],$C29,RM_PM_Quantity[RM Name],$E29),0)</f>
        <v>0</v>
      </c>
      <c r="AT29" s="84">
        <f>SUMIFS(RM_PM_Quantity[Quantity],RM_PM_Quantity[Date],AT$1,RM_PM_Quantity[Location],$D29,RM_PM_Quantity[Section],$C29,RM_PM_Quantity[RM Name],$E29)+IF($D29="MIND/Pre-Production",SUMIFS(RM_PM_Quantity[Quantity],RM_PM_Quantity[Date],AT$1,RM_PM_Quantity[Location],"MIDC/Pre-Production",RM_PM_Quantity[Section],$C29,RM_PM_Quantity[RM Name],$E29),0)</f>
        <v>0</v>
      </c>
      <c r="AU29" s="84">
        <f>SUMIFS(RM_PM_Quantity[Quantity],RM_PM_Quantity[Date],AU$1,RM_PM_Quantity[Location],$D29,RM_PM_Quantity[Section],$C29,RM_PM_Quantity[RM Name],$E29)+IF($D29="MIND/Pre-Production",SUMIFS(RM_PM_Quantity[Quantity],RM_PM_Quantity[Date],AU$1,RM_PM_Quantity[Location],"MIDC/Pre-Production",RM_PM_Quantity[Section],$C29,RM_PM_Quantity[RM Name],$E29),0)</f>
        <v>0</v>
      </c>
      <c r="AV29" s="84">
        <f>SUMIFS(RM_PM_Quantity[Quantity],RM_PM_Quantity[Date],AV$1,RM_PM_Quantity[Location],$D29,RM_PM_Quantity[Section],$C29,RM_PM_Quantity[RM Name],$E29)+IF($D29="MIND/Pre-Production",SUMIFS(RM_PM_Quantity[Quantity],RM_PM_Quantity[Date],AV$1,RM_PM_Quantity[Location],"MIDC/Pre-Production",RM_PM_Quantity[Section],$C29,RM_PM_Quantity[RM Name],$E29),0)</f>
        <v>0</v>
      </c>
      <c r="AW29" s="84">
        <f>SUMIFS(RM_PM_Quantity[Quantity],RM_PM_Quantity[Date],AW$1,RM_PM_Quantity[Location],$D29,RM_PM_Quantity[Section],$C29,RM_PM_Quantity[RM Name],$E29)+IF($D29="MIND/Pre-Production",SUMIFS(RM_PM_Quantity[Quantity],RM_PM_Quantity[Date],AW$1,RM_PM_Quantity[Location],"MIDC/Pre-Production",RM_PM_Quantity[Section],$C29,RM_PM_Quantity[RM Name],$E29),0)</f>
        <v>0</v>
      </c>
      <c r="AX29" s="84">
        <f>SUMIFS(RM_PM_Quantity[Quantity],RM_PM_Quantity[Date],AX$1,RM_PM_Quantity[Location],$D29,RM_PM_Quantity[Section],$C29,RM_PM_Quantity[RM Name],$E29)+IF($D29="MIND/Pre-Production",SUMIFS(RM_PM_Quantity[Quantity],RM_PM_Quantity[Date],AX$1,RM_PM_Quantity[Location],"MIDC/Pre-Production",RM_PM_Quantity[Section],$C29,RM_PM_Quantity[RM Name],$E29),0)</f>
        <v>0</v>
      </c>
      <c r="AY29" s="84">
        <f>SUMIFS(RM_PM_Quantity[Quantity],RM_PM_Quantity[Date],AY$1,RM_PM_Quantity[Location],$D29,RM_PM_Quantity[Section],$C29,RM_PM_Quantity[RM Name],$E29)+IF($D29="MIND/Pre-Production",SUMIFS(RM_PM_Quantity[Quantity],RM_PM_Quantity[Date],AY$1,RM_PM_Quantity[Location],"MIDC/Pre-Production",RM_PM_Quantity[Section],$C29,RM_PM_Quantity[RM Name],$E29),0)</f>
        <v>0</v>
      </c>
      <c r="AZ29" s="84">
        <f>SUMIFS(RM_PM_Quantity[Quantity],RM_PM_Quantity[Date],AZ$1,RM_PM_Quantity[Location],$D29,RM_PM_Quantity[Section],$C29,RM_PM_Quantity[RM Name],$E29)+IF($D29="MIND/Pre-Production",SUMIFS(RM_PM_Quantity[Quantity],RM_PM_Quantity[Date],AZ$1,RM_PM_Quantity[Location],"MIDC/Pre-Production",RM_PM_Quantity[Section],$C29,RM_PM_Quantity[RM Name],$E29),0)</f>
        <v>0</v>
      </c>
      <c r="BA29" s="84">
        <f>SUMIFS(RM_PM_Quantity[Quantity],RM_PM_Quantity[Date],BA$1,RM_PM_Quantity[Location],$D29,RM_PM_Quantity[Section],$C29,RM_PM_Quantity[RM Name],$E29)+IF($D29="MIND/Pre-Production",SUMIFS(RM_PM_Quantity[Quantity],RM_PM_Quantity[Date],BA$1,RM_PM_Quantity[Location],"MIDC/Pre-Production",RM_PM_Quantity[Section],$C29,RM_PM_Quantity[RM Name],$E29),0)</f>
        <v>0</v>
      </c>
      <c r="BB29" s="84">
        <f>SUMIFS(RM_PM_Quantity[Quantity],RM_PM_Quantity[Date],BB$1,RM_PM_Quantity[Location],$D29,RM_PM_Quantity[Section],$C29,RM_PM_Quantity[RM Name],$E29)+IF($D29="MIND/Pre-Production",SUMIFS(RM_PM_Quantity[Quantity],RM_PM_Quantity[Date],BB$1,RM_PM_Quantity[Location],"MIDC/Pre-Production",RM_PM_Quantity[Section],$C29,RM_PM_Quantity[RM Name],$E29),0)</f>
        <v>0</v>
      </c>
      <c r="BC29" s="84">
        <f>SUMIFS(RM_PM_Quantity[Quantity],RM_PM_Quantity[Date],BC$1,RM_PM_Quantity[Location],$D29,RM_PM_Quantity[Section],$C29,RM_PM_Quantity[RM Name],$E29)+IF($D29="MIND/Pre-Production",SUMIFS(RM_PM_Quantity[Quantity],RM_PM_Quantity[Date],BC$1,RM_PM_Quantity[Location],"MIDC/Pre-Production",RM_PM_Quantity[Section],$C29,RM_PM_Quantity[RM Name],$E29),0)</f>
        <v>0</v>
      </c>
      <c r="BD29" s="84">
        <f>SUMIFS(RM_PM_Quantity[Quantity],RM_PM_Quantity[Date],BD$1,RM_PM_Quantity[Location],$D29,RM_PM_Quantity[Section],$C29,RM_PM_Quantity[RM Name],$E29)+IF($D29="MIND/Pre-Production",SUMIFS(RM_PM_Quantity[Quantity],RM_PM_Quantity[Date],BD$1,RM_PM_Quantity[Location],"MIDC/Pre-Production",RM_PM_Quantity[Section],$C29,RM_PM_Quantity[RM Name],$E29),0)</f>
        <v>0</v>
      </c>
      <c r="BE29" s="84">
        <f>SUMIFS(RM_PM_Quantity[Quantity],RM_PM_Quantity[Date],BE$1,RM_PM_Quantity[Location],$D29,RM_PM_Quantity[Section],$C29,RM_PM_Quantity[RM Name],$E29)+IF($D29="MIND/Pre-Production",SUMIFS(RM_PM_Quantity[Quantity],RM_PM_Quantity[Date],BE$1,RM_PM_Quantity[Location],"MIDC/Pre-Production",RM_PM_Quantity[Section],$C29,RM_PM_Quantity[RM Name],$E29),0)</f>
        <v>0</v>
      </c>
      <c r="BF29" s="84">
        <f>SUMIFS(RM_PM_Quantity[Quantity],RM_PM_Quantity[Date],BF$1,RM_PM_Quantity[Location],$D29,RM_PM_Quantity[Section],$C29,RM_PM_Quantity[RM Name],$E29)+IF($D29="MIND/Pre-Production",SUMIFS(RM_PM_Quantity[Quantity],RM_PM_Quantity[Date],BF$1,RM_PM_Quantity[Location],"MIDC/Pre-Production",RM_PM_Quantity[Section],$C29,RM_PM_Quantity[RM Name],$E29),0)</f>
        <v>0</v>
      </c>
      <c r="BG29" s="84">
        <f>SUMIFS(RM_PM_Quantity[Quantity],RM_PM_Quantity[Date],BG$1,RM_PM_Quantity[Location],$D29,RM_PM_Quantity[Section],$C29,RM_PM_Quantity[RM Name],$E29)+IF($D29="MIND/Pre-Production",SUMIFS(RM_PM_Quantity[Quantity],RM_PM_Quantity[Date],BG$1,RM_PM_Quantity[Location],"MIDC/Pre-Production",RM_PM_Quantity[Section],$C29,RM_PM_Quantity[RM Name],$E29),0)</f>
        <v>0</v>
      </c>
      <c r="BH29" s="84">
        <f>SUMIFS(RM_PM_Quantity[Quantity],RM_PM_Quantity[Date],BH$1,RM_PM_Quantity[Location],$D29,RM_PM_Quantity[Section],$C29,RM_PM_Quantity[RM Name],$E29)+IF($D29="MIND/Pre-Production",SUMIFS(RM_PM_Quantity[Quantity],RM_PM_Quantity[Date],BH$1,RM_PM_Quantity[Location],"MIDC/Pre-Production",RM_PM_Quantity[Section],$C29,RM_PM_Quantity[RM Name],$E29),0)</f>
        <v>0</v>
      </c>
      <c r="BI29" s="84">
        <f>SUMIFS(RM_PM_Quantity[Quantity],RM_PM_Quantity[Date],BI$1,RM_PM_Quantity[Location],$D29,RM_PM_Quantity[Section],$C29,RM_PM_Quantity[RM Name],$E29)+IF($D29="MIND/Pre-Production",SUMIFS(RM_PM_Quantity[Quantity],RM_PM_Quantity[Date],BI$1,RM_PM_Quantity[Location],"MIDC/Pre-Production",RM_PM_Quantity[Section],$C29,RM_PM_Quantity[RM Name],$E29),0)</f>
        <v>0</v>
      </c>
      <c r="BJ29" s="84">
        <f>SUMIFS(RM_PM_Quantity[Quantity],RM_PM_Quantity[Date],BJ$1,RM_PM_Quantity[Location],$D29,RM_PM_Quantity[Section],$C29,RM_PM_Quantity[RM Name],$E29)+IF($D29="MIND/Pre-Production",SUMIFS(RM_PM_Quantity[Quantity],RM_PM_Quantity[Date],BJ$1,RM_PM_Quantity[Location],"MIDC/Pre-Production",RM_PM_Quantity[Section],$C29,RM_PM_Quantity[RM Name],$E29),0)</f>
        <v>0</v>
      </c>
      <c r="BK29" s="84">
        <f>SUMIFS(RM_PM_Quantity[Quantity],RM_PM_Quantity[Date],BK$1,RM_PM_Quantity[Location],$D29,RM_PM_Quantity[Section],$C29,RM_PM_Quantity[RM Name],$E29)+IF($D29="MIND/Pre-Production",SUMIFS(RM_PM_Quantity[Quantity],RM_PM_Quantity[Date],BK$1,RM_PM_Quantity[Location],"MIDC/Pre-Production",RM_PM_Quantity[Section],$C29,RM_PM_Quantity[RM Name],$E29),0)</f>
        <v>0</v>
      </c>
      <c r="BL29" s="84">
        <f>SUMIFS(RM_PM_Quantity[Quantity],RM_PM_Quantity[Date],BL$1,RM_PM_Quantity[Location],$D29,RM_PM_Quantity[Section],$C29,RM_PM_Quantity[RM Name],$E29)+IF($D29="MIND/Pre-Production",SUMIFS(RM_PM_Quantity[Quantity],RM_PM_Quantity[Date],BL$1,RM_PM_Quantity[Location],"MIDC/Pre-Production",RM_PM_Quantity[Section],$C29,RM_PM_Quantity[RM Name],$E29),0)</f>
        <v>0</v>
      </c>
      <c r="BM29" s="84">
        <f>SUMIFS(RM_PM_Quantity[Quantity],RM_PM_Quantity[Date],BM$1,RM_PM_Quantity[Location],$D29,RM_PM_Quantity[Section],$C29,RM_PM_Quantity[RM Name],$E29)+IF($D29="MIND/Pre-Production",SUMIFS(RM_PM_Quantity[Quantity],RM_PM_Quantity[Date],BM$1,RM_PM_Quantity[Location],"MIDC/Pre-Production",RM_PM_Quantity[Section],$C29,RM_PM_Quantity[RM Name],$E29),0)</f>
        <v>0</v>
      </c>
      <c r="BN29" s="84">
        <f>SUMIFS(RM_PM_Quantity[Quantity],RM_PM_Quantity[Date],BN$1,RM_PM_Quantity[Location],$D29,RM_PM_Quantity[Section],$C29,RM_PM_Quantity[RM Name],$E29)+IF($D29="MIND/Pre-Production",SUMIFS(RM_PM_Quantity[Quantity],RM_PM_Quantity[Date],BN$1,RM_PM_Quantity[Location],"MIDC/Pre-Production",RM_PM_Quantity[Section],$C29,RM_PM_Quantity[RM Name],$E29),0)</f>
        <v>0</v>
      </c>
      <c r="BO29" s="84">
        <f>SUMIFS(RM_PM_Quantity[Quantity],RM_PM_Quantity[Date],BO$1,RM_PM_Quantity[Location],$D29,RM_PM_Quantity[Section],$C29,RM_PM_Quantity[RM Name],$E29)+IF($D29="MIND/Pre-Production",SUMIFS(RM_PM_Quantity[Quantity],RM_PM_Quantity[Date],BO$1,RM_PM_Quantity[Location],"MIDC/Pre-Production",RM_PM_Quantity[Section],$C29,RM_PM_Quantity[RM Name],$E29),0)</f>
        <v>0</v>
      </c>
      <c r="BP29" s="84">
        <f>SUMIFS(RM_PM_Quantity[Quantity],RM_PM_Quantity[Date],BP$1,RM_PM_Quantity[Location],$D29,RM_PM_Quantity[Section],$C29,RM_PM_Quantity[RM Name],$E29)+IF($D29="MIND/Pre-Production",SUMIFS(RM_PM_Quantity[Quantity],RM_PM_Quantity[Date],BP$1,RM_PM_Quantity[Location],"MIDC/Pre-Production",RM_PM_Quantity[Section],$C29,RM_PM_Quantity[RM Name],$E29),0)</f>
        <v>0</v>
      </c>
      <c r="BQ29" s="84">
        <f>SUMIFS(RM_PM_Quantity[Quantity],RM_PM_Quantity[Date],BQ$1,RM_PM_Quantity[Location],$D29,RM_PM_Quantity[Section],$C29,RM_PM_Quantity[RM Name],$E29)+IF($D29="MIND/Pre-Production",SUMIFS(RM_PM_Quantity[Quantity],RM_PM_Quantity[Date],BQ$1,RM_PM_Quantity[Location],"MIDC/Pre-Production",RM_PM_Quantity[Section],$C29,RM_PM_Quantity[RM Name],$E29),0)</f>
        <v>0</v>
      </c>
      <c r="BR29" s="84">
        <f>SUMIFS(RM_PM_Quantity[Quantity],RM_PM_Quantity[Date],BR$1,RM_PM_Quantity[Location],$D29,RM_PM_Quantity[Section],$C29,RM_PM_Quantity[RM Name],$E29)+IF($D29="MIND/Pre-Production",SUMIFS(RM_PM_Quantity[Quantity],RM_PM_Quantity[Date],BR$1,RM_PM_Quantity[Location],"MIDC/Pre-Production",RM_PM_Quantity[Section],$C29,RM_PM_Quantity[RM Name],$E29),0)</f>
        <v>0</v>
      </c>
      <c r="BS29" s="84">
        <f>SUMIFS(RM_PM_Quantity[Quantity],RM_PM_Quantity[Date],BS$1,RM_PM_Quantity[Location],$D29,RM_PM_Quantity[Section],$C29,RM_PM_Quantity[RM Name],$E29)+IF($D29="MIND/Pre-Production",SUMIFS(RM_PM_Quantity[Quantity],RM_PM_Quantity[Date],BS$1,RM_PM_Quantity[Location],"MIDC/Pre-Production",RM_PM_Quantity[Section],$C29,RM_PM_Quantity[RM Name],$E29),0)</f>
        <v>0</v>
      </c>
      <c r="BT29" s="84">
        <f>SUMIFS(RM_PM_Quantity[ID],RM_PM_Quantity[Location],BT$1,RM_PM_Quantity[Section],$D29,RM_PM_Quantity[RM Name],$C29,RM_PM_Quantity[Quantity],$E29)+IF($D29="MIND/Pre-Production",SUMIFS(RM_PM_Quantity[ID],RM_PM_Quantity[Location],BT$1,RM_PM_Quantity[Section],"MIDC/Pre-Production",RM_PM_Quantity[RM Name],$C29,RM_PM_Quantity[Quantity],$E29),0)</f>
        <v>0</v>
      </c>
      <c r="BU29" s="84">
        <f>SUMIFS(RM_PM_Quantity[Name of Supervisor],RM_PM_Quantity[Section],BU$1,RM_PM_Quantity[RM Name],$D29,RM_PM_Quantity[Quantity],$C29,RM_PM_Quantity[ID],$E29)+IF($D29="MIND/Pre-Production",SUMIFS(RM_PM_Quantity[Name of Supervisor],RM_PM_Quantity[Section],BU$1,RM_PM_Quantity[RM Name],"MIDC/Pre-Production",RM_PM_Quantity[Quantity],$C29,RM_PM_Quantity[ID],$E29),0)</f>
        <v>0</v>
      </c>
      <c r="BV29" s="84">
        <f>SUMIFS(RM_PM_Quantity[Date],RM_PM_Quantity[RM Name],BV$1,RM_PM_Quantity[Quantity],$D29,RM_PM_Quantity[ID],$C29,RM_PM_Quantity[Name of Supervisor],$E29)+IF($D29="MIND/Pre-Production",SUMIFS(RM_PM_Quantity[Date],RM_PM_Quantity[RM Name],BV$1,RM_PM_Quantity[Quantity],"MIDC/Pre-Production",RM_PM_Quantity[ID],$C29,RM_PM_Quantity[Name of Supervisor],$E29),0)</f>
        <v>0</v>
      </c>
      <c r="BW29" s="84">
        <f>SUMIFS(RM_PM_Quantity[Location],RM_PM_Quantity[Quantity],BW$1,RM_PM_Quantity[ID],$D29,RM_PM_Quantity[Name of Supervisor],$C29,RM_PM_Quantity[Date],$E29)+IF($D29="MIND/Pre-Production",SUMIFS(RM_PM_Quantity[Location],RM_PM_Quantity[Quantity],BW$1,RM_PM_Quantity[ID],"MIDC/Pre-Production",RM_PM_Quantity[Name of Supervisor],$C29,RM_PM_Quantity[Date],$E29),0)</f>
        <v>0</v>
      </c>
      <c r="BX29" s="84">
        <f>SUMIFS(RM_PM_Quantity[Section],RM_PM_Quantity[ID],BX$1,RM_PM_Quantity[Name of Supervisor],$D29,RM_PM_Quantity[Date],$C29,RM_PM_Quantity[Location],$E29)+IF($D29="MIND/Pre-Production",SUMIFS(RM_PM_Quantity[Section],RM_PM_Quantity[ID],BX$1,RM_PM_Quantity[Name of Supervisor],"MIDC/Pre-Production",RM_PM_Quantity[Date],$C29,RM_PM_Quantity[Location],$E29),0)</f>
        <v>0</v>
      </c>
      <c r="BY29" s="84">
        <f>SUMIFS(RM_PM_Quantity[RM Name],RM_PM_Quantity[Name of Supervisor],BY$1,RM_PM_Quantity[Date],$D29,RM_PM_Quantity[Location],$C29,RM_PM_Quantity[Section],$E29)+IF($D29="MIND/Pre-Production",SUMIFS(RM_PM_Quantity[RM Name],RM_PM_Quantity[Name of Supervisor],BY$1,RM_PM_Quantity[Date],"MIDC/Pre-Production",RM_PM_Quantity[Location],$C29,RM_PM_Quantity[Section],$E29),0)</f>
        <v>0</v>
      </c>
    </row>
    <row r="30" spans="1:77" ht="45.75" customHeight="1">
      <c r="A30" s="79">
        <v>29</v>
      </c>
      <c r="B30" s="79" t="s">
        <v>110</v>
      </c>
      <c r="C30" s="80" t="s">
        <v>108</v>
      </c>
      <c r="D30" s="81" t="s">
        <v>68</v>
      </c>
      <c r="E30" s="82" t="s">
        <v>111</v>
      </c>
      <c r="F30" s="83">
        <f>IFERROR(_xlfn.XLOOKUP(B30,'[1]RM Tracker'!B:B,'[1]RM Tracker'!E:E),"0")</f>
        <v>12099.829841999999</v>
      </c>
      <c r="G30" s="85">
        <f t="shared" si="2"/>
        <v>0</v>
      </c>
      <c r="H30" s="85">
        <f t="shared" si="0"/>
        <v>-12099.829841999999</v>
      </c>
      <c r="I30" s="91">
        <f t="shared" si="1"/>
        <v>0</v>
      </c>
      <c r="J30" s="84">
        <f>SUMIFS(RM_PM_Quantity[Quantity],RM_PM_Quantity[Date],J$1,RM_PM_Quantity[Location],$D30,RM_PM_Quantity[Section],$C30,RM_PM_Quantity[RM Name],$E30)+IF($D30="MIND/Pre-Production",SUMIFS(RM_PM_Quantity[Quantity],RM_PM_Quantity[Date],J$1,RM_PM_Quantity[Location],"MIDC/Pre-Production",RM_PM_Quantity[Section],$C30,RM_PM_Quantity[RM Name],$E30),0)</f>
        <v>0</v>
      </c>
      <c r="K30" s="84">
        <f>SUMIFS(RM_PM_Quantity[Quantity],RM_PM_Quantity[Date],K$1,RM_PM_Quantity[Location],$D30,RM_PM_Quantity[Section],$C30,RM_PM_Quantity[RM Name],$E30)+IF($D30="MIND/Pre-Production",SUMIFS(RM_PM_Quantity[Quantity],RM_PM_Quantity[Date],K$1,RM_PM_Quantity[Location],"MIDC/Pre-Production",RM_PM_Quantity[Section],$C30,RM_PM_Quantity[RM Name],$E30),0)</f>
        <v>0</v>
      </c>
      <c r="L30" s="84">
        <f>SUMIFS(RM_PM_Quantity[Quantity],RM_PM_Quantity[Date],L$1,RM_PM_Quantity[Location],$D30,RM_PM_Quantity[Section],$C30,RM_PM_Quantity[RM Name],$E30)+IF($D30="MIND/Pre-Production",SUMIFS(RM_PM_Quantity[Quantity],RM_PM_Quantity[Date],L$1,RM_PM_Quantity[Location],"MIDC/Pre-Production",RM_PM_Quantity[Section],$C30,RM_PM_Quantity[RM Name],$E30),0)</f>
        <v>0</v>
      </c>
      <c r="M30" s="84">
        <f>SUMIFS(RM_PM_Quantity[Quantity],RM_PM_Quantity[Date],M$1,RM_PM_Quantity[Location],$D30,RM_PM_Quantity[Section],$C30,RM_PM_Quantity[RM Name],$E30)+IF($D30="MIND/Pre-Production",SUMIFS(RM_PM_Quantity[Quantity],RM_PM_Quantity[Date],M$1,RM_PM_Quantity[Location],"MIDC/Pre-Production",RM_PM_Quantity[Section],$C30,RM_PM_Quantity[RM Name],$E30),0)</f>
        <v>0</v>
      </c>
      <c r="N30" s="84">
        <f>SUMIFS(RM_PM_Quantity[Quantity],RM_PM_Quantity[Date],N$1,RM_PM_Quantity[Location],$D30,RM_PM_Quantity[Section],$C30,RM_PM_Quantity[RM Name],$E30)+IF($D30="MIND/Pre-Production",SUMIFS(RM_PM_Quantity[Quantity],RM_PM_Quantity[Date],N$1,RM_PM_Quantity[Location],"MIDC/Pre-Production",RM_PM_Quantity[Section],$C30,RM_PM_Quantity[RM Name],$E30),0)</f>
        <v>0</v>
      </c>
      <c r="O30" s="84">
        <f>SUMIFS(RM_PM_Quantity[Quantity],RM_PM_Quantity[Date],O$1,RM_PM_Quantity[Location],$D30,RM_PM_Quantity[Section],$C30,RM_PM_Quantity[RM Name],$E30)+IF($D30="MIND/Pre-Production",SUMIFS(RM_PM_Quantity[Quantity],RM_PM_Quantity[Date],O$1,RM_PM_Quantity[Location],"MIDC/Pre-Production",RM_PM_Quantity[Section],$C30,RM_PM_Quantity[RM Name],$E30),0)</f>
        <v>0</v>
      </c>
      <c r="P30" s="84">
        <f>SUMIFS(RM_PM_Quantity[Quantity],RM_PM_Quantity[Date],P$1,RM_PM_Quantity[Location],$D30,RM_PM_Quantity[Section],$C30,RM_PM_Quantity[RM Name],$E30)+IF($D30="MIND/Pre-Production",SUMIFS(RM_PM_Quantity[Quantity],RM_PM_Quantity[Date],P$1,RM_PM_Quantity[Location],"MIDC/Pre-Production",RM_PM_Quantity[Section],$C30,RM_PM_Quantity[RM Name],$E30),0)</f>
        <v>0</v>
      </c>
      <c r="Q30" s="84">
        <f>SUMIFS(RM_PM_Quantity[Quantity],RM_PM_Quantity[Date],Q$1,RM_PM_Quantity[Location],$D30,RM_PM_Quantity[Section],$C30,RM_PM_Quantity[RM Name],$E30)+IF($D30="MIND/Pre-Production",SUMIFS(RM_PM_Quantity[Quantity],RM_PM_Quantity[Date],Q$1,RM_PM_Quantity[Location],"MIDC/Pre-Production",RM_PM_Quantity[Section],$C30,RM_PM_Quantity[RM Name],$E30),0)</f>
        <v>0</v>
      </c>
      <c r="R30" s="84">
        <f>SUMIFS(RM_PM_Quantity[Quantity],RM_PM_Quantity[Date],R$1,RM_PM_Quantity[Location],$D30,RM_PM_Quantity[Section],$C30,RM_PM_Quantity[RM Name],$E30)+IF($D30="MIND/Pre-Production",SUMIFS(RM_PM_Quantity[Quantity],RM_PM_Quantity[Date],R$1,RM_PM_Quantity[Location],"MIDC/Pre-Production",RM_PM_Quantity[Section],$C30,RM_PM_Quantity[RM Name],$E30),0)</f>
        <v>0</v>
      </c>
      <c r="S30" s="84">
        <f>SUMIFS(RM_PM_Quantity[Quantity],RM_PM_Quantity[Date],S$1,RM_PM_Quantity[Location],$D30,RM_PM_Quantity[Section],$C30,RM_PM_Quantity[RM Name],$E30)+IF($D30="MIND/Pre-Production",SUMIFS(RM_PM_Quantity[Quantity],RM_PM_Quantity[Date],S$1,RM_PM_Quantity[Location],"MIDC/Pre-Production",RM_PM_Quantity[Section],$C30,RM_PM_Quantity[RM Name],$E30),0)</f>
        <v>0</v>
      </c>
      <c r="T30" s="84">
        <f>SUMIFS(RM_PM_Quantity[Quantity],RM_PM_Quantity[Date],T$1,RM_PM_Quantity[Location],$D30,RM_PM_Quantity[Section],$C30,RM_PM_Quantity[RM Name],$E30)+IF($D30="MIND/Pre-Production",SUMIFS(RM_PM_Quantity[Quantity],RM_PM_Quantity[Date],T$1,RM_PM_Quantity[Location],"MIDC/Pre-Production",RM_PM_Quantity[Section],$C30,RM_PM_Quantity[RM Name],$E30),0)</f>
        <v>6820</v>
      </c>
      <c r="U30" s="84">
        <f>SUMIFS(RM_PM_Quantity[Quantity],RM_PM_Quantity[Date],U$1,RM_PM_Quantity[Location],$D30,RM_PM_Quantity[Section],$C30,RM_PM_Quantity[RM Name],$E30)+IF($D30="MIND/Pre-Production",SUMIFS(RM_PM_Quantity[Quantity],RM_PM_Quantity[Date],U$1,RM_PM_Quantity[Location],"MIDC/Pre-Production",RM_PM_Quantity[Section],$C30,RM_PM_Quantity[RM Name],$E30),0)</f>
        <v>0</v>
      </c>
      <c r="V30" s="84">
        <f>SUMIFS(RM_PM_Quantity[Quantity],RM_PM_Quantity[Date],V$1,RM_PM_Quantity[Location],$D30,RM_PM_Quantity[Section],$C30,RM_PM_Quantity[RM Name],$E30)+IF($D30="MIND/Pre-Production",SUMIFS(RM_PM_Quantity[Quantity],RM_PM_Quantity[Date],V$1,RM_PM_Quantity[Location],"MIDC/Pre-Production",RM_PM_Quantity[Section],$C30,RM_PM_Quantity[RM Name],$E30),0)</f>
        <v>0</v>
      </c>
      <c r="W30" s="84">
        <f>SUMIFS(RM_PM_Quantity[Quantity],RM_PM_Quantity[Date],W$1,RM_PM_Quantity[Location],$D30,RM_PM_Quantity[Section],$C30,RM_PM_Quantity[RM Name],$E30)+IF($D30="MIND/Pre-Production",SUMIFS(RM_PM_Quantity[Quantity],RM_PM_Quantity[Date],W$1,RM_PM_Quantity[Location],"MIDC/Pre-Production",RM_PM_Quantity[Section],$C30,RM_PM_Quantity[RM Name],$E30),0)</f>
        <v>0</v>
      </c>
      <c r="X30" s="84">
        <f>SUMIFS(RM_PM_Quantity[Quantity],RM_PM_Quantity[Date],X$1,RM_PM_Quantity[Location],$D30,RM_PM_Quantity[Section],$C30,RM_PM_Quantity[RM Name],$E30)+IF($D30="MIND/Pre-Production",SUMIFS(RM_PM_Quantity[Quantity],RM_PM_Quantity[Date],X$1,RM_PM_Quantity[Location],"MIDC/Pre-Production",RM_PM_Quantity[Section],$C30,RM_PM_Quantity[RM Name],$E30),0)</f>
        <v>0</v>
      </c>
      <c r="Y30" s="84">
        <f>SUMIFS(RM_PM_Quantity[Quantity],RM_PM_Quantity[Date],Y$1,RM_PM_Quantity[Location],$D30,RM_PM_Quantity[Section],$C30,RM_PM_Quantity[RM Name],$E30)+IF($D30="MIND/Pre-Production",SUMIFS(RM_PM_Quantity[Quantity],RM_PM_Quantity[Date],Y$1,RM_PM_Quantity[Location],"MIDC/Pre-Production",RM_PM_Quantity[Section],$C30,RM_PM_Quantity[RM Name],$E30),0)</f>
        <v>7970</v>
      </c>
      <c r="Z30" s="84">
        <f>SUMIFS(RM_PM_Quantity[Quantity],RM_PM_Quantity[Date],Z$1,RM_PM_Quantity[Location],$D30,RM_PM_Quantity[Section],$C30,RM_PM_Quantity[RM Name],$E30)+IF($D30="MIND/Pre-Production",SUMIFS(RM_PM_Quantity[Quantity],RM_PM_Quantity[Date],Z$1,RM_PM_Quantity[Location],"MIDC/Pre-Production",RM_PM_Quantity[Section],$C30,RM_PM_Quantity[RM Name],$E30),0)</f>
        <v>0</v>
      </c>
      <c r="AA30" s="84">
        <f>SUMIFS(RM_PM_Quantity[Quantity],RM_PM_Quantity[Date],AA$1,RM_PM_Quantity[Location],$D30,RM_PM_Quantity[Section],$C30,RM_PM_Quantity[RM Name],$E30)+IF($D30="MIND/Pre-Production",SUMIFS(RM_PM_Quantity[Quantity],RM_PM_Quantity[Date],AA$1,RM_PM_Quantity[Location],"MIDC/Pre-Production",RM_PM_Quantity[Section],$C30,RM_PM_Quantity[RM Name],$E30),0)</f>
        <v>0</v>
      </c>
      <c r="AB30" s="84">
        <f>SUMIFS(RM_PM_Quantity[Quantity],RM_PM_Quantity[Date],AB$1,RM_PM_Quantity[Location],$D30,RM_PM_Quantity[Section],$C30,RM_PM_Quantity[RM Name],$E30)+IF($D30="MIND/Pre-Production",SUMIFS(RM_PM_Quantity[Quantity],RM_PM_Quantity[Date],AB$1,RM_PM_Quantity[Location],"MIDC/Pre-Production",RM_PM_Quantity[Section],$C30,RM_PM_Quantity[RM Name],$E30),0)</f>
        <v>0</v>
      </c>
      <c r="AC30" s="84">
        <f>SUMIFS(RM_PM_Quantity[Quantity],RM_PM_Quantity[Date],AC$1,RM_PM_Quantity[Location],$D30,RM_PM_Quantity[Section],$C30,RM_PM_Quantity[RM Name],$E30)+IF($D30="MIND/Pre-Production",SUMIFS(RM_PM_Quantity[Quantity],RM_PM_Quantity[Date],AC$1,RM_PM_Quantity[Location],"MIDC/Pre-Production",RM_PM_Quantity[Section],$C30,RM_PM_Quantity[RM Name],$E30),0)</f>
        <v>0</v>
      </c>
      <c r="AD30" s="84">
        <f>SUMIFS(RM_PM_Quantity[Quantity],RM_PM_Quantity[Date],AD$1,RM_PM_Quantity[Location],$D30,RM_PM_Quantity[Section],$C30,RM_PM_Quantity[RM Name],$E30)+IF($D30="MIND/Pre-Production",SUMIFS(RM_PM_Quantity[Quantity],RM_PM_Quantity[Date],AD$1,RM_PM_Quantity[Location],"MIDC/Pre-Production",RM_PM_Quantity[Section],$C30,RM_PM_Quantity[RM Name],$E30),0)</f>
        <v>0</v>
      </c>
      <c r="AE30" s="84">
        <f>SUMIFS(RM_PM_Quantity[Quantity],RM_PM_Quantity[Date],AE$1,RM_PM_Quantity[Location],$D30,RM_PM_Quantity[Section],$C30,RM_PM_Quantity[RM Name],$E30)+IF($D30="MIND/Pre-Production",SUMIFS(RM_PM_Quantity[Quantity],RM_PM_Quantity[Date],AE$1,RM_PM_Quantity[Location],"MIDC/Pre-Production",RM_PM_Quantity[Section],$C30,RM_PM_Quantity[RM Name],$E30),0)</f>
        <v>0</v>
      </c>
      <c r="AF30" s="84">
        <f>SUMIFS(RM_PM_Quantity[Quantity],RM_PM_Quantity[Date],AF$1,RM_PM_Quantity[Location],$D30,RM_PM_Quantity[Section],$C30,RM_PM_Quantity[RM Name],$E30)+IF($D30="MIND/Pre-Production",SUMIFS(RM_PM_Quantity[Quantity],RM_PM_Quantity[Date],AF$1,RM_PM_Quantity[Location],"MIDC/Pre-Production",RM_PM_Quantity[Section],$C30,RM_PM_Quantity[RM Name],$E30),0)</f>
        <v>6940</v>
      </c>
      <c r="AG30" s="84">
        <f>SUMIFS(RM_PM_Quantity[Quantity],RM_PM_Quantity[Date],AG$1,RM_PM_Quantity[Location],$D30,RM_PM_Quantity[Section],$C30,RM_PM_Quantity[RM Name],$E30)+IF($D30="MIND/Pre-Production",SUMIFS(RM_PM_Quantity[Quantity],RM_PM_Quantity[Date],AG$1,RM_PM_Quantity[Location],"MIDC/Pre-Production",RM_PM_Quantity[Section],$C30,RM_PM_Quantity[RM Name],$E30),0)</f>
        <v>0</v>
      </c>
      <c r="AH30" s="84">
        <f>SUMIFS(RM_PM_Quantity[Quantity],RM_PM_Quantity[Date],AH$1,RM_PM_Quantity[Location],$D30,RM_PM_Quantity[Section],$C30,RM_PM_Quantity[RM Name],$E30)+IF($D30="MIND/Pre-Production",SUMIFS(RM_PM_Quantity[Quantity],RM_PM_Quantity[Date],AH$1,RM_PM_Quantity[Location],"MIDC/Pre-Production",RM_PM_Quantity[Section],$C30,RM_PM_Quantity[RM Name],$E30),0)</f>
        <v>0</v>
      </c>
      <c r="AI30" s="84">
        <f>SUMIFS(RM_PM_Quantity[Quantity],RM_PM_Quantity[Date],AI$1,RM_PM_Quantity[Location],$D30,RM_PM_Quantity[Section],$C30,RM_PM_Quantity[RM Name],$E30)+IF($D30="MIND/Pre-Production",SUMIFS(RM_PM_Quantity[Quantity],RM_PM_Quantity[Date],AI$1,RM_PM_Quantity[Location],"MIDC/Pre-Production",RM_PM_Quantity[Section],$C30,RM_PM_Quantity[RM Name],$E30),0)</f>
        <v>0</v>
      </c>
      <c r="AJ30" s="84">
        <f>SUMIFS(RM_PM_Quantity[Quantity],RM_PM_Quantity[Date],AJ$1,RM_PM_Quantity[Location],$D30,RM_PM_Quantity[Section],$C30,RM_PM_Quantity[RM Name],$E30)+IF($D30="MIND/Pre-Production",SUMIFS(RM_PM_Quantity[Quantity],RM_PM_Quantity[Date],AJ$1,RM_PM_Quantity[Location],"MIDC/Pre-Production",RM_PM_Quantity[Section],$C30,RM_PM_Quantity[RM Name],$E30),0)</f>
        <v>0</v>
      </c>
      <c r="AK30" s="84">
        <f>SUMIFS(RM_PM_Quantity[Quantity],RM_PM_Quantity[Date],AK$1,RM_PM_Quantity[Location],$D30,RM_PM_Quantity[Section],$C30,RM_PM_Quantity[RM Name],$E30)+IF($D30="MIND/Pre-Production",SUMIFS(RM_PM_Quantity[Quantity],RM_PM_Quantity[Date],AK$1,RM_PM_Quantity[Location],"MIDC/Pre-Production",RM_PM_Quantity[Section],$C30,RM_PM_Quantity[RM Name],$E30),0)</f>
        <v>0</v>
      </c>
      <c r="AL30" s="84">
        <f>SUMIFS(RM_PM_Quantity[Quantity],RM_PM_Quantity[Date],AL$1,RM_PM_Quantity[Location],$D30,RM_PM_Quantity[Section],$C30,RM_PM_Quantity[RM Name],$E30)+IF($D30="MIND/Pre-Production",SUMIFS(RM_PM_Quantity[Quantity],RM_PM_Quantity[Date],AL$1,RM_PM_Quantity[Location],"MIDC/Pre-Production",RM_PM_Quantity[Section],$C30,RM_PM_Quantity[RM Name],$E30),0)</f>
        <v>1000</v>
      </c>
      <c r="AM30" s="84">
        <f>SUMIFS(RM_PM_Quantity[Quantity],RM_PM_Quantity[Date],AM$1,RM_PM_Quantity[Location],$D30,RM_PM_Quantity[Section],$C30,RM_PM_Quantity[RM Name],$E30)+IF($D30="MIND/Pre-Production",SUMIFS(RM_PM_Quantity[Quantity],RM_PM_Quantity[Date],AM$1,RM_PM_Quantity[Location],"MIDC/Pre-Production",RM_PM_Quantity[Section],$C30,RM_PM_Quantity[RM Name],$E30),0)</f>
        <v>0</v>
      </c>
      <c r="AN30" s="84">
        <f>SUMIFS(RM_PM_Quantity[Quantity],RM_PM_Quantity[Date],AN$1,RM_PM_Quantity[Location],$D30,RM_PM_Quantity[Section],$C30,RM_PM_Quantity[RM Name],$E30)+IF($D30="MIND/Pre-Production",SUMIFS(RM_PM_Quantity[Quantity],RM_PM_Quantity[Date],AN$1,RM_PM_Quantity[Location],"MIDC/Pre-Production",RM_PM_Quantity[Section],$C30,RM_PM_Quantity[RM Name],$E30),0)</f>
        <v>0</v>
      </c>
      <c r="AO30" s="84">
        <f>SUMIFS(RM_PM_Quantity[Quantity],RM_PM_Quantity[Date],AO$1,RM_PM_Quantity[Location],$D30,RM_PM_Quantity[Section],$C30,RM_PM_Quantity[RM Name],$E30)+IF($D30="MIND/Pre-Production",SUMIFS(RM_PM_Quantity[Quantity],RM_PM_Quantity[Date],AO$1,RM_PM_Quantity[Location],"MIDC/Pre-Production",RM_PM_Quantity[Section],$C30,RM_PM_Quantity[RM Name],$E30),0)</f>
        <v>0</v>
      </c>
      <c r="AP30" s="84">
        <f>SUMIFS(RM_PM_Quantity[Quantity],RM_PM_Quantity[Date],AP$1,RM_PM_Quantity[Location],$D30,RM_PM_Quantity[Section],$C30,RM_PM_Quantity[RM Name],$E30)+IF($D30="MIND/Pre-Production",SUMIFS(RM_PM_Quantity[Quantity],RM_PM_Quantity[Date],AP$1,RM_PM_Quantity[Location],"MIDC/Pre-Production",RM_PM_Quantity[Section],$C30,RM_PM_Quantity[RM Name],$E30),0)</f>
        <v>0</v>
      </c>
      <c r="AQ30" s="84">
        <f>SUMIFS(RM_PM_Quantity[Quantity],RM_PM_Quantity[Date],AQ$1,RM_PM_Quantity[Location],$D30,RM_PM_Quantity[Section],$C30,RM_PM_Quantity[RM Name],$E30)+IF($D30="MIND/Pre-Production",SUMIFS(RM_PM_Quantity[Quantity],RM_PM_Quantity[Date],AQ$1,RM_PM_Quantity[Location],"MIDC/Pre-Production",RM_PM_Quantity[Section],$C30,RM_PM_Quantity[RM Name],$E30),0)</f>
        <v>0</v>
      </c>
      <c r="AR30" s="84">
        <f>SUMIFS(RM_PM_Quantity[Quantity],RM_PM_Quantity[Date],AR$1,RM_PM_Quantity[Location],$D30,RM_PM_Quantity[Section],$C30,RM_PM_Quantity[RM Name],$E30)+IF($D30="MIND/Pre-Production",SUMIFS(RM_PM_Quantity[Quantity],RM_PM_Quantity[Date],AR$1,RM_PM_Quantity[Location],"MIDC/Pre-Production",RM_PM_Quantity[Section],$C30,RM_PM_Quantity[RM Name],$E30),0)</f>
        <v>0</v>
      </c>
      <c r="AS30" s="84">
        <f>SUMIFS(RM_PM_Quantity[Quantity],RM_PM_Quantity[Date],AS$1,RM_PM_Quantity[Location],$D30,RM_PM_Quantity[Section],$C30,RM_PM_Quantity[RM Name],$E30)+IF($D30="MIND/Pre-Production",SUMIFS(RM_PM_Quantity[Quantity],RM_PM_Quantity[Date],AS$1,RM_PM_Quantity[Location],"MIDC/Pre-Production",RM_PM_Quantity[Section],$C30,RM_PM_Quantity[RM Name],$E30),0)</f>
        <v>0</v>
      </c>
      <c r="AT30" s="84">
        <f>SUMIFS(RM_PM_Quantity[Quantity],RM_PM_Quantity[Date],AT$1,RM_PM_Quantity[Location],$D30,RM_PM_Quantity[Section],$C30,RM_PM_Quantity[RM Name],$E30)+IF($D30="MIND/Pre-Production",SUMIFS(RM_PM_Quantity[Quantity],RM_PM_Quantity[Date],AT$1,RM_PM_Quantity[Location],"MIDC/Pre-Production",RM_PM_Quantity[Section],$C30,RM_PM_Quantity[RM Name],$E30),0)</f>
        <v>0</v>
      </c>
      <c r="AU30" s="84">
        <f>SUMIFS(RM_PM_Quantity[Quantity],RM_PM_Quantity[Date],AU$1,RM_PM_Quantity[Location],$D30,RM_PM_Quantity[Section],$C30,RM_PM_Quantity[RM Name],$E30)+IF($D30="MIND/Pre-Production",SUMIFS(RM_PM_Quantity[Quantity],RM_PM_Quantity[Date],AU$1,RM_PM_Quantity[Location],"MIDC/Pre-Production",RM_PM_Quantity[Section],$C30,RM_PM_Quantity[RM Name],$E30),0)</f>
        <v>0</v>
      </c>
      <c r="AV30" s="84">
        <f>SUMIFS(RM_PM_Quantity[Quantity],RM_PM_Quantity[Date],AV$1,RM_PM_Quantity[Location],$D30,RM_PM_Quantity[Section],$C30,RM_PM_Quantity[RM Name],$E30)+IF($D30="MIND/Pre-Production",SUMIFS(RM_PM_Quantity[Quantity],RM_PM_Quantity[Date],AV$1,RM_PM_Quantity[Location],"MIDC/Pre-Production",RM_PM_Quantity[Section],$C30,RM_PM_Quantity[RM Name],$E30),0)</f>
        <v>0</v>
      </c>
      <c r="AW30" s="84">
        <f>SUMIFS(RM_PM_Quantity[Quantity],RM_PM_Quantity[Date],AW$1,RM_PM_Quantity[Location],$D30,RM_PM_Quantity[Section],$C30,RM_PM_Quantity[RM Name],$E30)+IF($D30="MIND/Pre-Production",SUMIFS(RM_PM_Quantity[Quantity],RM_PM_Quantity[Date],AW$1,RM_PM_Quantity[Location],"MIDC/Pre-Production",RM_PM_Quantity[Section],$C30,RM_PM_Quantity[RM Name],$E30),0)</f>
        <v>0</v>
      </c>
      <c r="AX30" s="84">
        <f>SUMIFS(RM_PM_Quantity[Quantity],RM_PM_Quantity[Date],AX$1,RM_PM_Quantity[Location],$D30,RM_PM_Quantity[Section],$C30,RM_PM_Quantity[RM Name],$E30)+IF($D30="MIND/Pre-Production",SUMIFS(RM_PM_Quantity[Quantity],RM_PM_Quantity[Date],AX$1,RM_PM_Quantity[Location],"MIDC/Pre-Production",RM_PM_Quantity[Section],$C30,RM_PM_Quantity[RM Name],$E30),0)</f>
        <v>0</v>
      </c>
      <c r="AY30" s="84">
        <f>SUMIFS(RM_PM_Quantity[Quantity],RM_PM_Quantity[Date],AY$1,RM_PM_Quantity[Location],$D30,RM_PM_Quantity[Section],$C30,RM_PM_Quantity[RM Name],$E30)+IF($D30="MIND/Pre-Production",SUMIFS(RM_PM_Quantity[Quantity],RM_PM_Quantity[Date],AY$1,RM_PM_Quantity[Location],"MIDC/Pre-Production",RM_PM_Quantity[Section],$C30,RM_PM_Quantity[RM Name],$E30),0)</f>
        <v>0</v>
      </c>
      <c r="AZ30" s="84">
        <f>SUMIFS(RM_PM_Quantity[Quantity],RM_PM_Quantity[Date],AZ$1,RM_PM_Quantity[Location],$D30,RM_PM_Quantity[Section],$C30,RM_PM_Quantity[RM Name],$E30)+IF($D30="MIND/Pre-Production",SUMIFS(RM_PM_Quantity[Quantity],RM_PM_Quantity[Date],AZ$1,RM_PM_Quantity[Location],"MIDC/Pre-Production",RM_PM_Quantity[Section],$C30,RM_PM_Quantity[RM Name],$E30),0)</f>
        <v>0</v>
      </c>
      <c r="BA30" s="84">
        <f>SUMIFS(RM_PM_Quantity[Quantity],RM_PM_Quantity[Date],BA$1,RM_PM_Quantity[Location],$D30,RM_PM_Quantity[Section],$C30,RM_PM_Quantity[RM Name],$E30)+IF($D30="MIND/Pre-Production",SUMIFS(RM_PM_Quantity[Quantity],RM_PM_Quantity[Date],BA$1,RM_PM_Quantity[Location],"MIDC/Pre-Production",RM_PM_Quantity[Section],$C30,RM_PM_Quantity[RM Name],$E30),0)</f>
        <v>0</v>
      </c>
      <c r="BB30" s="84">
        <f>SUMIFS(RM_PM_Quantity[Quantity],RM_PM_Quantity[Date],BB$1,RM_PM_Quantity[Location],$D30,RM_PM_Quantity[Section],$C30,RM_PM_Quantity[RM Name],$E30)+IF($D30="MIND/Pre-Production",SUMIFS(RM_PM_Quantity[Quantity],RM_PM_Quantity[Date],BB$1,RM_PM_Quantity[Location],"MIDC/Pre-Production",RM_PM_Quantity[Section],$C30,RM_PM_Quantity[RM Name],$E30),0)</f>
        <v>0</v>
      </c>
      <c r="BC30" s="84">
        <f>SUMIFS(RM_PM_Quantity[Quantity],RM_PM_Quantity[Date],BC$1,RM_PM_Quantity[Location],$D30,RM_PM_Quantity[Section],$C30,RM_PM_Quantity[RM Name],$E30)+IF($D30="MIND/Pre-Production",SUMIFS(RM_PM_Quantity[Quantity],RM_PM_Quantity[Date],BC$1,RM_PM_Quantity[Location],"MIDC/Pre-Production",RM_PM_Quantity[Section],$C30,RM_PM_Quantity[RM Name],$E30),0)</f>
        <v>0</v>
      </c>
      <c r="BD30" s="84">
        <f>SUMIFS(RM_PM_Quantity[Quantity],RM_PM_Quantity[Date],BD$1,RM_PM_Quantity[Location],$D30,RM_PM_Quantity[Section],$C30,RM_PM_Quantity[RM Name],$E30)+IF($D30="MIND/Pre-Production",SUMIFS(RM_PM_Quantity[Quantity],RM_PM_Quantity[Date],BD$1,RM_PM_Quantity[Location],"MIDC/Pre-Production",RM_PM_Quantity[Section],$C30,RM_PM_Quantity[RM Name],$E30),0)</f>
        <v>0</v>
      </c>
      <c r="BE30" s="84">
        <f>SUMIFS(RM_PM_Quantity[Quantity],RM_PM_Quantity[Date],BE$1,RM_PM_Quantity[Location],$D30,RM_PM_Quantity[Section],$C30,RM_PM_Quantity[RM Name],$E30)+IF($D30="MIND/Pre-Production",SUMIFS(RM_PM_Quantity[Quantity],RM_PM_Quantity[Date],BE$1,RM_PM_Quantity[Location],"MIDC/Pre-Production",RM_PM_Quantity[Section],$C30,RM_PM_Quantity[RM Name],$E30),0)</f>
        <v>0</v>
      </c>
      <c r="BF30" s="84">
        <f>SUMIFS(RM_PM_Quantity[Quantity],RM_PM_Quantity[Date],BF$1,RM_PM_Quantity[Location],$D30,RM_PM_Quantity[Section],$C30,RM_PM_Quantity[RM Name],$E30)+IF($D30="MIND/Pre-Production",SUMIFS(RM_PM_Quantity[Quantity],RM_PM_Quantity[Date],BF$1,RM_PM_Quantity[Location],"MIDC/Pre-Production",RM_PM_Quantity[Section],$C30,RM_PM_Quantity[RM Name],$E30),0)</f>
        <v>0</v>
      </c>
      <c r="BG30" s="84">
        <f>SUMIFS(RM_PM_Quantity[Quantity],RM_PM_Quantity[Date],BG$1,RM_PM_Quantity[Location],$D30,RM_PM_Quantity[Section],$C30,RM_PM_Quantity[RM Name],$E30)+IF($D30="MIND/Pre-Production",SUMIFS(RM_PM_Quantity[Quantity],RM_PM_Quantity[Date],BG$1,RM_PM_Quantity[Location],"MIDC/Pre-Production",RM_PM_Quantity[Section],$C30,RM_PM_Quantity[RM Name],$E30),0)</f>
        <v>0</v>
      </c>
      <c r="BH30" s="84">
        <f>SUMIFS(RM_PM_Quantity[Quantity],RM_PM_Quantity[Date],BH$1,RM_PM_Quantity[Location],$D30,RM_PM_Quantity[Section],$C30,RM_PM_Quantity[RM Name],$E30)+IF($D30="MIND/Pre-Production",SUMIFS(RM_PM_Quantity[Quantity],RM_PM_Quantity[Date],BH$1,RM_PM_Quantity[Location],"MIDC/Pre-Production",RM_PM_Quantity[Section],$C30,RM_PM_Quantity[RM Name],$E30),0)</f>
        <v>0</v>
      </c>
      <c r="BI30" s="84">
        <f>SUMIFS(RM_PM_Quantity[Quantity],RM_PM_Quantity[Date],BI$1,RM_PM_Quantity[Location],$D30,RM_PM_Quantity[Section],$C30,RM_PM_Quantity[RM Name],$E30)+IF($D30="MIND/Pre-Production",SUMIFS(RM_PM_Quantity[Quantity],RM_PM_Quantity[Date],BI$1,RM_PM_Quantity[Location],"MIDC/Pre-Production",RM_PM_Quantity[Section],$C30,RM_PM_Quantity[RM Name],$E30),0)</f>
        <v>0</v>
      </c>
      <c r="BJ30" s="84">
        <f>SUMIFS(RM_PM_Quantity[Quantity],RM_PM_Quantity[Date],BJ$1,RM_PM_Quantity[Location],$D30,RM_PM_Quantity[Section],$C30,RM_PM_Quantity[RM Name],$E30)+IF($D30="MIND/Pre-Production",SUMIFS(RM_PM_Quantity[Quantity],RM_PM_Quantity[Date],BJ$1,RM_PM_Quantity[Location],"MIDC/Pre-Production",RM_PM_Quantity[Section],$C30,RM_PM_Quantity[RM Name],$E30),0)</f>
        <v>0</v>
      </c>
      <c r="BK30" s="84">
        <f>SUMIFS(RM_PM_Quantity[Quantity],RM_PM_Quantity[Date],BK$1,RM_PM_Quantity[Location],$D30,RM_PM_Quantity[Section],$C30,RM_PM_Quantity[RM Name],$E30)+IF($D30="MIND/Pre-Production",SUMIFS(RM_PM_Quantity[Quantity],RM_PM_Quantity[Date],BK$1,RM_PM_Quantity[Location],"MIDC/Pre-Production",RM_PM_Quantity[Section],$C30,RM_PM_Quantity[RM Name],$E30),0)</f>
        <v>0</v>
      </c>
      <c r="BL30" s="84">
        <f>SUMIFS(RM_PM_Quantity[Quantity],RM_PM_Quantity[Date],BL$1,RM_PM_Quantity[Location],$D30,RM_PM_Quantity[Section],$C30,RM_PM_Quantity[RM Name],$E30)+IF($D30="MIND/Pre-Production",SUMIFS(RM_PM_Quantity[Quantity],RM_PM_Quantity[Date],BL$1,RM_PM_Quantity[Location],"MIDC/Pre-Production",RM_PM_Quantity[Section],$C30,RM_PM_Quantity[RM Name],$E30),0)</f>
        <v>0</v>
      </c>
      <c r="BM30" s="84">
        <f>SUMIFS(RM_PM_Quantity[Quantity],RM_PM_Quantity[Date],BM$1,RM_PM_Quantity[Location],$D30,RM_PM_Quantity[Section],$C30,RM_PM_Quantity[RM Name],$E30)+IF($D30="MIND/Pre-Production",SUMIFS(RM_PM_Quantity[Quantity],RM_PM_Quantity[Date],BM$1,RM_PM_Quantity[Location],"MIDC/Pre-Production",RM_PM_Quantity[Section],$C30,RM_PM_Quantity[RM Name],$E30),0)</f>
        <v>0</v>
      </c>
      <c r="BN30" s="84">
        <f>SUMIFS(RM_PM_Quantity[Quantity],RM_PM_Quantity[Date],BN$1,RM_PM_Quantity[Location],$D30,RM_PM_Quantity[Section],$C30,RM_PM_Quantity[RM Name],$E30)+IF($D30="MIND/Pre-Production",SUMIFS(RM_PM_Quantity[Quantity],RM_PM_Quantity[Date],BN$1,RM_PM_Quantity[Location],"MIDC/Pre-Production",RM_PM_Quantity[Section],$C30,RM_PM_Quantity[RM Name],$E30),0)</f>
        <v>0</v>
      </c>
      <c r="BO30" s="84">
        <f>SUMIFS(RM_PM_Quantity[Quantity],RM_PM_Quantity[Date],BO$1,RM_PM_Quantity[Location],$D30,RM_PM_Quantity[Section],$C30,RM_PM_Quantity[RM Name],$E30)+IF($D30="MIND/Pre-Production",SUMIFS(RM_PM_Quantity[Quantity],RM_PM_Quantity[Date],BO$1,RM_PM_Quantity[Location],"MIDC/Pre-Production",RM_PM_Quantity[Section],$C30,RM_PM_Quantity[RM Name],$E30),0)</f>
        <v>0</v>
      </c>
      <c r="BP30" s="84">
        <f>SUMIFS(RM_PM_Quantity[Quantity],RM_PM_Quantity[Date],BP$1,RM_PM_Quantity[Location],$D30,RM_PM_Quantity[Section],$C30,RM_PM_Quantity[RM Name],$E30)+IF($D30="MIND/Pre-Production",SUMIFS(RM_PM_Quantity[Quantity],RM_PM_Quantity[Date],BP$1,RM_PM_Quantity[Location],"MIDC/Pre-Production",RM_PM_Quantity[Section],$C30,RM_PM_Quantity[RM Name],$E30),0)</f>
        <v>0</v>
      </c>
      <c r="BQ30" s="84">
        <f>SUMIFS(RM_PM_Quantity[Quantity],RM_PM_Quantity[Date],BQ$1,RM_PM_Quantity[Location],$D30,RM_PM_Quantity[Section],$C30,RM_PM_Quantity[RM Name],$E30)+IF($D30="MIND/Pre-Production",SUMIFS(RM_PM_Quantity[Quantity],RM_PM_Quantity[Date],BQ$1,RM_PM_Quantity[Location],"MIDC/Pre-Production",RM_PM_Quantity[Section],$C30,RM_PM_Quantity[RM Name],$E30),0)</f>
        <v>0</v>
      </c>
      <c r="BR30" s="84">
        <f>SUMIFS(RM_PM_Quantity[Quantity],RM_PM_Quantity[Date],BR$1,RM_PM_Quantity[Location],$D30,RM_PM_Quantity[Section],$C30,RM_PM_Quantity[RM Name],$E30)+IF($D30="MIND/Pre-Production",SUMIFS(RM_PM_Quantity[Quantity],RM_PM_Quantity[Date],BR$1,RM_PM_Quantity[Location],"MIDC/Pre-Production",RM_PM_Quantity[Section],$C30,RM_PM_Quantity[RM Name],$E30),0)</f>
        <v>0</v>
      </c>
      <c r="BS30" s="84">
        <f>SUMIFS(RM_PM_Quantity[Quantity],RM_PM_Quantity[Date],BS$1,RM_PM_Quantity[Location],$D30,RM_PM_Quantity[Section],$C30,RM_PM_Quantity[RM Name],$E30)+IF($D30="MIND/Pre-Production",SUMIFS(RM_PM_Quantity[Quantity],RM_PM_Quantity[Date],BS$1,RM_PM_Quantity[Location],"MIDC/Pre-Production",RM_PM_Quantity[Section],$C30,RM_PM_Quantity[RM Name],$E30),0)</f>
        <v>0</v>
      </c>
      <c r="BT30" s="84">
        <f>SUMIFS(RM_PM_Quantity[ID],RM_PM_Quantity[Location],BT$1,RM_PM_Quantity[Section],$D30,RM_PM_Quantity[RM Name],$C30,RM_PM_Quantity[Quantity],$E30)+IF($D30="MIND/Pre-Production",SUMIFS(RM_PM_Quantity[ID],RM_PM_Quantity[Location],BT$1,RM_PM_Quantity[Section],"MIDC/Pre-Production",RM_PM_Quantity[RM Name],$C30,RM_PM_Quantity[Quantity],$E30),0)</f>
        <v>0</v>
      </c>
      <c r="BU30" s="84">
        <f>SUMIFS(RM_PM_Quantity[Name of Supervisor],RM_PM_Quantity[Section],BU$1,RM_PM_Quantity[RM Name],$D30,RM_PM_Quantity[Quantity],$C30,RM_PM_Quantity[ID],$E30)+IF($D30="MIND/Pre-Production",SUMIFS(RM_PM_Quantity[Name of Supervisor],RM_PM_Quantity[Section],BU$1,RM_PM_Quantity[RM Name],"MIDC/Pre-Production",RM_PM_Quantity[Quantity],$C30,RM_PM_Quantity[ID],$E30),0)</f>
        <v>0</v>
      </c>
      <c r="BV30" s="84">
        <f>SUMIFS(RM_PM_Quantity[Date],RM_PM_Quantity[RM Name],BV$1,RM_PM_Quantity[Quantity],$D30,RM_PM_Quantity[ID],$C30,RM_PM_Quantity[Name of Supervisor],$E30)+IF($D30="MIND/Pre-Production",SUMIFS(RM_PM_Quantity[Date],RM_PM_Quantity[RM Name],BV$1,RM_PM_Quantity[Quantity],"MIDC/Pre-Production",RM_PM_Quantity[ID],$C30,RM_PM_Quantity[Name of Supervisor],$E30),0)</f>
        <v>0</v>
      </c>
      <c r="BW30" s="84">
        <f>SUMIFS(RM_PM_Quantity[Location],RM_PM_Quantity[Quantity],BW$1,RM_PM_Quantity[ID],$D30,RM_PM_Quantity[Name of Supervisor],$C30,RM_PM_Quantity[Date],$E30)+IF($D30="MIND/Pre-Production",SUMIFS(RM_PM_Quantity[Location],RM_PM_Quantity[Quantity],BW$1,RM_PM_Quantity[ID],"MIDC/Pre-Production",RM_PM_Quantity[Name of Supervisor],$C30,RM_PM_Quantity[Date],$E30),0)</f>
        <v>0</v>
      </c>
      <c r="BX30" s="84">
        <f>SUMIFS(RM_PM_Quantity[Section],RM_PM_Quantity[ID],BX$1,RM_PM_Quantity[Name of Supervisor],$D30,RM_PM_Quantity[Date],$C30,RM_PM_Quantity[Location],$E30)+IF($D30="MIND/Pre-Production",SUMIFS(RM_PM_Quantity[Section],RM_PM_Quantity[ID],BX$1,RM_PM_Quantity[Name of Supervisor],"MIDC/Pre-Production",RM_PM_Quantity[Date],$C30,RM_PM_Quantity[Location],$E30),0)</f>
        <v>0</v>
      </c>
      <c r="BY30" s="84">
        <f>SUMIFS(RM_PM_Quantity[RM Name],RM_PM_Quantity[Name of Supervisor],BY$1,RM_PM_Quantity[Date],$D30,RM_PM_Quantity[Location],$C30,RM_PM_Quantity[Section],$E30)+IF($D30="MIND/Pre-Production",SUMIFS(RM_PM_Quantity[RM Name],RM_PM_Quantity[Name of Supervisor],BY$1,RM_PM_Quantity[Date],"MIDC/Pre-Production",RM_PM_Quantity[Location],$C30,RM_PM_Quantity[Section],$E30),0)</f>
        <v>0</v>
      </c>
    </row>
    <row r="31" spans="1:77" ht="45.75" customHeight="1">
      <c r="A31" s="79">
        <v>30</v>
      </c>
      <c r="B31" s="79" t="s">
        <v>112</v>
      </c>
      <c r="C31" s="80" t="s">
        <v>108</v>
      </c>
      <c r="D31" s="81" t="s">
        <v>68</v>
      </c>
      <c r="E31" s="82" t="s">
        <v>113</v>
      </c>
      <c r="F31" s="83">
        <f>IFERROR(_xlfn.XLOOKUP(B31,'[1]RM Tracker'!B:B,'[1]RM Tracker'!E:E),"0")</f>
        <v>0</v>
      </c>
      <c r="G31" s="85">
        <f t="shared" si="2"/>
        <v>0</v>
      </c>
      <c r="H31" s="85">
        <f t="shared" si="0"/>
        <v>0</v>
      </c>
      <c r="I31" s="91">
        <f t="shared" si="1"/>
        <v>0</v>
      </c>
      <c r="J31" s="84">
        <f>SUMIFS(RM_PM_Quantity[Quantity],RM_PM_Quantity[Date],J$1,RM_PM_Quantity[Location],$D31,RM_PM_Quantity[Section],$C31,RM_PM_Quantity[RM Name],$E31)+IF($D31="MIND/Pre-Production",SUMIFS(RM_PM_Quantity[Quantity],RM_PM_Quantity[Date],J$1,RM_PM_Quantity[Location],"MIDC/Pre-Production",RM_PM_Quantity[Section],$C31,RM_PM_Quantity[RM Name],$E31),0)</f>
        <v>0</v>
      </c>
      <c r="K31" s="84">
        <f>SUMIFS(RM_PM_Quantity[Quantity],RM_PM_Quantity[Date],K$1,RM_PM_Quantity[Location],$D31,RM_PM_Quantity[Section],$C31,RM_PM_Quantity[RM Name],$E31)+IF($D31="MIND/Pre-Production",SUMIFS(RM_PM_Quantity[Quantity],RM_PM_Quantity[Date],K$1,RM_PM_Quantity[Location],"MIDC/Pre-Production",RM_PM_Quantity[Section],$C31,RM_PM_Quantity[RM Name],$E31),0)</f>
        <v>0</v>
      </c>
      <c r="L31" s="84">
        <f>SUMIFS(RM_PM_Quantity[Quantity],RM_PM_Quantity[Date],L$1,RM_PM_Quantity[Location],$D31,RM_PM_Quantity[Section],$C31,RM_PM_Quantity[RM Name],$E31)+IF($D31="MIND/Pre-Production",SUMIFS(RM_PM_Quantity[Quantity],RM_PM_Quantity[Date],L$1,RM_PM_Quantity[Location],"MIDC/Pre-Production",RM_PM_Quantity[Section],$C31,RM_PM_Quantity[RM Name],$E31),0)</f>
        <v>0</v>
      </c>
      <c r="M31" s="84">
        <f>SUMIFS(RM_PM_Quantity[Quantity],RM_PM_Quantity[Date],M$1,RM_PM_Quantity[Location],$D31,RM_PM_Quantity[Section],$C31,RM_PM_Quantity[RM Name],$E31)+IF($D31="MIND/Pre-Production",SUMIFS(RM_PM_Quantity[Quantity],RM_PM_Quantity[Date],M$1,RM_PM_Quantity[Location],"MIDC/Pre-Production",RM_PM_Quantity[Section],$C31,RM_PM_Quantity[RM Name],$E31),0)</f>
        <v>0</v>
      </c>
      <c r="N31" s="84">
        <f>SUMIFS(RM_PM_Quantity[Quantity],RM_PM_Quantity[Date],N$1,RM_PM_Quantity[Location],$D31,RM_PM_Quantity[Section],$C31,RM_PM_Quantity[RM Name],$E31)+IF($D31="MIND/Pre-Production",SUMIFS(RM_PM_Quantity[Quantity],RM_PM_Quantity[Date],N$1,RM_PM_Quantity[Location],"MIDC/Pre-Production",RM_PM_Quantity[Section],$C31,RM_PM_Quantity[RM Name],$E31),0)</f>
        <v>0</v>
      </c>
      <c r="O31" s="84">
        <f>SUMIFS(RM_PM_Quantity[Quantity],RM_PM_Quantity[Date],O$1,RM_PM_Quantity[Location],$D31,RM_PM_Quantity[Section],$C31,RM_PM_Quantity[RM Name],$E31)+IF($D31="MIND/Pre-Production",SUMIFS(RM_PM_Quantity[Quantity],RM_PM_Quantity[Date],O$1,RM_PM_Quantity[Location],"MIDC/Pre-Production",RM_PM_Quantity[Section],$C31,RM_PM_Quantity[RM Name],$E31),0)</f>
        <v>0</v>
      </c>
      <c r="P31" s="84">
        <f>SUMIFS(RM_PM_Quantity[Quantity],RM_PM_Quantity[Date],P$1,RM_PM_Quantity[Location],$D31,RM_PM_Quantity[Section],$C31,RM_PM_Quantity[RM Name],$E31)+IF($D31="MIND/Pre-Production",SUMIFS(RM_PM_Quantity[Quantity],RM_PM_Quantity[Date],P$1,RM_PM_Quantity[Location],"MIDC/Pre-Production",RM_PM_Quantity[Section],$C31,RM_PM_Quantity[RM Name],$E31),0)</f>
        <v>0</v>
      </c>
      <c r="Q31" s="84">
        <f>SUMIFS(RM_PM_Quantity[Quantity],RM_PM_Quantity[Date],Q$1,RM_PM_Quantity[Location],$D31,RM_PM_Quantity[Section],$C31,RM_PM_Quantity[RM Name],$E31)+IF($D31="MIND/Pre-Production",SUMIFS(RM_PM_Quantity[Quantity],RM_PM_Quantity[Date],Q$1,RM_PM_Quantity[Location],"MIDC/Pre-Production",RM_PM_Quantity[Section],$C31,RM_PM_Quantity[RM Name],$E31),0)</f>
        <v>0</v>
      </c>
      <c r="R31" s="84">
        <f>SUMIFS(RM_PM_Quantity[Quantity],RM_PM_Quantity[Date],R$1,RM_PM_Quantity[Location],$D31,RM_PM_Quantity[Section],$C31,RM_PM_Quantity[RM Name],$E31)+IF($D31="MIND/Pre-Production",SUMIFS(RM_PM_Quantity[Quantity],RM_PM_Quantity[Date],R$1,RM_PM_Quantity[Location],"MIDC/Pre-Production",RM_PM_Quantity[Section],$C31,RM_PM_Quantity[RM Name],$E31),0)</f>
        <v>0</v>
      </c>
      <c r="S31" s="84">
        <f>SUMIFS(RM_PM_Quantity[Quantity],RM_PM_Quantity[Date],S$1,RM_PM_Quantity[Location],$D31,RM_PM_Quantity[Section],$C31,RM_PM_Quantity[RM Name],$E31)+IF($D31="MIND/Pre-Production",SUMIFS(RM_PM_Quantity[Quantity],RM_PM_Quantity[Date],S$1,RM_PM_Quantity[Location],"MIDC/Pre-Production",RM_PM_Quantity[Section],$C31,RM_PM_Quantity[RM Name],$E31),0)</f>
        <v>0</v>
      </c>
      <c r="T31" s="84">
        <f>SUMIFS(RM_PM_Quantity[Quantity],RM_PM_Quantity[Date],T$1,RM_PM_Quantity[Location],$D31,RM_PM_Quantity[Section],$C31,RM_PM_Quantity[RM Name],$E31)+IF($D31="MIND/Pre-Production",SUMIFS(RM_PM_Quantity[Quantity],RM_PM_Quantity[Date],T$1,RM_PM_Quantity[Location],"MIDC/Pre-Production",RM_PM_Quantity[Section],$C31,RM_PM_Quantity[RM Name],$E31),0)</f>
        <v>0</v>
      </c>
      <c r="U31" s="84">
        <f>SUMIFS(RM_PM_Quantity[Quantity],RM_PM_Quantity[Date],U$1,RM_PM_Quantity[Location],$D31,RM_PM_Quantity[Section],$C31,RM_PM_Quantity[RM Name],$E31)+IF($D31="MIND/Pre-Production",SUMIFS(RM_PM_Quantity[Quantity],RM_PM_Quantity[Date],U$1,RM_PM_Quantity[Location],"MIDC/Pre-Production",RM_PM_Quantity[Section],$C31,RM_PM_Quantity[RM Name],$E31),0)</f>
        <v>0</v>
      </c>
      <c r="V31" s="84">
        <f>SUMIFS(RM_PM_Quantity[Quantity],RM_PM_Quantity[Date],V$1,RM_PM_Quantity[Location],$D31,RM_PM_Quantity[Section],$C31,RM_PM_Quantity[RM Name],$E31)+IF($D31="MIND/Pre-Production",SUMIFS(RM_PM_Quantity[Quantity],RM_PM_Quantity[Date],V$1,RM_PM_Quantity[Location],"MIDC/Pre-Production",RM_PM_Quantity[Section],$C31,RM_PM_Quantity[RM Name],$E31),0)</f>
        <v>0</v>
      </c>
      <c r="W31" s="84">
        <f>SUMIFS(RM_PM_Quantity[Quantity],RM_PM_Quantity[Date],W$1,RM_PM_Quantity[Location],$D31,RM_PM_Quantity[Section],$C31,RM_PM_Quantity[RM Name],$E31)+IF($D31="MIND/Pre-Production",SUMIFS(RM_PM_Quantity[Quantity],RM_PM_Quantity[Date],W$1,RM_PM_Quantity[Location],"MIDC/Pre-Production",RM_PM_Quantity[Section],$C31,RM_PM_Quantity[RM Name],$E31),0)</f>
        <v>0</v>
      </c>
      <c r="X31" s="84">
        <f>SUMIFS(RM_PM_Quantity[Quantity],RM_PM_Quantity[Date],X$1,RM_PM_Quantity[Location],$D31,RM_PM_Quantity[Section],$C31,RM_PM_Quantity[RM Name],$E31)+IF($D31="MIND/Pre-Production",SUMIFS(RM_PM_Quantity[Quantity],RM_PM_Quantity[Date],X$1,RM_PM_Quantity[Location],"MIDC/Pre-Production",RM_PM_Quantity[Section],$C31,RM_PM_Quantity[RM Name],$E31),0)</f>
        <v>0</v>
      </c>
      <c r="Y31" s="84">
        <f>SUMIFS(RM_PM_Quantity[Quantity],RM_PM_Quantity[Date],Y$1,RM_PM_Quantity[Location],$D31,RM_PM_Quantity[Section],$C31,RM_PM_Quantity[RM Name],$E31)+IF($D31="MIND/Pre-Production",SUMIFS(RM_PM_Quantity[Quantity],RM_PM_Quantity[Date],Y$1,RM_PM_Quantity[Location],"MIDC/Pre-Production",RM_PM_Quantity[Section],$C31,RM_PM_Quantity[RM Name],$E31),0)</f>
        <v>0</v>
      </c>
      <c r="Z31" s="84">
        <f>SUMIFS(RM_PM_Quantity[Quantity],RM_PM_Quantity[Date],Z$1,RM_PM_Quantity[Location],$D31,RM_PM_Quantity[Section],$C31,RM_PM_Quantity[RM Name],$E31)+IF($D31="MIND/Pre-Production",SUMIFS(RM_PM_Quantity[Quantity],RM_PM_Quantity[Date],Z$1,RM_PM_Quantity[Location],"MIDC/Pre-Production",RM_PM_Quantity[Section],$C31,RM_PM_Quantity[RM Name],$E31),0)</f>
        <v>0</v>
      </c>
      <c r="AA31" s="84">
        <f>SUMIFS(RM_PM_Quantity[Quantity],RM_PM_Quantity[Date],AA$1,RM_PM_Quantity[Location],$D31,RM_PM_Quantity[Section],$C31,RM_PM_Quantity[RM Name],$E31)+IF($D31="MIND/Pre-Production",SUMIFS(RM_PM_Quantity[Quantity],RM_PM_Quantity[Date],AA$1,RM_PM_Quantity[Location],"MIDC/Pre-Production",RM_PM_Quantity[Section],$C31,RM_PM_Quantity[RM Name],$E31),0)</f>
        <v>0</v>
      </c>
      <c r="AB31" s="84">
        <f>SUMIFS(RM_PM_Quantity[Quantity],RM_PM_Quantity[Date],AB$1,RM_PM_Quantity[Location],$D31,RM_PM_Quantity[Section],$C31,RM_PM_Quantity[RM Name],$E31)+IF($D31="MIND/Pre-Production",SUMIFS(RM_PM_Quantity[Quantity],RM_PM_Quantity[Date],AB$1,RM_PM_Quantity[Location],"MIDC/Pre-Production",RM_PM_Quantity[Section],$C31,RM_PM_Quantity[RM Name],$E31),0)</f>
        <v>0</v>
      </c>
      <c r="AC31" s="84">
        <f>SUMIFS(RM_PM_Quantity[Quantity],RM_PM_Quantity[Date],AC$1,RM_PM_Quantity[Location],$D31,RM_PM_Quantity[Section],$C31,RM_PM_Quantity[RM Name],$E31)+IF($D31="MIND/Pre-Production",SUMIFS(RM_PM_Quantity[Quantity],RM_PM_Quantity[Date],AC$1,RM_PM_Quantity[Location],"MIDC/Pre-Production",RM_PM_Quantity[Section],$C31,RM_PM_Quantity[RM Name],$E31),0)</f>
        <v>0</v>
      </c>
      <c r="AD31" s="84">
        <f>SUMIFS(RM_PM_Quantity[Quantity],RM_PM_Quantity[Date],AD$1,RM_PM_Quantity[Location],$D31,RM_PM_Quantity[Section],$C31,RM_PM_Quantity[RM Name],$E31)+IF($D31="MIND/Pre-Production",SUMIFS(RM_PM_Quantity[Quantity],RM_PM_Quantity[Date],AD$1,RM_PM_Quantity[Location],"MIDC/Pre-Production",RM_PM_Quantity[Section],$C31,RM_PM_Quantity[RM Name],$E31),0)</f>
        <v>0</v>
      </c>
      <c r="AE31" s="84">
        <f>SUMIFS(RM_PM_Quantity[Quantity],RM_PM_Quantity[Date],AE$1,RM_PM_Quantity[Location],$D31,RM_PM_Quantity[Section],$C31,RM_PM_Quantity[RM Name],$E31)+IF($D31="MIND/Pre-Production",SUMIFS(RM_PM_Quantity[Quantity],RM_PM_Quantity[Date],AE$1,RM_PM_Quantity[Location],"MIDC/Pre-Production",RM_PM_Quantity[Section],$C31,RM_PM_Quantity[RM Name],$E31),0)</f>
        <v>0</v>
      </c>
      <c r="AF31" s="84">
        <f>SUMIFS(RM_PM_Quantity[Quantity],RM_PM_Quantity[Date],AF$1,RM_PM_Quantity[Location],$D31,RM_PM_Quantity[Section],$C31,RM_PM_Quantity[RM Name],$E31)+IF($D31="MIND/Pre-Production",SUMIFS(RM_PM_Quantity[Quantity],RM_PM_Quantity[Date],AF$1,RM_PM_Quantity[Location],"MIDC/Pre-Production",RM_PM_Quantity[Section],$C31,RM_PM_Quantity[RM Name],$E31),0)</f>
        <v>1000</v>
      </c>
      <c r="AG31" s="84">
        <f>SUMIFS(RM_PM_Quantity[Quantity],RM_PM_Quantity[Date],AG$1,RM_PM_Quantity[Location],$D31,RM_PM_Quantity[Section],$C31,RM_PM_Quantity[RM Name],$E31)+IF($D31="MIND/Pre-Production",SUMIFS(RM_PM_Quantity[Quantity],RM_PM_Quantity[Date],AG$1,RM_PM_Quantity[Location],"MIDC/Pre-Production",RM_PM_Quantity[Section],$C31,RM_PM_Quantity[RM Name],$E31),0)</f>
        <v>0</v>
      </c>
      <c r="AH31" s="84">
        <f>SUMIFS(RM_PM_Quantity[Quantity],RM_PM_Quantity[Date],AH$1,RM_PM_Quantity[Location],$D31,RM_PM_Quantity[Section],$C31,RM_PM_Quantity[RM Name],$E31)+IF($D31="MIND/Pre-Production",SUMIFS(RM_PM_Quantity[Quantity],RM_PM_Quantity[Date],AH$1,RM_PM_Quantity[Location],"MIDC/Pre-Production",RM_PM_Quantity[Section],$C31,RM_PM_Quantity[RM Name],$E31),0)</f>
        <v>0</v>
      </c>
      <c r="AI31" s="84">
        <f>SUMIFS(RM_PM_Quantity[Quantity],RM_PM_Quantity[Date],AI$1,RM_PM_Quantity[Location],$D31,RM_PM_Quantity[Section],$C31,RM_PM_Quantity[RM Name],$E31)+IF($D31="MIND/Pre-Production",SUMIFS(RM_PM_Quantity[Quantity],RM_PM_Quantity[Date],AI$1,RM_PM_Quantity[Location],"MIDC/Pre-Production",RM_PM_Quantity[Section],$C31,RM_PM_Quantity[RM Name],$E31),0)</f>
        <v>0</v>
      </c>
      <c r="AJ31" s="84">
        <f>SUMIFS(RM_PM_Quantity[Quantity],RM_PM_Quantity[Date],AJ$1,RM_PM_Quantity[Location],$D31,RM_PM_Quantity[Section],$C31,RM_PM_Quantity[RM Name],$E31)+IF($D31="MIND/Pre-Production",SUMIFS(RM_PM_Quantity[Quantity],RM_PM_Quantity[Date],AJ$1,RM_PM_Quantity[Location],"MIDC/Pre-Production",RM_PM_Quantity[Section],$C31,RM_PM_Quantity[RM Name],$E31),0)</f>
        <v>0</v>
      </c>
      <c r="AK31" s="84">
        <f>SUMIFS(RM_PM_Quantity[Quantity],RM_PM_Quantity[Date],AK$1,RM_PM_Quantity[Location],$D31,RM_PM_Quantity[Section],$C31,RM_PM_Quantity[RM Name],$E31)+IF($D31="MIND/Pre-Production",SUMIFS(RM_PM_Quantity[Quantity],RM_PM_Quantity[Date],AK$1,RM_PM_Quantity[Location],"MIDC/Pre-Production",RM_PM_Quantity[Section],$C31,RM_PM_Quantity[RM Name],$E31),0)</f>
        <v>0</v>
      </c>
      <c r="AL31" s="84">
        <f>SUMIFS(RM_PM_Quantity[Quantity],RM_PM_Quantity[Date],AL$1,RM_PM_Quantity[Location],$D31,RM_PM_Quantity[Section],$C31,RM_PM_Quantity[RM Name],$E31)+IF($D31="MIND/Pre-Production",SUMIFS(RM_PM_Quantity[Quantity],RM_PM_Quantity[Date],AL$1,RM_PM_Quantity[Location],"MIDC/Pre-Production",RM_PM_Quantity[Section],$C31,RM_PM_Quantity[RM Name],$E31),0)</f>
        <v>0</v>
      </c>
      <c r="AM31" s="84">
        <f>SUMIFS(RM_PM_Quantity[Quantity],RM_PM_Quantity[Date],AM$1,RM_PM_Quantity[Location],$D31,RM_PM_Quantity[Section],$C31,RM_PM_Quantity[RM Name],$E31)+IF($D31="MIND/Pre-Production",SUMIFS(RM_PM_Quantity[Quantity],RM_PM_Quantity[Date],AM$1,RM_PM_Quantity[Location],"MIDC/Pre-Production",RM_PM_Quantity[Section],$C31,RM_PM_Quantity[RM Name],$E31),0)</f>
        <v>0</v>
      </c>
      <c r="AN31" s="84">
        <f>SUMIFS(RM_PM_Quantity[Quantity],RM_PM_Quantity[Date],AN$1,RM_PM_Quantity[Location],$D31,RM_PM_Quantity[Section],$C31,RM_PM_Quantity[RM Name],$E31)+IF($D31="MIND/Pre-Production",SUMIFS(RM_PM_Quantity[Quantity],RM_PM_Quantity[Date],AN$1,RM_PM_Quantity[Location],"MIDC/Pre-Production",RM_PM_Quantity[Section],$C31,RM_PM_Quantity[RM Name],$E31),0)</f>
        <v>0</v>
      </c>
      <c r="AO31" s="84">
        <f>SUMIFS(RM_PM_Quantity[Quantity],RM_PM_Quantity[Date],AO$1,RM_PM_Quantity[Location],$D31,RM_PM_Quantity[Section],$C31,RM_PM_Quantity[RM Name],$E31)+IF($D31="MIND/Pre-Production",SUMIFS(RM_PM_Quantity[Quantity],RM_PM_Quantity[Date],AO$1,RM_PM_Quantity[Location],"MIDC/Pre-Production",RM_PM_Quantity[Section],$C31,RM_PM_Quantity[RM Name],$E31),0)</f>
        <v>0</v>
      </c>
      <c r="AP31" s="84">
        <f>SUMIFS(RM_PM_Quantity[Quantity],RM_PM_Quantity[Date],AP$1,RM_PM_Quantity[Location],$D31,RM_PM_Quantity[Section],$C31,RM_PM_Quantity[RM Name],$E31)+IF($D31="MIND/Pre-Production",SUMIFS(RM_PM_Quantity[Quantity],RM_PM_Quantity[Date],AP$1,RM_PM_Quantity[Location],"MIDC/Pre-Production",RM_PM_Quantity[Section],$C31,RM_PM_Quantity[RM Name],$E31),0)</f>
        <v>0</v>
      </c>
      <c r="AQ31" s="84">
        <f>SUMIFS(RM_PM_Quantity[Quantity],RM_PM_Quantity[Date],AQ$1,RM_PM_Quantity[Location],$D31,RM_PM_Quantity[Section],$C31,RM_PM_Quantity[RM Name],$E31)+IF($D31="MIND/Pre-Production",SUMIFS(RM_PM_Quantity[Quantity],RM_PM_Quantity[Date],AQ$1,RM_PM_Quantity[Location],"MIDC/Pre-Production",RM_PM_Quantity[Section],$C31,RM_PM_Quantity[RM Name],$E31),0)</f>
        <v>0</v>
      </c>
      <c r="AR31" s="84">
        <f>SUMIFS(RM_PM_Quantity[Quantity],RM_PM_Quantity[Date],AR$1,RM_PM_Quantity[Location],$D31,RM_PM_Quantity[Section],$C31,RM_PM_Quantity[RM Name],$E31)+IF($D31="MIND/Pre-Production",SUMIFS(RM_PM_Quantity[Quantity],RM_PM_Quantity[Date],AR$1,RM_PM_Quantity[Location],"MIDC/Pre-Production",RM_PM_Quantity[Section],$C31,RM_PM_Quantity[RM Name],$E31),0)</f>
        <v>0</v>
      </c>
      <c r="AS31" s="84">
        <f>SUMIFS(RM_PM_Quantity[Quantity],RM_PM_Quantity[Date],AS$1,RM_PM_Quantity[Location],$D31,RM_PM_Quantity[Section],$C31,RM_PM_Quantity[RM Name],$E31)+IF($D31="MIND/Pre-Production",SUMIFS(RM_PM_Quantity[Quantity],RM_PM_Quantity[Date],AS$1,RM_PM_Quantity[Location],"MIDC/Pre-Production",RM_PM_Quantity[Section],$C31,RM_PM_Quantity[RM Name],$E31),0)</f>
        <v>0</v>
      </c>
      <c r="AT31" s="84">
        <f>SUMIFS(RM_PM_Quantity[Quantity],RM_PM_Quantity[Date],AT$1,RM_PM_Quantity[Location],$D31,RM_PM_Quantity[Section],$C31,RM_PM_Quantity[RM Name],$E31)+IF($D31="MIND/Pre-Production",SUMIFS(RM_PM_Quantity[Quantity],RM_PM_Quantity[Date],AT$1,RM_PM_Quantity[Location],"MIDC/Pre-Production",RM_PM_Quantity[Section],$C31,RM_PM_Quantity[RM Name],$E31),0)</f>
        <v>0</v>
      </c>
      <c r="AU31" s="84">
        <f>SUMIFS(RM_PM_Quantity[Quantity],RM_PM_Quantity[Date],AU$1,RM_PM_Quantity[Location],$D31,RM_PM_Quantity[Section],$C31,RM_PM_Quantity[RM Name],$E31)+IF($D31="MIND/Pre-Production",SUMIFS(RM_PM_Quantity[Quantity],RM_PM_Quantity[Date],AU$1,RM_PM_Quantity[Location],"MIDC/Pre-Production",RM_PM_Quantity[Section],$C31,RM_PM_Quantity[RM Name],$E31),0)</f>
        <v>0</v>
      </c>
      <c r="AV31" s="84">
        <f>SUMIFS(RM_PM_Quantity[Quantity],RM_PM_Quantity[Date],AV$1,RM_PM_Quantity[Location],$D31,RM_PM_Quantity[Section],$C31,RM_PM_Quantity[RM Name],$E31)+IF($D31="MIND/Pre-Production",SUMIFS(RM_PM_Quantity[Quantity],RM_PM_Quantity[Date],AV$1,RM_PM_Quantity[Location],"MIDC/Pre-Production",RM_PM_Quantity[Section],$C31,RM_PM_Quantity[RM Name],$E31),0)</f>
        <v>0</v>
      </c>
      <c r="AW31" s="84">
        <f>SUMIFS(RM_PM_Quantity[Quantity],RM_PM_Quantity[Date],AW$1,RM_PM_Quantity[Location],$D31,RM_PM_Quantity[Section],$C31,RM_PM_Quantity[RM Name],$E31)+IF($D31="MIND/Pre-Production",SUMIFS(RM_PM_Quantity[Quantity],RM_PM_Quantity[Date],AW$1,RM_PM_Quantity[Location],"MIDC/Pre-Production",RM_PM_Quantity[Section],$C31,RM_PM_Quantity[RM Name],$E31),0)</f>
        <v>0</v>
      </c>
      <c r="AX31" s="84">
        <f>SUMIFS(RM_PM_Quantity[Quantity],RM_PM_Quantity[Date],AX$1,RM_PM_Quantity[Location],$D31,RM_PM_Quantity[Section],$C31,RM_PM_Quantity[RM Name],$E31)+IF($D31="MIND/Pre-Production",SUMIFS(RM_PM_Quantity[Quantity],RM_PM_Quantity[Date],AX$1,RM_PM_Quantity[Location],"MIDC/Pre-Production",RM_PM_Quantity[Section],$C31,RM_PM_Quantity[RM Name],$E31),0)</f>
        <v>0</v>
      </c>
      <c r="AY31" s="84">
        <f>SUMIFS(RM_PM_Quantity[Quantity],RM_PM_Quantity[Date],AY$1,RM_PM_Quantity[Location],$D31,RM_PM_Quantity[Section],$C31,RM_PM_Quantity[RM Name],$E31)+IF($D31="MIND/Pre-Production",SUMIFS(RM_PM_Quantity[Quantity],RM_PM_Quantity[Date],AY$1,RM_PM_Quantity[Location],"MIDC/Pre-Production",RM_PM_Quantity[Section],$C31,RM_PM_Quantity[RM Name],$E31),0)</f>
        <v>0</v>
      </c>
      <c r="AZ31" s="84">
        <f>SUMIFS(RM_PM_Quantity[Quantity],RM_PM_Quantity[Date],AZ$1,RM_PM_Quantity[Location],$D31,RM_PM_Quantity[Section],$C31,RM_PM_Quantity[RM Name],$E31)+IF($D31="MIND/Pre-Production",SUMIFS(RM_PM_Quantity[Quantity],RM_PM_Quantity[Date],AZ$1,RM_PM_Quantity[Location],"MIDC/Pre-Production",RM_PM_Quantity[Section],$C31,RM_PM_Quantity[RM Name],$E31),0)</f>
        <v>0</v>
      </c>
      <c r="BA31" s="84">
        <f>SUMIFS(RM_PM_Quantity[Quantity],RM_PM_Quantity[Date],BA$1,RM_PM_Quantity[Location],$D31,RM_PM_Quantity[Section],$C31,RM_PM_Quantity[RM Name],$E31)+IF($D31="MIND/Pre-Production",SUMIFS(RM_PM_Quantity[Quantity],RM_PM_Quantity[Date],BA$1,RM_PM_Quantity[Location],"MIDC/Pre-Production",RM_PM_Quantity[Section],$C31,RM_PM_Quantity[RM Name],$E31),0)</f>
        <v>0</v>
      </c>
      <c r="BB31" s="84">
        <f>SUMIFS(RM_PM_Quantity[Quantity],RM_PM_Quantity[Date],BB$1,RM_PM_Quantity[Location],$D31,RM_PM_Quantity[Section],$C31,RM_PM_Quantity[RM Name],$E31)+IF($D31="MIND/Pre-Production",SUMIFS(RM_PM_Quantity[Quantity],RM_PM_Quantity[Date],BB$1,RM_PM_Quantity[Location],"MIDC/Pre-Production",RM_PM_Quantity[Section],$C31,RM_PM_Quantity[RM Name],$E31),0)</f>
        <v>0</v>
      </c>
      <c r="BC31" s="84">
        <f>SUMIFS(RM_PM_Quantity[Quantity],RM_PM_Quantity[Date],BC$1,RM_PM_Quantity[Location],$D31,RM_PM_Quantity[Section],$C31,RM_PM_Quantity[RM Name],$E31)+IF($D31="MIND/Pre-Production",SUMIFS(RM_PM_Quantity[Quantity],RM_PM_Quantity[Date],BC$1,RM_PM_Quantity[Location],"MIDC/Pre-Production",RM_PM_Quantity[Section],$C31,RM_PM_Quantity[RM Name],$E31),0)</f>
        <v>0</v>
      </c>
      <c r="BD31" s="84">
        <f>SUMIFS(RM_PM_Quantity[Quantity],RM_PM_Quantity[Date],BD$1,RM_PM_Quantity[Location],$D31,RM_PM_Quantity[Section],$C31,RM_PM_Quantity[RM Name],$E31)+IF($D31="MIND/Pre-Production",SUMIFS(RM_PM_Quantity[Quantity],RM_PM_Quantity[Date],BD$1,RM_PM_Quantity[Location],"MIDC/Pre-Production",RM_PM_Quantity[Section],$C31,RM_PM_Quantity[RM Name],$E31),0)</f>
        <v>0</v>
      </c>
      <c r="BE31" s="84">
        <f>SUMIFS(RM_PM_Quantity[Quantity],RM_PM_Quantity[Date],BE$1,RM_PM_Quantity[Location],$D31,RM_PM_Quantity[Section],$C31,RM_PM_Quantity[RM Name],$E31)+IF($D31="MIND/Pre-Production",SUMIFS(RM_PM_Quantity[Quantity],RM_PM_Quantity[Date],BE$1,RM_PM_Quantity[Location],"MIDC/Pre-Production",RM_PM_Quantity[Section],$C31,RM_PM_Quantity[RM Name],$E31),0)</f>
        <v>0</v>
      </c>
      <c r="BF31" s="84">
        <f>SUMIFS(RM_PM_Quantity[Quantity],RM_PM_Quantity[Date],BF$1,RM_PM_Quantity[Location],$D31,RM_PM_Quantity[Section],$C31,RM_PM_Quantity[RM Name],$E31)+IF($D31="MIND/Pre-Production",SUMIFS(RM_PM_Quantity[Quantity],RM_PM_Quantity[Date],BF$1,RM_PM_Quantity[Location],"MIDC/Pre-Production",RM_PM_Quantity[Section],$C31,RM_PM_Quantity[RM Name],$E31),0)</f>
        <v>0</v>
      </c>
      <c r="BG31" s="84">
        <f>SUMIFS(RM_PM_Quantity[Quantity],RM_PM_Quantity[Date],BG$1,RM_PM_Quantity[Location],$D31,RM_PM_Quantity[Section],$C31,RM_PM_Quantity[RM Name],$E31)+IF($D31="MIND/Pre-Production",SUMIFS(RM_PM_Quantity[Quantity],RM_PM_Quantity[Date],BG$1,RM_PM_Quantity[Location],"MIDC/Pre-Production",RM_PM_Quantity[Section],$C31,RM_PM_Quantity[RM Name],$E31),0)</f>
        <v>0</v>
      </c>
      <c r="BH31" s="84">
        <f>SUMIFS(RM_PM_Quantity[Quantity],RM_PM_Quantity[Date],BH$1,RM_PM_Quantity[Location],$D31,RM_PM_Quantity[Section],$C31,RM_PM_Quantity[RM Name],$E31)+IF($D31="MIND/Pre-Production",SUMIFS(RM_PM_Quantity[Quantity],RM_PM_Quantity[Date],BH$1,RM_PM_Quantity[Location],"MIDC/Pre-Production",RM_PM_Quantity[Section],$C31,RM_PM_Quantity[RM Name],$E31),0)</f>
        <v>0</v>
      </c>
      <c r="BI31" s="84">
        <f>SUMIFS(RM_PM_Quantity[Quantity],RM_PM_Quantity[Date],BI$1,RM_PM_Quantity[Location],$D31,RM_PM_Quantity[Section],$C31,RM_PM_Quantity[RM Name],$E31)+IF($D31="MIND/Pre-Production",SUMIFS(RM_PM_Quantity[Quantity],RM_PM_Quantity[Date],BI$1,RM_PM_Quantity[Location],"MIDC/Pre-Production",RM_PM_Quantity[Section],$C31,RM_PM_Quantity[RM Name],$E31),0)</f>
        <v>0</v>
      </c>
      <c r="BJ31" s="84">
        <f>SUMIFS(RM_PM_Quantity[Quantity],RM_PM_Quantity[Date],BJ$1,RM_PM_Quantity[Location],$D31,RM_PM_Quantity[Section],$C31,RM_PM_Quantity[RM Name],$E31)+IF($D31="MIND/Pre-Production",SUMIFS(RM_PM_Quantity[Quantity],RM_PM_Quantity[Date],BJ$1,RM_PM_Quantity[Location],"MIDC/Pre-Production",RM_PM_Quantity[Section],$C31,RM_PM_Quantity[RM Name],$E31),0)</f>
        <v>0</v>
      </c>
      <c r="BK31" s="84">
        <f>SUMIFS(RM_PM_Quantity[Quantity],RM_PM_Quantity[Date],BK$1,RM_PM_Quantity[Location],$D31,RM_PM_Quantity[Section],$C31,RM_PM_Quantity[RM Name],$E31)+IF($D31="MIND/Pre-Production",SUMIFS(RM_PM_Quantity[Quantity],RM_PM_Quantity[Date],BK$1,RM_PM_Quantity[Location],"MIDC/Pre-Production",RM_PM_Quantity[Section],$C31,RM_PM_Quantity[RM Name],$E31),0)</f>
        <v>0</v>
      </c>
      <c r="BL31" s="84">
        <f>SUMIFS(RM_PM_Quantity[Quantity],RM_PM_Quantity[Date],BL$1,RM_PM_Quantity[Location],$D31,RM_PM_Quantity[Section],$C31,RM_PM_Quantity[RM Name],$E31)+IF($D31="MIND/Pre-Production",SUMIFS(RM_PM_Quantity[Quantity],RM_PM_Quantity[Date],BL$1,RM_PM_Quantity[Location],"MIDC/Pre-Production",RM_PM_Quantity[Section],$C31,RM_PM_Quantity[RM Name],$E31),0)</f>
        <v>0</v>
      </c>
      <c r="BM31" s="84">
        <f>SUMIFS(RM_PM_Quantity[Quantity],RM_PM_Quantity[Date],BM$1,RM_PM_Quantity[Location],$D31,RM_PM_Quantity[Section],$C31,RM_PM_Quantity[RM Name],$E31)+IF($D31="MIND/Pre-Production",SUMIFS(RM_PM_Quantity[Quantity],RM_PM_Quantity[Date],BM$1,RM_PM_Quantity[Location],"MIDC/Pre-Production",RM_PM_Quantity[Section],$C31,RM_PM_Quantity[RM Name],$E31),0)</f>
        <v>0</v>
      </c>
      <c r="BN31" s="84">
        <f>SUMIFS(RM_PM_Quantity[Quantity],RM_PM_Quantity[Date],BN$1,RM_PM_Quantity[Location],$D31,RM_PM_Quantity[Section],$C31,RM_PM_Quantity[RM Name],$E31)+IF($D31="MIND/Pre-Production",SUMIFS(RM_PM_Quantity[Quantity],RM_PM_Quantity[Date],BN$1,RM_PM_Quantity[Location],"MIDC/Pre-Production",RM_PM_Quantity[Section],$C31,RM_PM_Quantity[RM Name],$E31),0)</f>
        <v>0</v>
      </c>
      <c r="BO31" s="84">
        <f>SUMIFS(RM_PM_Quantity[Quantity],RM_PM_Quantity[Date],BO$1,RM_PM_Quantity[Location],$D31,RM_PM_Quantity[Section],$C31,RM_PM_Quantity[RM Name],$E31)+IF($D31="MIND/Pre-Production",SUMIFS(RM_PM_Quantity[Quantity],RM_PM_Quantity[Date],BO$1,RM_PM_Quantity[Location],"MIDC/Pre-Production",RM_PM_Quantity[Section],$C31,RM_PM_Quantity[RM Name],$E31),0)</f>
        <v>0</v>
      </c>
      <c r="BP31" s="84">
        <f>SUMIFS(RM_PM_Quantity[Quantity],RM_PM_Quantity[Date],BP$1,RM_PM_Quantity[Location],$D31,RM_PM_Quantity[Section],$C31,RM_PM_Quantity[RM Name],$E31)+IF($D31="MIND/Pre-Production",SUMIFS(RM_PM_Quantity[Quantity],RM_PM_Quantity[Date],BP$1,RM_PM_Quantity[Location],"MIDC/Pre-Production",RM_PM_Quantity[Section],$C31,RM_PM_Quantity[RM Name],$E31),0)</f>
        <v>0</v>
      </c>
      <c r="BQ31" s="84">
        <f>SUMIFS(RM_PM_Quantity[Quantity],RM_PM_Quantity[Date],BQ$1,RM_PM_Quantity[Location],$D31,RM_PM_Quantity[Section],$C31,RM_PM_Quantity[RM Name],$E31)+IF($D31="MIND/Pre-Production",SUMIFS(RM_PM_Quantity[Quantity],RM_PM_Quantity[Date],BQ$1,RM_PM_Quantity[Location],"MIDC/Pre-Production",RM_PM_Quantity[Section],$C31,RM_PM_Quantity[RM Name],$E31),0)</f>
        <v>0</v>
      </c>
      <c r="BR31" s="84">
        <f>SUMIFS(RM_PM_Quantity[Quantity],RM_PM_Quantity[Date],BR$1,RM_PM_Quantity[Location],$D31,RM_PM_Quantity[Section],$C31,RM_PM_Quantity[RM Name],$E31)+IF($D31="MIND/Pre-Production",SUMIFS(RM_PM_Quantity[Quantity],RM_PM_Quantity[Date],BR$1,RM_PM_Quantity[Location],"MIDC/Pre-Production",RM_PM_Quantity[Section],$C31,RM_PM_Quantity[RM Name],$E31),0)</f>
        <v>0</v>
      </c>
      <c r="BS31" s="84">
        <f>SUMIFS(RM_PM_Quantity[Quantity],RM_PM_Quantity[Date],BS$1,RM_PM_Quantity[Location],$D31,RM_PM_Quantity[Section],$C31,RM_PM_Quantity[RM Name],$E31)+IF($D31="MIND/Pre-Production",SUMIFS(RM_PM_Quantity[Quantity],RM_PM_Quantity[Date],BS$1,RM_PM_Quantity[Location],"MIDC/Pre-Production",RM_PM_Quantity[Section],$C31,RM_PM_Quantity[RM Name],$E31),0)</f>
        <v>0</v>
      </c>
      <c r="BT31" s="84">
        <f>SUMIFS(RM_PM_Quantity[ID],RM_PM_Quantity[Location],BT$1,RM_PM_Quantity[Section],$D31,RM_PM_Quantity[RM Name],$C31,RM_PM_Quantity[Quantity],$E31)+IF($D31="MIND/Pre-Production",SUMIFS(RM_PM_Quantity[ID],RM_PM_Quantity[Location],BT$1,RM_PM_Quantity[Section],"MIDC/Pre-Production",RM_PM_Quantity[RM Name],$C31,RM_PM_Quantity[Quantity],$E31),0)</f>
        <v>0</v>
      </c>
      <c r="BU31" s="84">
        <f>SUMIFS(RM_PM_Quantity[Name of Supervisor],RM_PM_Quantity[Section],BU$1,RM_PM_Quantity[RM Name],$D31,RM_PM_Quantity[Quantity],$C31,RM_PM_Quantity[ID],$E31)+IF($D31="MIND/Pre-Production",SUMIFS(RM_PM_Quantity[Name of Supervisor],RM_PM_Quantity[Section],BU$1,RM_PM_Quantity[RM Name],"MIDC/Pre-Production",RM_PM_Quantity[Quantity],$C31,RM_PM_Quantity[ID],$E31),0)</f>
        <v>0</v>
      </c>
      <c r="BV31" s="84">
        <f>SUMIFS(RM_PM_Quantity[Date],RM_PM_Quantity[RM Name],BV$1,RM_PM_Quantity[Quantity],$D31,RM_PM_Quantity[ID],$C31,RM_PM_Quantity[Name of Supervisor],$E31)+IF($D31="MIND/Pre-Production",SUMIFS(RM_PM_Quantity[Date],RM_PM_Quantity[RM Name],BV$1,RM_PM_Quantity[Quantity],"MIDC/Pre-Production",RM_PM_Quantity[ID],$C31,RM_PM_Quantity[Name of Supervisor],$E31),0)</f>
        <v>0</v>
      </c>
      <c r="BW31" s="84">
        <f>SUMIFS(RM_PM_Quantity[Location],RM_PM_Quantity[Quantity],BW$1,RM_PM_Quantity[ID],$D31,RM_PM_Quantity[Name of Supervisor],$C31,RM_PM_Quantity[Date],$E31)+IF($D31="MIND/Pre-Production",SUMIFS(RM_PM_Quantity[Location],RM_PM_Quantity[Quantity],BW$1,RM_PM_Quantity[ID],"MIDC/Pre-Production",RM_PM_Quantity[Name of Supervisor],$C31,RM_PM_Quantity[Date],$E31),0)</f>
        <v>0</v>
      </c>
      <c r="BX31" s="84">
        <f>SUMIFS(RM_PM_Quantity[Section],RM_PM_Quantity[ID],BX$1,RM_PM_Quantity[Name of Supervisor],$D31,RM_PM_Quantity[Date],$C31,RM_PM_Quantity[Location],$E31)+IF($D31="MIND/Pre-Production",SUMIFS(RM_PM_Quantity[Section],RM_PM_Quantity[ID],BX$1,RM_PM_Quantity[Name of Supervisor],"MIDC/Pre-Production",RM_PM_Quantity[Date],$C31,RM_PM_Quantity[Location],$E31),0)</f>
        <v>0</v>
      </c>
      <c r="BY31" s="84">
        <f>SUMIFS(RM_PM_Quantity[RM Name],RM_PM_Quantity[Name of Supervisor],BY$1,RM_PM_Quantity[Date],$D31,RM_PM_Quantity[Location],$C31,RM_PM_Quantity[Section],$E31)+IF($D31="MIND/Pre-Production",SUMIFS(RM_PM_Quantity[RM Name],RM_PM_Quantity[Name of Supervisor],BY$1,RM_PM_Quantity[Date],"MIDC/Pre-Production",RM_PM_Quantity[Location],$C31,RM_PM_Quantity[Section],$E31),0)</f>
        <v>0</v>
      </c>
    </row>
    <row r="32" spans="1:77" ht="45.75" customHeight="1">
      <c r="A32" s="79">
        <v>31</v>
      </c>
      <c r="B32" s="79" t="s">
        <v>114</v>
      </c>
      <c r="C32" s="80" t="s">
        <v>108</v>
      </c>
      <c r="D32" s="81" t="s">
        <v>68</v>
      </c>
      <c r="E32" s="82" t="s">
        <v>115</v>
      </c>
      <c r="F32" s="83">
        <f>IFERROR(_xlfn.XLOOKUP(B32,'[1]RM Tracker'!B:B,'[1]RM Tracker'!E:E),"0")</f>
        <v>0</v>
      </c>
      <c r="G32" s="85">
        <f t="shared" si="2"/>
        <v>0</v>
      </c>
      <c r="H32" s="85">
        <f t="shared" si="0"/>
        <v>0</v>
      </c>
      <c r="I32" s="91">
        <f t="shared" si="1"/>
        <v>0</v>
      </c>
      <c r="J32" s="84">
        <f>SUMIFS(RM_PM_Quantity[Quantity],RM_PM_Quantity[Date],J$1,RM_PM_Quantity[Location],$D32,RM_PM_Quantity[Section],$C32,RM_PM_Quantity[RM Name],$E32)+IF($D32="MIND/Pre-Production",SUMIFS(RM_PM_Quantity[Quantity],RM_PM_Quantity[Date],J$1,RM_PM_Quantity[Location],"MIDC/Pre-Production",RM_PM_Quantity[Section],$C32,RM_PM_Quantity[RM Name],$E32),0)</f>
        <v>0</v>
      </c>
      <c r="K32" s="84">
        <f>SUMIFS(RM_PM_Quantity[Quantity],RM_PM_Quantity[Date],K$1,RM_PM_Quantity[Location],$D32,RM_PM_Quantity[Section],$C32,RM_PM_Quantity[RM Name],$E32)+IF($D32="MIND/Pre-Production",SUMIFS(RM_PM_Quantity[Quantity],RM_PM_Quantity[Date],K$1,RM_PM_Quantity[Location],"MIDC/Pre-Production",RM_PM_Quantity[Section],$C32,RM_PM_Quantity[RM Name],$E32),0)</f>
        <v>0</v>
      </c>
      <c r="L32" s="84">
        <f>SUMIFS(RM_PM_Quantity[Quantity],RM_PM_Quantity[Date],L$1,RM_PM_Quantity[Location],$D32,RM_PM_Quantity[Section],$C32,RM_PM_Quantity[RM Name],$E32)+IF($D32="MIND/Pre-Production",SUMIFS(RM_PM_Quantity[Quantity],RM_PM_Quantity[Date],L$1,RM_PM_Quantity[Location],"MIDC/Pre-Production",RM_PM_Quantity[Section],$C32,RM_PM_Quantity[RM Name],$E32),0)</f>
        <v>0</v>
      </c>
      <c r="M32" s="84">
        <f>SUMIFS(RM_PM_Quantity[Quantity],RM_PM_Quantity[Date],M$1,RM_PM_Quantity[Location],$D32,RM_PM_Quantity[Section],$C32,RM_PM_Quantity[RM Name],$E32)+IF($D32="MIND/Pre-Production",SUMIFS(RM_PM_Quantity[Quantity],RM_PM_Quantity[Date],M$1,RM_PM_Quantity[Location],"MIDC/Pre-Production",RM_PM_Quantity[Section],$C32,RM_PM_Quantity[RM Name],$E32),0)</f>
        <v>0</v>
      </c>
      <c r="N32" s="84">
        <f>SUMIFS(RM_PM_Quantity[Quantity],RM_PM_Quantity[Date],N$1,RM_PM_Quantity[Location],$D32,RM_PM_Quantity[Section],$C32,RM_PM_Quantity[RM Name],$E32)+IF($D32="MIND/Pre-Production",SUMIFS(RM_PM_Quantity[Quantity],RM_PM_Quantity[Date],N$1,RM_PM_Quantity[Location],"MIDC/Pre-Production",RM_PM_Quantity[Section],$C32,RM_PM_Quantity[RM Name],$E32),0)</f>
        <v>0</v>
      </c>
      <c r="O32" s="84">
        <f>SUMIFS(RM_PM_Quantity[Quantity],RM_PM_Quantity[Date],O$1,RM_PM_Quantity[Location],$D32,RM_PM_Quantity[Section],$C32,RM_PM_Quantity[RM Name],$E32)+IF($D32="MIND/Pre-Production",SUMIFS(RM_PM_Quantity[Quantity],RM_PM_Quantity[Date],O$1,RM_PM_Quantity[Location],"MIDC/Pre-Production",RM_PM_Quantity[Section],$C32,RM_PM_Quantity[RM Name],$E32),0)</f>
        <v>0</v>
      </c>
      <c r="P32" s="84">
        <f>SUMIFS(RM_PM_Quantity[Quantity],RM_PM_Quantity[Date],P$1,RM_PM_Quantity[Location],$D32,RM_PM_Quantity[Section],$C32,RM_PM_Quantity[RM Name],$E32)+IF($D32="MIND/Pre-Production",SUMIFS(RM_PM_Quantity[Quantity],RM_PM_Quantity[Date],P$1,RM_PM_Quantity[Location],"MIDC/Pre-Production",RM_PM_Quantity[Section],$C32,RM_PM_Quantity[RM Name],$E32),0)</f>
        <v>0</v>
      </c>
      <c r="Q32" s="84">
        <f>SUMIFS(RM_PM_Quantity[Quantity],RM_PM_Quantity[Date],Q$1,RM_PM_Quantity[Location],$D32,RM_PM_Quantity[Section],$C32,RM_PM_Quantity[RM Name],$E32)+IF($D32="MIND/Pre-Production",SUMIFS(RM_PM_Quantity[Quantity],RM_PM_Quantity[Date],Q$1,RM_PM_Quantity[Location],"MIDC/Pre-Production",RM_PM_Quantity[Section],$C32,RM_PM_Quantity[RM Name],$E32),0)</f>
        <v>0</v>
      </c>
      <c r="R32" s="84">
        <f>SUMIFS(RM_PM_Quantity[Quantity],RM_PM_Quantity[Date],R$1,RM_PM_Quantity[Location],$D32,RM_PM_Quantity[Section],$C32,RM_PM_Quantity[RM Name],$E32)+IF($D32="MIND/Pre-Production",SUMIFS(RM_PM_Quantity[Quantity],RM_PM_Quantity[Date],R$1,RM_PM_Quantity[Location],"MIDC/Pre-Production",RM_PM_Quantity[Section],$C32,RM_PM_Quantity[RM Name],$E32),0)</f>
        <v>0</v>
      </c>
      <c r="S32" s="84">
        <f>SUMIFS(RM_PM_Quantity[Quantity],RM_PM_Quantity[Date],S$1,RM_PM_Quantity[Location],$D32,RM_PM_Quantity[Section],$C32,RM_PM_Quantity[RM Name],$E32)+IF($D32="MIND/Pre-Production",SUMIFS(RM_PM_Quantity[Quantity],RM_PM_Quantity[Date],S$1,RM_PM_Quantity[Location],"MIDC/Pre-Production",RM_PM_Quantity[Section],$C32,RM_PM_Quantity[RM Name],$E32),0)</f>
        <v>0</v>
      </c>
      <c r="T32" s="84">
        <f>SUMIFS(RM_PM_Quantity[Quantity],RM_PM_Quantity[Date],T$1,RM_PM_Quantity[Location],$D32,RM_PM_Quantity[Section],$C32,RM_PM_Quantity[RM Name],$E32)+IF($D32="MIND/Pre-Production",SUMIFS(RM_PM_Quantity[Quantity],RM_PM_Quantity[Date],T$1,RM_PM_Quantity[Location],"MIDC/Pre-Production",RM_PM_Quantity[Section],$C32,RM_PM_Quantity[RM Name],$E32),0)</f>
        <v>0</v>
      </c>
      <c r="U32" s="84">
        <f>SUMIFS(RM_PM_Quantity[Quantity],RM_PM_Quantity[Date],U$1,RM_PM_Quantity[Location],$D32,RM_PM_Quantity[Section],$C32,RM_PM_Quantity[RM Name],$E32)+IF($D32="MIND/Pre-Production",SUMIFS(RM_PM_Quantity[Quantity],RM_PM_Quantity[Date],U$1,RM_PM_Quantity[Location],"MIDC/Pre-Production",RM_PM_Quantity[Section],$C32,RM_PM_Quantity[RM Name],$E32),0)</f>
        <v>0</v>
      </c>
      <c r="V32" s="84">
        <f>SUMIFS(RM_PM_Quantity[Quantity],RM_PM_Quantity[Date],V$1,RM_PM_Quantity[Location],$D32,RM_PM_Quantity[Section],$C32,RM_PM_Quantity[RM Name],$E32)+IF($D32="MIND/Pre-Production",SUMIFS(RM_PM_Quantity[Quantity],RM_PM_Quantity[Date],V$1,RM_PM_Quantity[Location],"MIDC/Pre-Production",RM_PM_Quantity[Section],$C32,RM_PM_Quantity[RM Name],$E32),0)</f>
        <v>0</v>
      </c>
      <c r="W32" s="84">
        <f>SUMIFS(RM_PM_Quantity[Quantity],RM_PM_Quantity[Date],W$1,RM_PM_Quantity[Location],$D32,RM_PM_Quantity[Section],$C32,RM_PM_Quantity[RM Name],$E32)+IF($D32="MIND/Pre-Production",SUMIFS(RM_PM_Quantity[Quantity],RM_PM_Quantity[Date],W$1,RM_PM_Quantity[Location],"MIDC/Pre-Production",RM_PM_Quantity[Section],$C32,RM_PM_Quantity[RM Name],$E32),0)</f>
        <v>0</v>
      </c>
      <c r="X32" s="84">
        <f>SUMIFS(RM_PM_Quantity[Quantity],RM_PM_Quantity[Date],X$1,RM_PM_Quantity[Location],$D32,RM_PM_Quantity[Section],$C32,RM_PM_Quantity[RM Name],$E32)+IF($D32="MIND/Pre-Production",SUMIFS(RM_PM_Quantity[Quantity],RM_PM_Quantity[Date],X$1,RM_PM_Quantity[Location],"MIDC/Pre-Production",RM_PM_Quantity[Section],$C32,RM_PM_Quantity[RM Name],$E32),0)</f>
        <v>0</v>
      </c>
      <c r="Y32" s="84">
        <f>SUMIFS(RM_PM_Quantity[Quantity],RM_PM_Quantity[Date],Y$1,RM_PM_Quantity[Location],$D32,RM_PM_Quantity[Section],$C32,RM_PM_Quantity[RM Name],$E32)+IF($D32="MIND/Pre-Production",SUMIFS(RM_PM_Quantity[Quantity],RM_PM_Quantity[Date],Y$1,RM_PM_Quantity[Location],"MIDC/Pre-Production",RM_PM_Quantity[Section],$C32,RM_PM_Quantity[RM Name],$E32),0)</f>
        <v>0</v>
      </c>
      <c r="Z32" s="84">
        <f>SUMIFS(RM_PM_Quantity[Quantity],RM_PM_Quantity[Date],Z$1,RM_PM_Quantity[Location],$D32,RM_PM_Quantity[Section],$C32,RM_PM_Quantity[RM Name],$E32)+IF($D32="MIND/Pre-Production",SUMIFS(RM_PM_Quantity[Quantity],RM_PM_Quantity[Date],Z$1,RM_PM_Quantity[Location],"MIDC/Pre-Production",RM_PM_Quantity[Section],$C32,RM_PM_Quantity[RM Name],$E32),0)</f>
        <v>0</v>
      </c>
      <c r="AA32" s="84">
        <f>SUMIFS(RM_PM_Quantity[Quantity],RM_PM_Quantity[Date],AA$1,RM_PM_Quantity[Location],$D32,RM_PM_Quantity[Section],$C32,RM_PM_Quantity[RM Name],$E32)+IF($D32="MIND/Pre-Production",SUMIFS(RM_PM_Quantity[Quantity],RM_PM_Quantity[Date],AA$1,RM_PM_Quantity[Location],"MIDC/Pre-Production",RM_PM_Quantity[Section],$C32,RM_PM_Quantity[RM Name],$E32),0)</f>
        <v>2675</v>
      </c>
      <c r="AB32" s="84">
        <f>SUMIFS(RM_PM_Quantity[Quantity],RM_PM_Quantity[Date],AB$1,RM_PM_Quantity[Location],$D32,RM_PM_Quantity[Section],$C32,RM_PM_Quantity[RM Name],$E32)+IF($D32="MIND/Pre-Production",SUMIFS(RM_PM_Quantity[Quantity],RM_PM_Quantity[Date],AB$1,RM_PM_Quantity[Location],"MIDC/Pre-Production",RM_PM_Quantity[Section],$C32,RM_PM_Quantity[RM Name],$E32),0)</f>
        <v>7780</v>
      </c>
      <c r="AC32" s="84">
        <f>SUMIFS(RM_PM_Quantity[Quantity],RM_PM_Quantity[Date],AC$1,RM_PM_Quantity[Location],$D32,RM_PM_Quantity[Section],$C32,RM_PM_Quantity[RM Name],$E32)+IF($D32="MIND/Pre-Production",SUMIFS(RM_PM_Quantity[Quantity],RM_PM_Quantity[Date],AC$1,RM_PM_Quantity[Location],"MIDC/Pre-Production",RM_PM_Quantity[Section],$C32,RM_PM_Quantity[RM Name],$E32),0)</f>
        <v>0</v>
      </c>
      <c r="AD32" s="84">
        <f>SUMIFS(RM_PM_Quantity[Quantity],RM_PM_Quantity[Date],AD$1,RM_PM_Quantity[Location],$D32,RM_PM_Quantity[Section],$C32,RM_PM_Quantity[RM Name],$E32)+IF($D32="MIND/Pre-Production",SUMIFS(RM_PM_Quantity[Quantity],RM_PM_Quantity[Date],AD$1,RM_PM_Quantity[Location],"MIDC/Pre-Production",RM_PM_Quantity[Section],$C32,RM_PM_Quantity[RM Name],$E32),0)</f>
        <v>0</v>
      </c>
      <c r="AE32" s="84">
        <f>SUMIFS(RM_PM_Quantity[Quantity],RM_PM_Quantity[Date],AE$1,RM_PM_Quantity[Location],$D32,RM_PM_Quantity[Section],$C32,RM_PM_Quantity[RM Name],$E32)+IF($D32="MIND/Pre-Production",SUMIFS(RM_PM_Quantity[Quantity],RM_PM_Quantity[Date],AE$1,RM_PM_Quantity[Location],"MIDC/Pre-Production",RM_PM_Quantity[Section],$C32,RM_PM_Quantity[RM Name],$E32),0)</f>
        <v>0</v>
      </c>
      <c r="AF32" s="84">
        <f>SUMIFS(RM_PM_Quantity[Quantity],RM_PM_Quantity[Date],AF$1,RM_PM_Quantity[Location],$D32,RM_PM_Quantity[Section],$C32,RM_PM_Quantity[RM Name],$E32)+IF($D32="MIND/Pre-Production",SUMIFS(RM_PM_Quantity[Quantity],RM_PM_Quantity[Date],AF$1,RM_PM_Quantity[Location],"MIDC/Pre-Production",RM_PM_Quantity[Section],$C32,RM_PM_Quantity[RM Name],$E32),0)</f>
        <v>0</v>
      </c>
      <c r="AG32" s="84">
        <f>SUMIFS(RM_PM_Quantity[Quantity],RM_PM_Quantity[Date],AG$1,RM_PM_Quantity[Location],$D32,RM_PM_Quantity[Section],$C32,RM_PM_Quantity[RM Name],$E32)+IF($D32="MIND/Pre-Production",SUMIFS(RM_PM_Quantity[Quantity],RM_PM_Quantity[Date],AG$1,RM_PM_Quantity[Location],"MIDC/Pre-Production",RM_PM_Quantity[Section],$C32,RM_PM_Quantity[RM Name],$E32),0)</f>
        <v>0</v>
      </c>
      <c r="AH32" s="84">
        <f>SUMIFS(RM_PM_Quantity[Quantity],RM_PM_Quantity[Date],AH$1,RM_PM_Quantity[Location],$D32,RM_PM_Quantity[Section],$C32,RM_PM_Quantity[RM Name],$E32)+IF($D32="MIND/Pre-Production",SUMIFS(RM_PM_Quantity[Quantity],RM_PM_Quantity[Date],AH$1,RM_PM_Quantity[Location],"MIDC/Pre-Production",RM_PM_Quantity[Section],$C32,RM_PM_Quantity[RM Name],$E32),0)</f>
        <v>0</v>
      </c>
      <c r="AI32" s="84">
        <f>SUMIFS(RM_PM_Quantity[Quantity],RM_PM_Quantity[Date],AI$1,RM_PM_Quantity[Location],$D32,RM_PM_Quantity[Section],$C32,RM_PM_Quantity[RM Name],$E32)+IF($D32="MIND/Pre-Production",SUMIFS(RM_PM_Quantity[Quantity],RM_PM_Quantity[Date],AI$1,RM_PM_Quantity[Location],"MIDC/Pre-Production",RM_PM_Quantity[Section],$C32,RM_PM_Quantity[RM Name],$E32),0)</f>
        <v>0</v>
      </c>
      <c r="AJ32" s="84">
        <f>SUMIFS(RM_PM_Quantity[Quantity],RM_PM_Quantity[Date],AJ$1,RM_PM_Quantity[Location],$D32,RM_PM_Quantity[Section],$C32,RM_PM_Quantity[RM Name],$E32)+IF($D32="MIND/Pre-Production",SUMIFS(RM_PM_Quantity[Quantity],RM_PM_Quantity[Date],AJ$1,RM_PM_Quantity[Location],"MIDC/Pre-Production",RM_PM_Quantity[Section],$C32,RM_PM_Quantity[RM Name],$E32),0)</f>
        <v>0</v>
      </c>
      <c r="AK32" s="84">
        <f>SUMIFS(RM_PM_Quantity[Quantity],RM_PM_Quantity[Date],AK$1,RM_PM_Quantity[Location],$D32,RM_PM_Quantity[Section],$C32,RM_PM_Quantity[RM Name],$E32)+IF($D32="MIND/Pre-Production",SUMIFS(RM_PM_Quantity[Quantity],RM_PM_Quantity[Date],AK$1,RM_PM_Quantity[Location],"MIDC/Pre-Production",RM_PM_Quantity[Section],$C32,RM_PM_Quantity[RM Name],$E32),0)</f>
        <v>0</v>
      </c>
      <c r="AL32" s="84">
        <f>SUMIFS(RM_PM_Quantity[Quantity],RM_PM_Quantity[Date],AL$1,RM_PM_Quantity[Location],$D32,RM_PM_Quantity[Section],$C32,RM_PM_Quantity[RM Name],$E32)+IF($D32="MIND/Pre-Production",SUMIFS(RM_PM_Quantity[Quantity],RM_PM_Quantity[Date],AL$1,RM_PM_Quantity[Location],"MIDC/Pre-Production",RM_PM_Quantity[Section],$C32,RM_PM_Quantity[RM Name],$E32),0)</f>
        <v>0</v>
      </c>
      <c r="AM32" s="84">
        <f>SUMIFS(RM_PM_Quantity[Quantity],RM_PM_Quantity[Date],AM$1,RM_PM_Quantity[Location],$D32,RM_PM_Quantity[Section],$C32,RM_PM_Quantity[RM Name],$E32)+IF($D32="MIND/Pre-Production",SUMIFS(RM_PM_Quantity[Quantity],RM_PM_Quantity[Date],AM$1,RM_PM_Quantity[Location],"MIDC/Pre-Production",RM_PM_Quantity[Section],$C32,RM_PM_Quantity[RM Name],$E32),0)</f>
        <v>0</v>
      </c>
      <c r="AN32" s="84">
        <f>SUMIFS(RM_PM_Quantity[Quantity],RM_PM_Quantity[Date],AN$1,RM_PM_Quantity[Location],$D32,RM_PM_Quantity[Section],$C32,RM_PM_Quantity[RM Name],$E32)+IF($D32="MIND/Pre-Production",SUMIFS(RM_PM_Quantity[Quantity],RM_PM_Quantity[Date],AN$1,RM_PM_Quantity[Location],"MIDC/Pre-Production",RM_PM_Quantity[Section],$C32,RM_PM_Quantity[RM Name],$E32),0)</f>
        <v>0</v>
      </c>
      <c r="AO32" s="84">
        <f>SUMIFS(RM_PM_Quantity[Quantity],RM_PM_Quantity[Date],AO$1,RM_PM_Quantity[Location],$D32,RM_PM_Quantity[Section],$C32,RM_PM_Quantity[RM Name],$E32)+IF($D32="MIND/Pre-Production",SUMIFS(RM_PM_Quantity[Quantity],RM_PM_Quantity[Date],AO$1,RM_PM_Quantity[Location],"MIDC/Pre-Production",RM_PM_Quantity[Section],$C32,RM_PM_Quantity[RM Name],$E32),0)</f>
        <v>0</v>
      </c>
      <c r="AP32" s="84">
        <f>SUMIFS(RM_PM_Quantity[Quantity],RM_PM_Quantity[Date],AP$1,RM_PM_Quantity[Location],$D32,RM_PM_Quantity[Section],$C32,RM_PM_Quantity[RM Name],$E32)+IF($D32="MIND/Pre-Production",SUMIFS(RM_PM_Quantity[Quantity],RM_PM_Quantity[Date],AP$1,RM_PM_Quantity[Location],"MIDC/Pre-Production",RM_PM_Quantity[Section],$C32,RM_PM_Quantity[RM Name],$E32),0)</f>
        <v>0</v>
      </c>
      <c r="AQ32" s="84">
        <f>SUMIFS(RM_PM_Quantity[Quantity],RM_PM_Quantity[Date],AQ$1,RM_PM_Quantity[Location],$D32,RM_PM_Quantity[Section],$C32,RM_PM_Quantity[RM Name],$E32)+IF($D32="MIND/Pre-Production",SUMIFS(RM_PM_Quantity[Quantity],RM_PM_Quantity[Date],AQ$1,RM_PM_Quantity[Location],"MIDC/Pre-Production",RM_PM_Quantity[Section],$C32,RM_PM_Quantity[RM Name],$E32),0)</f>
        <v>0</v>
      </c>
      <c r="AR32" s="84">
        <f>SUMIFS(RM_PM_Quantity[Quantity],RM_PM_Quantity[Date],AR$1,RM_PM_Quantity[Location],$D32,RM_PM_Quantity[Section],$C32,RM_PM_Quantity[RM Name],$E32)+IF($D32="MIND/Pre-Production",SUMIFS(RM_PM_Quantity[Quantity],RM_PM_Quantity[Date],AR$1,RM_PM_Quantity[Location],"MIDC/Pre-Production",RM_PM_Quantity[Section],$C32,RM_PM_Quantity[RM Name],$E32),0)</f>
        <v>0</v>
      </c>
      <c r="AS32" s="84">
        <f>SUMIFS(RM_PM_Quantity[Quantity],RM_PM_Quantity[Date],AS$1,RM_PM_Quantity[Location],$D32,RM_PM_Quantity[Section],$C32,RM_PM_Quantity[RM Name],$E32)+IF($D32="MIND/Pre-Production",SUMIFS(RM_PM_Quantity[Quantity],RM_PM_Quantity[Date],AS$1,RM_PM_Quantity[Location],"MIDC/Pre-Production",RM_PM_Quantity[Section],$C32,RM_PM_Quantity[RM Name],$E32),0)</f>
        <v>0</v>
      </c>
      <c r="AT32" s="84">
        <f>SUMIFS(RM_PM_Quantity[Quantity],RM_PM_Quantity[Date],AT$1,RM_PM_Quantity[Location],$D32,RM_PM_Quantity[Section],$C32,RM_PM_Quantity[RM Name],$E32)+IF($D32="MIND/Pre-Production",SUMIFS(RM_PM_Quantity[Quantity],RM_PM_Quantity[Date],AT$1,RM_PM_Quantity[Location],"MIDC/Pre-Production",RM_PM_Quantity[Section],$C32,RM_PM_Quantity[RM Name],$E32),0)</f>
        <v>0</v>
      </c>
      <c r="AU32" s="84">
        <f>SUMIFS(RM_PM_Quantity[Quantity],RM_PM_Quantity[Date],AU$1,RM_PM_Quantity[Location],$D32,RM_PM_Quantity[Section],$C32,RM_PM_Quantity[RM Name],$E32)+IF($D32="MIND/Pre-Production",SUMIFS(RM_PM_Quantity[Quantity],RM_PM_Quantity[Date],AU$1,RM_PM_Quantity[Location],"MIDC/Pre-Production",RM_PM_Quantity[Section],$C32,RM_PM_Quantity[RM Name],$E32),0)</f>
        <v>0</v>
      </c>
      <c r="AV32" s="84">
        <f>SUMIFS(RM_PM_Quantity[Quantity],RM_PM_Quantity[Date],AV$1,RM_PM_Quantity[Location],$D32,RM_PM_Quantity[Section],$C32,RM_PM_Quantity[RM Name],$E32)+IF($D32="MIND/Pre-Production",SUMIFS(RM_PM_Quantity[Quantity],RM_PM_Quantity[Date],AV$1,RM_PM_Quantity[Location],"MIDC/Pre-Production",RM_PM_Quantity[Section],$C32,RM_PM_Quantity[RM Name],$E32),0)</f>
        <v>0</v>
      </c>
      <c r="AW32" s="84">
        <f>SUMIFS(RM_PM_Quantity[Quantity],RM_PM_Quantity[Date],AW$1,RM_PM_Quantity[Location],$D32,RM_PM_Quantity[Section],$C32,RM_PM_Quantity[RM Name],$E32)+IF($D32="MIND/Pre-Production",SUMIFS(RM_PM_Quantity[Quantity],RM_PM_Quantity[Date],AW$1,RM_PM_Quantity[Location],"MIDC/Pre-Production",RM_PM_Quantity[Section],$C32,RM_PM_Quantity[RM Name],$E32),0)</f>
        <v>0</v>
      </c>
      <c r="AX32" s="84">
        <f>SUMIFS(RM_PM_Quantity[Quantity],RM_PM_Quantity[Date],AX$1,RM_PM_Quantity[Location],$D32,RM_PM_Quantity[Section],$C32,RM_PM_Quantity[RM Name],$E32)+IF($D32="MIND/Pre-Production",SUMIFS(RM_PM_Quantity[Quantity],RM_PM_Quantity[Date],AX$1,RM_PM_Quantity[Location],"MIDC/Pre-Production",RM_PM_Quantity[Section],$C32,RM_PM_Quantity[RM Name],$E32),0)</f>
        <v>0</v>
      </c>
      <c r="AY32" s="84">
        <f>SUMIFS(RM_PM_Quantity[Quantity],RM_PM_Quantity[Date],AY$1,RM_PM_Quantity[Location],$D32,RM_PM_Quantity[Section],$C32,RM_PM_Quantity[RM Name],$E32)+IF($D32="MIND/Pre-Production",SUMIFS(RM_PM_Quantity[Quantity],RM_PM_Quantity[Date],AY$1,RM_PM_Quantity[Location],"MIDC/Pre-Production",RM_PM_Quantity[Section],$C32,RM_PM_Quantity[RM Name],$E32),0)</f>
        <v>0</v>
      </c>
      <c r="AZ32" s="84">
        <f>SUMIFS(RM_PM_Quantity[Quantity],RM_PM_Quantity[Date],AZ$1,RM_PM_Quantity[Location],$D32,RM_PM_Quantity[Section],$C32,RM_PM_Quantity[RM Name],$E32)+IF($D32="MIND/Pre-Production",SUMIFS(RM_PM_Quantity[Quantity],RM_PM_Quantity[Date],AZ$1,RM_PM_Quantity[Location],"MIDC/Pre-Production",RM_PM_Quantity[Section],$C32,RM_PM_Quantity[RM Name],$E32),0)</f>
        <v>0</v>
      </c>
      <c r="BA32" s="84">
        <f>SUMIFS(RM_PM_Quantity[Quantity],RM_PM_Quantity[Date],BA$1,RM_PM_Quantity[Location],$D32,RM_PM_Quantity[Section],$C32,RM_PM_Quantity[RM Name],$E32)+IF($D32="MIND/Pre-Production",SUMIFS(RM_PM_Quantity[Quantity],RM_PM_Quantity[Date],BA$1,RM_PM_Quantity[Location],"MIDC/Pre-Production",RM_PM_Quantity[Section],$C32,RM_PM_Quantity[RM Name],$E32),0)</f>
        <v>0</v>
      </c>
      <c r="BB32" s="84">
        <f>SUMIFS(RM_PM_Quantity[Quantity],RM_PM_Quantity[Date],BB$1,RM_PM_Quantity[Location],$D32,RM_PM_Quantity[Section],$C32,RM_PM_Quantity[RM Name],$E32)+IF($D32="MIND/Pre-Production",SUMIFS(RM_PM_Quantity[Quantity],RM_PM_Quantity[Date],BB$1,RM_PM_Quantity[Location],"MIDC/Pre-Production",RM_PM_Quantity[Section],$C32,RM_PM_Quantity[RM Name],$E32),0)</f>
        <v>0</v>
      </c>
      <c r="BC32" s="84">
        <f>SUMIFS(RM_PM_Quantity[Quantity],RM_PM_Quantity[Date],BC$1,RM_PM_Quantity[Location],$D32,RM_PM_Quantity[Section],$C32,RM_PM_Quantity[RM Name],$E32)+IF($D32="MIND/Pre-Production",SUMIFS(RM_PM_Quantity[Quantity],RM_PM_Quantity[Date],BC$1,RM_PM_Quantity[Location],"MIDC/Pre-Production",RM_PM_Quantity[Section],$C32,RM_PM_Quantity[RM Name],$E32),0)</f>
        <v>0</v>
      </c>
      <c r="BD32" s="84">
        <f>SUMIFS(RM_PM_Quantity[Quantity],RM_PM_Quantity[Date],BD$1,RM_PM_Quantity[Location],$D32,RM_PM_Quantity[Section],$C32,RM_PM_Quantity[RM Name],$E32)+IF($D32="MIND/Pre-Production",SUMIFS(RM_PM_Quantity[Quantity],RM_PM_Quantity[Date],BD$1,RM_PM_Quantity[Location],"MIDC/Pre-Production",RM_PM_Quantity[Section],$C32,RM_PM_Quantity[RM Name],$E32),0)</f>
        <v>0</v>
      </c>
      <c r="BE32" s="84">
        <f>SUMIFS(RM_PM_Quantity[Quantity],RM_PM_Quantity[Date],BE$1,RM_PM_Quantity[Location],$D32,RM_PM_Quantity[Section],$C32,RM_PM_Quantity[RM Name],$E32)+IF($D32="MIND/Pre-Production",SUMIFS(RM_PM_Quantity[Quantity],RM_PM_Quantity[Date],BE$1,RM_PM_Quantity[Location],"MIDC/Pre-Production",RM_PM_Quantity[Section],$C32,RM_PM_Quantity[RM Name],$E32),0)</f>
        <v>0</v>
      </c>
      <c r="BF32" s="84">
        <f>SUMIFS(RM_PM_Quantity[Quantity],RM_PM_Quantity[Date],BF$1,RM_PM_Quantity[Location],$D32,RM_PM_Quantity[Section],$C32,RM_PM_Quantity[RM Name],$E32)+IF($D32="MIND/Pre-Production",SUMIFS(RM_PM_Quantity[Quantity],RM_PM_Quantity[Date],BF$1,RM_PM_Quantity[Location],"MIDC/Pre-Production",RM_PM_Quantity[Section],$C32,RM_PM_Quantity[RM Name],$E32),0)</f>
        <v>0</v>
      </c>
      <c r="BG32" s="84">
        <f>SUMIFS(RM_PM_Quantity[Quantity],RM_PM_Quantity[Date],BG$1,RM_PM_Quantity[Location],$D32,RM_PM_Quantity[Section],$C32,RM_PM_Quantity[RM Name],$E32)+IF($D32="MIND/Pre-Production",SUMIFS(RM_PM_Quantity[Quantity],RM_PM_Quantity[Date],BG$1,RM_PM_Quantity[Location],"MIDC/Pre-Production",RM_PM_Quantity[Section],$C32,RM_PM_Quantity[RM Name],$E32),0)</f>
        <v>0</v>
      </c>
      <c r="BH32" s="84">
        <f>SUMIFS(RM_PM_Quantity[Quantity],RM_PM_Quantity[Date],BH$1,RM_PM_Quantity[Location],$D32,RM_PM_Quantity[Section],$C32,RM_PM_Quantity[RM Name],$E32)+IF($D32="MIND/Pre-Production",SUMIFS(RM_PM_Quantity[Quantity],RM_PM_Quantity[Date],BH$1,RM_PM_Quantity[Location],"MIDC/Pre-Production",RM_PM_Quantity[Section],$C32,RM_PM_Quantity[RM Name],$E32),0)</f>
        <v>0</v>
      </c>
      <c r="BI32" s="84">
        <f>SUMIFS(RM_PM_Quantity[Quantity],RM_PM_Quantity[Date],BI$1,RM_PM_Quantity[Location],$D32,RM_PM_Quantity[Section],$C32,RM_PM_Quantity[RM Name],$E32)+IF($D32="MIND/Pre-Production",SUMIFS(RM_PM_Quantity[Quantity],RM_PM_Quantity[Date],BI$1,RM_PM_Quantity[Location],"MIDC/Pre-Production",RM_PM_Quantity[Section],$C32,RM_PM_Quantity[RM Name],$E32),0)</f>
        <v>0</v>
      </c>
      <c r="BJ32" s="84">
        <f>SUMIFS(RM_PM_Quantity[Quantity],RM_PM_Quantity[Date],BJ$1,RM_PM_Quantity[Location],$D32,RM_PM_Quantity[Section],$C32,RM_PM_Quantity[RM Name],$E32)+IF($D32="MIND/Pre-Production",SUMIFS(RM_PM_Quantity[Quantity],RM_PM_Quantity[Date],BJ$1,RM_PM_Quantity[Location],"MIDC/Pre-Production",RM_PM_Quantity[Section],$C32,RM_PM_Quantity[RM Name],$E32),0)</f>
        <v>0</v>
      </c>
      <c r="BK32" s="84">
        <f>SUMIFS(RM_PM_Quantity[Quantity],RM_PM_Quantity[Date],BK$1,RM_PM_Quantity[Location],$D32,RM_PM_Quantity[Section],$C32,RM_PM_Quantity[RM Name],$E32)+IF($D32="MIND/Pre-Production",SUMIFS(RM_PM_Quantity[Quantity],RM_PM_Quantity[Date],BK$1,RM_PM_Quantity[Location],"MIDC/Pre-Production",RM_PM_Quantity[Section],$C32,RM_PM_Quantity[RM Name],$E32),0)</f>
        <v>0</v>
      </c>
      <c r="BL32" s="84">
        <f>SUMIFS(RM_PM_Quantity[Quantity],RM_PM_Quantity[Date],BL$1,RM_PM_Quantity[Location],$D32,RM_PM_Quantity[Section],$C32,RM_PM_Quantity[RM Name],$E32)+IF($D32="MIND/Pre-Production",SUMIFS(RM_PM_Quantity[Quantity],RM_PM_Quantity[Date],BL$1,RM_PM_Quantity[Location],"MIDC/Pre-Production",RM_PM_Quantity[Section],$C32,RM_PM_Quantity[RM Name],$E32),0)</f>
        <v>0</v>
      </c>
      <c r="BM32" s="84">
        <f>SUMIFS(RM_PM_Quantity[Quantity],RM_PM_Quantity[Date],BM$1,RM_PM_Quantity[Location],$D32,RM_PM_Quantity[Section],$C32,RM_PM_Quantity[RM Name],$E32)+IF($D32="MIND/Pre-Production",SUMIFS(RM_PM_Quantity[Quantity],RM_PM_Quantity[Date],BM$1,RM_PM_Quantity[Location],"MIDC/Pre-Production",RM_PM_Quantity[Section],$C32,RM_PM_Quantity[RM Name],$E32),0)</f>
        <v>0</v>
      </c>
      <c r="BN32" s="84">
        <f>SUMIFS(RM_PM_Quantity[Quantity],RM_PM_Quantity[Date],BN$1,RM_PM_Quantity[Location],$D32,RM_PM_Quantity[Section],$C32,RM_PM_Quantity[RM Name],$E32)+IF($D32="MIND/Pre-Production",SUMIFS(RM_PM_Quantity[Quantity],RM_PM_Quantity[Date],BN$1,RM_PM_Quantity[Location],"MIDC/Pre-Production",RM_PM_Quantity[Section],$C32,RM_PM_Quantity[RM Name],$E32),0)</f>
        <v>0</v>
      </c>
      <c r="BO32" s="84">
        <f>SUMIFS(RM_PM_Quantity[Quantity],RM_PM_Quantity[Date],BO$1,RM_PM_Quantity[Location],$D32,RM_PM_Quantity[Section],$C32,RM_PM_Quantity[RM Name],$E32)+IF($D32="MIND/Pre-Production",SUMIFS(RM_PM_Quantity[Quantity],RM_PM_Quantity[Date],BO$1,RM_PM_Quantity[Location],"MIDC/Pre-Production",RM_PM_Quantity[Section],$C32,RM_PM_Quantity[RM Name],$E32),0)</f>
        <v>0</v>
      </c>
      <c r="BP32" s="84">
        <f>SUMIFS(RM_PM_Quantity[Quantity],RM_PM_Quantity[Date],BP$1,RM_PM_Quantity[Location],$D32,RM_PM_Quantity[Section],$C32,RM_PM_Quantity[RM Name],$E32)+IF($D32="MIND/Pre-Production",SUMIFS(RM_PM_Quantity[Quantity],RM_PM_Quantity[Date],BP$1,RM_PM_Quantity[Location],"MIDC/Pre-Production",RM_PM_Quantity[Section],$C32,RM_PM_Quantity[RM Name],$E32),0)</f>
        <v>0</v>
      </c>
      <c r="BQ32" s="84">
        <f>SUMIFS(RM_PM_Quantity[Quantity],RM_PM_Quantity[Date],BQ$1,RM_PM_Quantity[Location],$D32,RM_PM_Quantity[Section],$C32,RM_PM_Quantity[RM Name],$E32)+IF($D32="MIND/Pre-Production",SUMIFS(RM_PM_Quantity[Quantity],RM_PM_Quantity[Date],BQ$1,RM_PM_Quantity[Location],"MIDC/Pre-Production",RM_PM_Quantity[Section],$C32,RM_PM_Quantity[RM Name],$E32),0)</f>
        <v>0</v>
      </c>
      <c r="BR32" s="84">
        <f>SUMIFS(RM_PM_Quantity[Quantity],RM_PM_Quantity[Date],BR$1,RM_PM_Quantity[Location],$D32,RM_PM_Quantity[Section],$C32,RM_PM_Quantity[RM Name],$E32)+IF($D32="MIND/Pre-Production",SUMIFS(RM_PM_Quantity[Quantity],RM_PM_Quantity[Date],BR$1,RM_PM_Quantity[Location],"MIDC/Pre-Production",RM_PM_Quantity[Section],$C32,RM_PM_Quantity[RM Name],$E32),0)</f>
        <v>0</v>
      </c>
      <c r="BS32" s="84">
        <f>SUMIFS(RM_PM_Quantity[Quantity],RM_PM_Quantity[Date],BS$1,RM_PM_Quantity[Location],$D32,RM_PM_Quantity[Section],$C32,RM_PM_Quantity[RM Name],$E32)+IF($D32="MIND/Pre-Production",SUMIFS(RM_PM_Quantity[Quantity],RM_PM_Quantity[Date],BS$1,RM_PM_Quantity[Location],"MIDC/Pre-Production",RM_PM_Quantity[Section],$C32,RM_PM_Quantity[RM Name],$E32),0)</f>
        <v>0</v>
      </c>
      <c r="BT32" s="84">
        <f>SUMIFS(RM_PM_Quantity[ID],RM_PM_Quantity[Location],BT$1,RM_PM_Quantity[Section],$D32,RM_PM_Quantity[RM Name],$C32,RM_PM_Quantity[Quantity],$E32)+IF($D32="MIND/Pre-Production",SUMIFS(RM_PM_Quantity[ID],RM_PM_Quantity[Location],BT$1,RM_PM_Quantity[Section],"MIDC/Pre-Production",RM_PM_Quantity[RM Name],$C32,RM_PM_Quantity[Quantity],$E32),0)</f>
        <v>0</v>
      </c>
      <c r="BU32" s="84">
        <f>SUMIFS(RM_PM_Quantity[Name of Supervisor],RM_PM_Quantity[Section],BU$1,RM_PM_Quantity[RM Name],$D32,RM_PM_Quantity[Quantity],$C32,RM_PM_Quantity[ID],$E32)+IF($D32="MIND/Pre-Production",SUMIFS(RM_PM_Quantity[Name of Supervisor],RM_PM_Quantity[Section],BU$1,RM_PM_Quantity[RM Name],"MIDC/Pre-Production",RM_PM_Quantity[Quantity],$C32,RM_PM_Quantity[ID],$E32),0)</f>
        <v>0</v>
      </c>
      <c r="BV32" s="84">
        <f>SUMIFS(RM_PM_Quantity[Date],RM_PM_Quantity[RM Name],BV$1,RM_PM_Quantity[Quantity],$D32,RM_PM_Quantity[ID],$C32,RM_PM_Quantity[Name of Supervisor],$E32)+IF($D32="MIND/Pre-Production",SUMIFS(RM_PM_Quantity[Date],RM_PM_Quantity[RM Name],BV$1,RM_PM_Quantity[Quantity],"MIDC/Pre-Production",RM_PM_Quantity[ID],$C32,RM_PM_Quantity[Name of Supervisor],$E32),0)</f>
        <v>0</v>
      </c>
      <c r="BW32" s="84">
        <f>SUMIFS(RM_PM_Quantity[Location],RM_PM_Quantity[Quantity],BW$1,RM_PM_Quantity[ID],$D32,RM_PM_Quantity[Name of Supervisor],$C32,RM_PM_Quantity[Date],$E32)+IF($D32="MIND/Pre-Production",SUMIFS(RM_PM_Quantity[Location],RM_PM_Quantity[Quantity],BW$1,RM_PM_Quantity[ID],"MIDC/Pre-Production",RM_PM_Quantity[Name of Supervisor],$C32,RM_PM_Quantity[Date],$E32),0)</f>
        <v>0</v>
      </c>
      <c r="BX32" s="84">
        <f>SUMIFS(RM_PM_Quantity[Section],RM_PM_Quantity[ID],BX$1,RM_PM_Quantity[Name of Supervisor],$D32,RM_PM_Quantity[Date],$C32,RM_PM_Quantity[Location],$E32)+IF($D32="MIND/Pre-Production",SUMIFS(RM_PM_Quantity[Section],RM_PM_Quantity[ID],BX$1,RM_PM_Quantity[Name of Supervisor],"MIDC/Pre-Production",RM_PM_Quantity[Date],$C32,RM_PM_Quantity[Location],$E32),0)</f>
        <v>0</v>
      </c>
      <c r="BY32" s="84">
        <f>SUMIFS(RM_PM_Quantity[RM Name],RM_PM_Quantity[Name of Supervisor],BY$1,RM_PM_Quantity[Date],$D32,RM_PM_Quantity[Location],$C32,RM_PM_Quantity[Section],$E32)+IF($D32="MIND/Pre-Production",SUMIFS(RM_PM_Quantity[RM Name],RM_PM_Quantity[Name of Supervisor],BY$1,RM_PM_Quantity[Date],"MIDC/Pre-Production",RM_PM_Quantity[Location],$C32,RM_PM_Quantity[Section],$E32),0)</f>
        <v>0</v>
      </c>
    </row>
    <row r="33" spans="1:77" ht="45.75" customHeight="1">
      <c r="A33" s="79">
        <v>32</v>
      </c>
      <c r="B33" s="79" t="s">
        <v>116</v>
      </c>
      <c r="C33" s="80" t="s">
        <v>108</v>
      </c>
      <c r="D33" s="81" t="s">
        <v>68</v>
      </c>
      <c r="E33" s="82" t="s">
        <v>117</v>
      </c>
      <c r="F33" s="83">
        <f>IFERROR(_xlfn.XLOOKUP(B33,'[1]RM Tracker'!B:B,'[1]RM Tracker'!E:E),"0")</f>
        <v>1471.6320000000001</v>
      </c>
      <c r="G33" s="85">
        <f t="shared" si="2"/>
        <v>0</v>
      </c>
      <c r="H33" s="85">
        <f t="shared" si="0"/>
        <v>-1471.6320000000001</v>
      </c>
      <c r="I33" s="91">
        <f t="shared" si="1"/>
        <v>0</v>
      </c>
      <c r="J33" s="84">
        <f>SUMIFS(RM_PM_Quantity[Quantity],RM_PM_Quantity[Date],J$1,RM_PM_Quantity[Location],$D33,RM_PM_Quantity[Section],$C33,RM_PM_Quantity[RM Name],$E33)+IF($D33="MIND/Pre-Production",SUMIFS(RM_PM_Quantity[Quantity],RM_PM_Quantity[Date],J$1,RM_PM_Quantity[Location],"MIDC/Pre-Production",RM_PM_Quantity[Section],$C33,RM_PM_Quantity[RM Name],$E33),0)</f>
        <v>0</v>
      </c>
      <c r="K33" s="84">
        <f>SUMIFS(RM_PM_Quantity[Quantity],RM_PM_Quantity[Date],K$1,RM_PM_Quantity[Location],$D33,RM_PM_Quantity[Section],$C33,RM_PM_Quantity[RM Name],$E33)+IF($D33="MIND/Pre-Production",SUMIFS(RM_PM_Quantity[Quantity],RM_PM_Quantity[Date],K$1,RM_PM_Quantity[Location],"MIDC/Pre-Production",RM_PM_Quantity[Section],$C33,RM_PM_Quantity[RM Name],$E33),0)</f>
        <v>0</v>
      </c>
      <c r="L33" s="84">
        <f>SUMIFS(RM_PM_Quantity[Quantity],RM_PM_Quantity[Date],L$1,RM_PM_Quantity[Location],$D33,RM_PM_Quantity[Section],$C33,RM_PM_Quantity[RM Name],$E33)+IF($D33="MIND/Pre-Production",SUMIFS(RM_PM_Quantity[Quantity],RM_PM_Quantity[Date],L$1,RM_PM_Quantity[Location],"MIDC/Pre-Production",RM_PM_Quantity[Section],$C33,RM_PM_Quantity[RM Name],$E33),0)</f>
        <v>0</v>
      </c>
      <c r="M33" s="84">
        <f>SUMIFS(RM_PM_Quantity[Quantity],RM_PM_Quantity[Date],M$1,RM_PM_Quantity[Location],$D33,RM_PM_Quantity[Section],$C33,RM_PM_Quantity[RM Name],$E33)+IF($D33="MIND/Pre-Production",SUMIFS(RM_PM_Quantity[Quantity],RM_PM_Quantity[Date],M$1,RM_PM_Quantity[Location],"MIDC/Pre-Production",RM_PM_Quantity[Section],$C33,RM_PM_Quantity[RM Name],$E33),0)</f>
        <v>0</v>
      </c>
      <c r="N33" s="84">
        <f>SUMIFS(RM_PM_Quantity[Quantity],RM_PM_Quantity[Date],N$1,RM_PM_Quantity[Location],$D33,RM_PM_Quantity[Section],$C33,RM_PM_Quantity[RM Name],$E33)+IF($D33="MIND/Pre-Production",SUMIFS(RM_PM_Quantity[Quantity],RM_PM_Quantity[Date],N$1,RM_PM_Quantity[Location],"MIDC/Pre-Production",RM_PM_Quantity[Section],$C33,RM_PM_Quantity[RM Name],$E33),0)</f>
        <v>0</v>
      </c>
      <c r="O33" s="84">
        <f>SUMIFS(RM_PM_Quantity[Quantity],RM_PM_Quantity[Date],O$1,RM_PM_Quantity[Location],$D33,RM_PM_Quantity[Section],$C33,RM_PM_Quantity[RM Name],$E33)+IF($D33="MIND/Pre-Production",SUMIFS(RM_PM_Quantity[Quantity],RM_PM_Quantity[Date],O$1,RM_PM_Quantity[Location],"MIDC/Pre-Production",RM_PM_Quantity[Section],$C33,RM_PM_Quantity[RM Name],$E33),0)</f>
        <v>0</v>
      </c>
      <c r="P33" s="84">
        <f>SUMIFS(RM_PM_Quantity[Quantity],RM_PM_Quantity[Date],P$1,RM_PM_Quantity[Location],$D33,RM_PM_Quantity[Section],$C33,RM_PM_Quantity[RM Name],$E33)+IF($D33="MIND/Pre-Production",SUMIFS(RM_PM_Quantity[Quantity],RM_PM_Quantity[Date],P$1,RM_PM_Quantity[Location],"MIDC/Pre-Production",RM_PM_Quantity[Section],$C33,RM_PM_Quantity[RM Name],$E33),0)</f>
        <v>0</v>
      </c>
      <c r="Q33" s="84">
        <f>SUMIFS(RM_PM_Quantity[Quantity],RM_PM_Quantity[Date],Q$1,RM_PM_Quantity[Location],$D33,RM_PM_Quantity[Section],$C33,RM_PM_Quantity[RM Name],$E33)+IF($D33="MIND/Pre-Production",SUMIFS(RM_PM_Quantity[Quantity],RM_PM_Quantity[Date],Q$1,RM_PM_Quantity[Location],"MIDC/Pre-Production",RM_PM_Quantity[Section],$C33,RM_PM_Quantity[RM Name],$E33),0)</f>
        <v>0</v>
      </c>
      <c r="R33" s="84">
        <f>SUMIFS(RM_PM_Quantity[Quantity],RM_PM_Quantity[Date],R$1,RM_PM_Quantity[Location],$D33,RM_PM_Quantity[Section],$C33,RM_PM_Quantity[RM Name],$E33)+IF($D33="MIND/Pre-Production",SUMIFS(RM_PM_Quantity[Quantity],RM_PM_Quantity[Date],R$1,RM_PM_Quantity[Location],"MIDC/Pre-Production",RM_PM_Quantity[Section],$C33,RM_PM_Quantity[RM Name],$E33),0)</f>
        <v>0</v>
      </c>
      <c r="S33" s="84">
        <f>SUMIFS(RM_PM_Quantity[Quantity],RM_PM_Quantity[Date],S$1,RM_PM_Quantity[Location],$D33,RM_PM_Quantity[Section],$C33,RM_PM_Quantity[RM Name],$E33)+IF($D33="MIND/Pre-Production",SUMIFS(RM_PM_Quantity[Quantity],RM_PM_Quantity[Date],S$1,RM_PM_Quantity[Location],"MIDC/Pre-Production",RM_PM_Quantity[Section],$C33,RM_PM_Quantity[RM Name],$E33),0)</f>
        <v>0</v>
      </c>
      <c r="T33" s="84">
        <f>SUMIFS(RM_PM_Quantity[Quantity],RM_PM_Quantity[Date],T$1,RM_PM_Quantity[Location],$D33,RM_PM_Quantity[Section],$C33,RM_PM_Quantity[RM Name],$E33)+IF($D33="MIND/Pre-Production",SUMIFS(RM_PM_Quantity[Quantity],RM_PM_Quantity[Date],T$1,RM_PM_Quantity[Location],"MIDC/Pre-Production",RM_PM_Quantity[Section],$C33,RM_PM_Quantity[RM Name],$E33),0)</f>
        <v>3000</v>
      </c>
      <c r="U33" s="84">
        <f>SUMIFS(RM_PM_Quantity[Quantity],RM_PM_Quantity[Date],U$1,RM_PM_Quantity[Location],$D33,RM_PM_Quantity[Section],$C33,RM_PM_Quantity[RM Name],$E33)+IF($D33="MIND/Pre-Production",SUMIFS(RM_PM_Quantity[Quantity],RM_PM_Quantity[Date],U$1,RM_PM_Quantity[Location],"MIDC/Pre-Production",RM_PM_Quantity[Section],$C33,RM_PM_Quantity[RM Name],$E33),0)</f>
        <v>0</v>
      </c>
      <c r="V33" s="84">
        <f>SUMIFS(RM_PM_Quantity[Quantity],RM_PM_Quantity[Date],V$1,RM_PM_Quantity[Location],$D33,RM_PM_Quantity[Section],$C33,RM_PM_Quantity[RM Name],$E33)+IF($D33="MIND/Pre-Production",SUMIFS(RM_PM_Quantity[Quantity],RM_PM_Quantity[Date],V$1,RM_PM_Quantity[Location],"MIDC/Pre-Production",RM_PM_Quantity[Section],$C33,RM_PM_Quantity[RM Name],$E33),0)</f>
        <v>0</v>
      </c>
      <c r="W33" s="84">
        <f>SUMIFS(RM_PM_Quantity[Quantity],RM_PM_Quantity[Date],W$1,RM_PM_Quantity[Location],$D33,RM_PM_Quantity[Section],$C33,RM_PM_Quantity[RM Name],$E33)+IF($D33="MIND/Pre-Production",SUMIFS(RM_PM_Quantity[Quantity],RM_PM_Quantity[Date],W$1,RM_PM_Quantity[Location],"MIDC/Pre-Production",RM_PM_Quantity[Section],$C33,RM_PM_Quantity[RM Name],$E33),0)</f>
        <v>0</v>
      </c>
      <c r="X33" s="84">
        <f>SUMIFS(RM_PM_Quantity[Quantity],RM_PM_Quantity[Date],X$1,RM_PM_Quantity[Location],$D33,RM_PM_Quantity[Section],$C33,RM_PM_Quantity[RM Name],$E33)+IF($D33="MIND/Pre-Production",SUMIFS(RM_PM_Quantity[Quantity],RM_PM_Quantity[Date],X$1,RM_PM_Quantity[Location],"MIDC/Pre-Production",RM_PM_Quantity[Section],$C33,RM_PM_Quantity[RM Name],$E33),0)</f>
        <v>0</v>
      </c>
      <c r="Y33" s="84">
        <f>SUMIFS(RM_PM_Quantity[Quantity],RM_PM_Quantity[Date],Y$1,RM_PM_Quantity[Location],$D33,RM_PM_Quantity[Section],$C33,RM_PM_Quantity[RM Name],$E33)+IF($D33="MIND/Pre-Production",SUMIFS(RM_PM_Quantity[Quantity],RM_PM_Quantity[Date],Y$1,RM_PM_Quantity[Location],"MIDC/Pre-Production",RM_PM_Quantity[Section],$C33,RM_PM_Quantity[RM Name],$E33),0)</f>
        <v>1920</v>
      </c>
      <c r="Z33" s="84">
        <f>SUMIFS(RM_PM_Quantity[Quantity],RM_PM_Quantity[Date],Z$1,RM_PM_Quantity[Location],$D33,RM_PM_Quantity[Section],$C33,RM_PM_Quantity[RM Name],$E33)+IF($D33="MIND/Pre-Production",SUMIFS(RM_PM_Quantity[Quantity],RM_PM_Quantity[Date],Z$1,RM_PM_Quantity[Location],"MIDC/Pre-Production",RM_PM_Quantity[Section],$C33,RM_PM_Quantity[RM Name],$E33),0)</f>
        <v>0</v>
      </c>
      <c r="AA33" s="84">
        <f>SUMIFS(RM_PM_Quantity[Quantity],RM_PM_Quantity[Date],AA$1,RM_PM_Quantity[Location],$D33,RM_PM_Quantity[Section],$C33,RM_PM_Quantity[RM Name],$E33)+IF($D33="MIND/Pre-Production",SUMIFS(RM_PM_Quantity[Quantity],RM_PM_Quantity[Date],AA$1,RM_PM_Quantity[Location],"MIDC/Pre-Production",RM_PM_Quantity[Section],$C33,RM_PM_Quantity[RM Name],$E33),0)</f>
        <v>0</v>
      </c>
      <c r="AB33" s="84">
        <f>SUMIFS(RM_PM_Quantity[Quantity],RM_PM_Quantity[Date],AB$1,RM_PM_Quantity[Location],$D33,RM_PM_Quantity[Section],$C33,RM_PM_Quantity[RM Name],$E33)+IF($D33="MIND/Pre-Production",SUMIFS(RM_PM_Quantity[Quantity],RM_PM_Quantity[Date],AB$1,RM_PM_Quantity[Location],"MIDC/Pre-Production",RM_PM_Quantity[Section],$C33,RM_PM_Quantity[RM Name],$E33),0)</f>
        <v>0</v>
      </c>
      <c r="AC33" s="84">
        <f>SUMIFS(RM_PM_Quantity[Quantity],RM_PM_Quantity[Date],AC$1,RM_PM_Quantity[Location],$D33,RM_PM_Quantity[Section],$C33,RM_PM_Quantity[RM Name],$E33)+IF($D33="MIND/Pre-Production",SUMIFS(RM_PM_Quantity[Quantity],RM_PM_Quantity[Date],AC$1,RM_PM_Quantity[Location],"MIDC/Pre-Production",RM_PM_Quantity[Section],$C33,RM_PM_Quantity[RM Name],$E33),0)</f>
        <v>0</v>
      </c>
      <c r="AD33" s="84">
        <f>SUMIFS(RM_PM_Quantity[Quantity],RM_PM_Quantity[Date],AD$1,RM_PM_Quantity[Location],$D33,RM_PM_Quantity[Section],$C33,RM_PM_Quantity[RM Name],$E33)+IF($D33="MIND/Pre-Production",SUMIFS(RM_PM_Quantity[Quantity],RM_PM_Quantity[Date],AD$1,RM_PM_Quantity[Location],"MIDC/Pre-Production",RM_PM_Quantity[Section],$C33,RM_PM_Quantity[RM Name],$E33),0)</f>
        <v>0</v>
      </c>
      <c r="AE33" s="84">
        <f>SUMIFS(RM_PM_Quantity[Quantity],RM_PM_Quantity[Date],AE$1,RM_PM_Quantity[Location],$D33,RM_PM_Quantity[Section],$C33,RM_PM_Quantity[RM Name],$E33)+IF($D33="MIND/Pre-Production",SUMIFS(RM_PM_Quantity[Quantity],RM_PM_Quantity[Date],AE$1,RM_PM_Quantity[Location],"MIDC/Pre-Production",RM_PM_Quantity[Section],$C33,RM_PM_Quantity[RM Name],$E33),0)</f>
        <v>0</v>
      </c>
      <c r="AF33" s="84">
        <f>SUMIFS(RM_PM_Quantity[Quantity],RM_PM_Quantity[Date],AF$1,RM_PM_Quantity[Location],$D33,RM_PM_Quantity[Section],$C33,RM_PM_Quantity[RM Name],$E33)+IF($D33="MIND/Pre-Production",SUMIFS(RM_PM_Quantity[Quantity],RM_PM_Quantity[Date],AF$1,RM_PM_Quantity[Location],"MIDC/Pre-Production",RM_PM_Quantity[Section],$C33,RM_PM_Quantity[RM Name],$E33),0)</f>
        <v>2020</v>
      </c>
      <c r="AG33" s="84">
        <f>SUMIFS(RM_PM_Quantity[Quantity],RM_PM_Quantity[Date],AG$1,RM_PM_Quantity[Location],$D33,RM_PM_Quantity[Section],$C33,RM_PM_Quantity[RM Name],$E33)+IF($D33="MIND/Pre-Production",SUMIFS(RM_PM_Quantity[Quantity],RM_PM_Quantity[Date],AG$1,RM_PM_Quantity[Location],"MIDC/Pre-Production",RM_PM_Quantity[Section],$C33,RM_PM_Quantity[RM Name],$E33),0)</f>
        <v>0</v>
      </c>
      <c r="AH33" s="84">
        <f>SUMIFS(RM_PM_Quantity[Quantity],RM_PM_Quantity[Date],AH$1,RM_PM_Quantity[Location],$D33,RM_PM_Quantity[Section],$C33,RM_PM_Quantity[RM Name],$E33)+IF($D33="MIND/Pre-Production",SUMIFS(RM_PM_Quantity[Quantity],RM_PM_Quantity[Date],AH$1,RM_PM_Quantity[Location],"MIDC/Pre-Production",RM_PM_Quantity[Section],$C33,RM_PM_Quantity[RM Name],$E33),0)</f>
        <v>0</v>
      </c>
      <c r="AI33" s="84">
        <f>SUMIFS(RM_PM_Quantity[Quantity],RM_PM_Quantity[Date],AI$1,RM_PM_Quantity[Location],$D33,RM_PM_Quantity[Section],$C33,RM_PM_Quantity[RM Name],$E33)+IF($D33="MIND/Pre-Production",SUMIFS(RM_PM_Quantity[Quantity],RM_PM_Quantity[Date],AI$1,RM_PM_Quantity[Location],"MIDC/Pre-Production",RM_PM_Quantity[Section],$C33,RM_PM_Quantity[RM Name],$E33),0)</f>
        <v>0</v>
      </c>
      <c r="AJ33" s="84">
        <f>SUMIFS(RM_PM_Quantity[Quantity],RM_PM_Quantity[Date],AJ$1,RM_PM_Quantity[Location],$D33,RM_PM_Quantity[Section],$C33,RM_PM_Quantity[RM Name],$E33)+IF($D33="MIND/Pre-Production",SUMIFS(RM_PM_Quantity[Quantity],RM_PM_Quantity[Date],AJ$1,RM_PM_Quantity[Location],"MIDC/Pre-Production",RM_PM_Quantity[Section],$C33,RM_PM_Quantity[RM Name],$E33),0)</f>
        <v>0</v>
      </c>
      <c r="AK33" s="84">
        <f>SUMIFS(RM_PM_Quantity[Quantity],RM_PM_Quantity[Date],AK$1,RM_PM_Quantity[Location],$D33,RM_PM_Quantity[Section],$C33,RM_PM_Quantity[RM Name],$E33)+IF($D33="MIND/Pre-Production",SUMIFS(RM_PM_Quantity[Quantity],RM_PM_Quantity[Date],AK$1,RM_PM_Quantity[Location],"MIDC/Pre-Production",RM_PM_Quantity[Section],$C33,RM_PM_Quantity[RM Name],$E33),0)</f>
        <v>0</v>
      </c>
      <c r="AL33" s="84">
        <f>SUMIFS(RM_PM_Quantity[Quantity],RM_PM_Quantity[Date],AL$1,RM_PM_Quantity[Location],$D33,RM_PM_Quantity[Section],$C33,RM_PM_Quantity[RM Name],$E33)+IF($D33="MIND/Pre-Production",SUMIFS(RM_PM_Quantity[Quantity],RM_PM_Quantity[Date],AL$1,RM_PM_Quantity[Location],"MIDC/Pre-Production",RM_PM_Quantity[Section],$C33,RM_PM_Quantity[RM Name],$E33),0)</f>
        <v>3000</v>
      </c>
      <c r="AM33" s="84">
        <f>SUMIFS(RM_PM_Quantity[Quantity],RM_PM_Quantity[Date],AM$1,RM_PM_Quantity[Location],$D33,RM_PM_Quantity[Section],$C33,RM_PM_Quantity[RM Name],$E33)+IF($D33="MIND/Pre-Production",SUMIFS(RM_PM_Quantity[Quantity],RM_PM_Quantity[Date],AM$1,RM_PM_Quantity[Location],"MIDC/Pre-Production",RM_PM_Quantity[Section],$C33,RM_PM_Quantity[RM Name],$E33),0)</f>
        <v>0</v>
      </c>
      <c r="AN33" s="84">
        <f>SUMIFS(RM_PM_Quantity[Quantity],RM_PM_Quantity[Date],AN$1,RM_PM_Quantity[Location],$D33,RM_PM_Quantity[Section],$C33,RM_PM_Quantity[RM Name],$E33)+IF($D33="MIND/Pre-Production",SUMIFS(RM_PM_Quantity[Quantity],RM_PM_Quantity[Date],AN$1,RM_PM_Quantity[Location],"MIDC/Pre-Production",RM_PM_Quantity[Section],$C33,RM_PM_Quantity[RM Name],$E33),0)</f>
        <v>0</v>
      </c>
      <c r="AO33" s="84">
        <f>SUMIFS(RM_PM_Quantity[Quantity],RM_PM_Quantity[Date],AO$1,RM_PM_Quantity[Location],$D33,RM_PM_Quantity[Section],$C33,RM_PM_Quantity[RM Name],$E33)+IF($D33="MIND/Pre-Production",SUMIFS(RM_PM_Quantity[Quantity],RM_PM_Quantity[Date],AO$1,RM_PM_Quantity[Location],"MIDC/Pre-Production",RM_PM_Quantity[Section],$C33,RM_PM_Quantity[RM Name],$E33),0)</f>
        <v>0</v>
      </c>
      <c r="AP33" s="84">
        <f>SUMIFS(RM_PM_Quantity[Quantity],RM_PM_Quantity[Date],AP$1,RM_PM_Quantity[Location],$D33,RM_PM_Quantity[Section],$C33,RM_PM_Quantity[RM Name],$E33)+IF($D33="MIND/Pre-Production",SUMIFS(RM_PM_Quantity[Quantity],RM_PM_Quantity[Date],AP$1,RM_PM_Quantity[Location],"MIDC/Pre-Production",RM_PM_Quantity[Section],$C33,RM_PM_Quantity[RM Name],$E33),0)</f>
        <v>0</v>
      </c>
      <c r="AQ33" s="84">
        <f>SUMIFS(RM_PM_Quantity[Quantity],RM_PM_Quantity[Date],AQ$1,RM_PM_Quantity[Location],$D33,RM_PM_Quantity[Section],$C33,RM_PM_Quantity[RM Name],$E33)+IF($D33="MIND/Pre-Production",SUMIFS(RM_PM_Quantity[Quantity],RM_PM_Quantity[Date],AQ$1,RM_PM_Quantity[Location],"MIDC/Pre-Production",RM_PM_Quantity[Section],$C33,RM_PM_Quantity[RM Name],$E33),0)</f>
        <v>0</v>
      </c>
      <c r="AR33" s="84">
        <f>SUMIFS(RM_PM_Quantity[Quantity],RM_PM_Quantity[Date],AR$1,RM_PM_Quantity[Location],$D33,RM_PM_Quantity[Section],$C33,RM_PM_Quantity[RM Name],$E33)+IF($D33="MIND/Pre-Production",SUMIFS(RM_PM_Quantity[Quantity],RM_PM_Quantity[Date],AR$1,RM_PM_Quantity[Location],"MIDC/Pre-Production",RM_PM_Quantity[Section],$C33,RM_PM_Quantity[RM Name],$E33),0)</f>
        <v>0</v>
      </c>
      <c r="AS33" s="84">
        <f>SUMIFS(RM_PM_Quantity[Quantity],RM_PM_Quantity[Date],AS$1,RM_PM_Quantity[Location],$D33,RM_PM_Quantity[Section],$C33,RM_PM_Quantity[RM Name],$E33)+IF($D33="MIND/Pre-Production",SUMIFS(RM_PM_Quantity[Quantity],RM_PM_Quantity[Date],AS$1,RM_PM_Quantity[Location],"MIDC/Pre-Production",RM_PM_Quantity[Section],$C33,RM_PM_Quantity[RM Name],$E33),0)</f>
        <v>0</v>
      </c>
      <c r="AT33" s="84">
        <f>SUMIFS(RM_PM_Quantity[Quantity],RM_PM_Quantity[Date],AT$1,RM_PM_Quantity[Location],$D33,RM_PM_Quantity[Section],$C33,RM_PM_Quantity[RM Name],$E33)+IF($D33="MIND/Pre-Production",SUMIFS(RM_PM_Quantity[Quantity],RM_PM_Quantity[Date],AT$1,RM_PM_Quantity[Location],"MIDC/Pre-Production",RM_PM_Quantity[Section],$C33,RM_PM_Quantity[RM Name],$E33),0)</f>
        <v>0</v>
      </c>
      <c r="AU33" s="84">
        <f>SUMIFS(RM_PM_Quantity[Quantity],RM_PM_Quantity[Date],AU$1,RM_PM_Quantity[Location],$D33,RM_PM_Quantity[Section],$C33,RM_PM_Quantity[RM Name],$E33)+IF($D33="MIND/Pre-Production",SUMIFS(RM_PM_Quantity[Quantity],RM_PM_Quantity[Date],AU$1,RM_PM_Quantity[Location],"MIDC/Pre-Production",RM_PM_Quantity[Section],$C33,RM_PM_Quantity[RM Name],$E33),0)</f>
        <v>0</v>
      </c>
      <c r="AV33" s="84">
        <f>SUMIFS(RM_PM_Quantity[Quantity],RM_PM_Quantity[Date],AV$1,RM_PM_Quantity[Location],$D33,RM_PM_Quantity[Section],$C33,RM_PM_Quantity[RM Name],$E33)+IF($D33="MIND/Pre-Production",SUMIFS(RM_PM_Quantity[Quantity],RM_PM_Quantity[Date],AV$1,RM_PM_Quantity[Location],"MIDC/Pre-Production",RM_PM_Quantity[Section],$C33,RM_PM_Quantity[RM Name],$E33),0)</f>
        <v>0</v>
      </c>
      <c r="AW33" s="84">
        <f>SUMIFS(RM_PM_Quantity[Quantity],RM_PM_Quantity[Date],AW$1,RM_PM_Quantity[Location],$D33,RM_PM_Quantity[Section],$C33,RM_PM_Quantity[RM Name],$E33)+IF($D33="MIND/Pre-Production",SUMIFS(RM_PM_Quantity[Quantity],RM_PM_Quantity[Date],AW$1,RM_PM_Quantity[Location],"MIDC/Pre-Production",RM_PM_Quantity[Section],$C33,RM_PM_Quantity[RM Name],$E33),0)</f>
        <v>0</v>
      </c>
      <c r="AX33" s="84">
        <f>SUMIFS(RM_PM_Quantity[Quantity],RM_PM_Quantity[Date],AX$1,RM_PM_Quantity[Location],$D33,RM_PM_Quantity[Section],$C33,RM_PM_Quantity[RM Name],$E33)+IF($D33="MIND/Pre-Production",SUMIFS(RM_PM_Quantity[Quantity],RM_PM_Quantity[Date],AX$1,RM_PM_Quantity[Location],"MIDC/Pre-Production",RM_PM_Quantity[Section],$C33,RM_PM_Quantity[RM Name],$E33),0)</f>
        <v>0</v>
      </c>
      <c r="AY33" s="84">
        <f>SUMIFS(RM_PM_Quantity[Quantity],RM_PM_Quantity[Date],AY$1,RM_PM_Quantity[Location],$D33,RM_PM_Quantity[Section],$C33,RM_PM_Quantity[RM Name],$E33)+IF($D33="MIND/Pre-Production",SUMIFS(RM_PM_Quantity[Quantity],RM_PM_Quantity[Date],AY$1,RM_PM_Quantity[Location],"MIDC/Pre-Production",RM_PM_Quantity[Section],$C33,RM_PM_Quantity[RM Name],$E33),0)</f>
        <v>0</v>
      </c>
      <c r="AZ33" s="84">
        <f>SUMIFS(RM_PM_Quantity[Quantity],RM_PM_Quantity[Date],AZ$1,RM_PM_Quantity[Location],$D33,RM_PM_Quantity[Section],$C33,RM_PM_Quantity[RM Name],$E33)+IF($D33="MIND/Pre-Production",SUMIFS(RM_PM_Quantity[Quantity],RM_PM_Quantity[Date],AZ$1,RM_PM_Quantity[Location],"MIDC/Pre-Production",RM_PM_Quantity[Section],$C33,RM_PM_Quantity[RM Name],$E33),0)</f>
        <v>0</v>
      </c>
      <c r="BA33" s="84">
        <f>SUMIFS(RM_PM_Quantity[Quantity],RM_PM_Quantity[Date],BA$1,RM_PM_Quantity[Location],$D33,RM_PM_Quantity[Section],$C33,RM_PM_Quantity[RM Name],$E33)+IF($D33="MIND/Pre-Production",SUMIFS(RM_PM_Quantity[Quantity],RM_PM_Quantity[Date],BA$1,RM_PM_Quantity[Location],"MIDC/Pre-Production",RM_PM_Quantity[Section],$C33,RM_PM_Quantity[RM Name],$E33),0)</f>
        <v>0</v>
      </c>
      <c r="BB33" s="84">
        <f>SUMIFS(RM_PM_Quantity[Quantity],RM_PM_Quantity[Date],BB$1,RM_PM_Quantity[Location],$D33,RM_PM_Quantity[Section],$C33,RM_PM_Quantity[RM Name],$E33)+IF($D33="MIND/Pre-Production",SUMIFS(RM_PM_Quantity[Quantity],RM_PM_Quantity[Date],BB$1,RM_PM_Quantity[Location],"MIDC/Pre-Production",RM_PM_Quantity[Section],$C33,RM_PM_Quantity[RM Name],$E33),0)</f>
        <v>0</v>
      </c>
      <c r="BC33" s="84">
        <f>SUMIFS(RM_PM_Quantity[Quantity],RM_PM_Quantity[Date],BC$1,RM_PM_Quantity[Location],$D33,RM_PM_Quantity[Section],$C33,RM_PM_Quantity[RM Name],$E33)+IF($D33="MIND/Pre-Production",SUMIFS(RM_PM_Quantity[Quantity],RM_PM_Quantity[Date],BC$1,RM_PM_Quantity[Location],"MIDC/Pre-Production",RM_PM_Quantity[Section],$C33,RM_PM_Quantity[RM Name],$E33),0)</f>
        <v>0</v>
      </c>
      <c r="BD33" s="84">
        <f>SUMIFS(RM_PM_Quantity[Quantity],RM_PM_Quantity[Date],BD$1,RM_PM_Quantity[Location],$D33,RM_PM_Quantity[Section],$C33,RM_PM_Quantity[RM Name],$E33)+IF($D33="MIND/Pre-Production",SUMIFS(RM_PM_Quantity[Quantity],RM_PM_Quantity[Date],BD$1,RM_PM_Quantity[Location],"MIDC/Pre-Production",RM_PM_Quantity[Section],$C33,RM_PM_Quantity[RM Name],$E33),0)</f>
        <v>0</v>
      </c>
      <c r="BE33" s="84">
        <f>SUMIFS(RM_PM_Quantity[Quantity],RM_PM_Quantity[Date],BE$1,RM_PM_Quantity[Location],$D33,RM_PM_Quantity[Section],$C33,RM_PM_Quantity[RM Name],$E33)+IF($D33="MIND/Pre-Production",SUMIFS(RM_PM_Quantity[Quantity],RM_PM_Quantity[Date],BE$1,RM_PM_Quantity[Location],"MIDC/Pre-Production",RM_PM_Quantity[Section],$C33,RM_PM_Quantity[RM Name],$E33),0)</f>
        <v>0</v>
      </c>
      <c r="BF33" s="84">
        <f>SUMIFS(RM_PM_Quantity[Quantity],RM_PM_Quantity[Date],BF$1,RM_PM_Quantity[Location],$D33,RM_PM_Quantity[Section],$C33,RM_PM_Quantity[RM Name],$E33)+IF($D33="MIND/Pre-Production",SUMIFS(RM_PM_Quantity[Quantity],RM_PM_Quantity[Date],BF$1,RM_PM_Quantity[Location],"MIDC/Pre-Production",RM_PM_Quantity[Section],$C33,RM_PM_Quantity[RM Name],$E33),0)</f>
        <v>0</v>
      </c>
      <c r="BG33" s="84">
        <f>SUMIFS(RM_PM_Quantity[Quantity],RM_PM_Quantity[Date],BG$1,RM_PM_Quantity[Location],$D33,RM_PM_Quantity[Section],$C33,RM_PM_Quantity[RM Name],$E33)+IF($D33="MIND/Pre-Production",SUMIFS(RM_PM_Quantity[Quantity],RM_PM_Quantity[Date],BG$1,RM_PM_Quantity[Location],"MIDC/Pre-Production",RM_PM_Quantity[Section],$C33,RM_PM_Quantity[RM Name],$E33),0)</f>
        <v>0</v>
      </c>
      <c r="BH33" s="84">
        <f>SUMIFS(RM_PM_Quantity[Quantity],RM_PM_Quantity[Date],BH$1,RM_PM_Quantity[Location],$D33,RM_PM_Quantity[Section],$C33,RM_PM_Quantity[RM Name],$E33)+IF($D33="MIND/Pre-Production",SUMIFS(RM_PM_Quantity[Quantity],RM_PM_Quantity[Date],BH$1,RM_PM_Quantity[Location],"MIDC/Pre-Production",RM_PM_Quantity[Section],$C33,RM_PM_Quantity[RM Name],$E33),0)</f>
        <v>0</v>
      </c>
      <c r="BI33" s="84">
        <f>SUMIFS(RM_PM_Quantity[Quantity],RM_PM_Quantity[Date],BI$1,RM_PM_Quantity[Location],$D33,RM_PM_Quantity[Section],$C33,RM_PM_Quantity[RM Name],$E33)+IF($D33="MIND/Pre-Production",SUMIFS(RM_PM_Quantity[Quantity],RM_PM_Quantity[Date],BI$1,RM_PM_Quantity[Location],"MIDC/Pre-Production",RM_PM_Quantity[Section],$C33,RM_PM_Quantity[RM Name],$E33),0)</f>
        <v>0</v>
      </c>
      <c r="BJ33" s="84">
        <f>SUMIFS(RM_PM_Quantity[Quantity],RM_PM_Quantity[Date],BJ$1,RM_PM_Quantity[Location],$D33,RM_PM_Quantity[Section],$C33,RM_PM_Quantity[RM Name],$E33)+IF($D33="MIND/Pre-Production",SUMIFS(RM_PM_Quantity[Quantity],RM_PM_Quantity[Date],BJ$1,RM_PM_Quantity[Location],"MIDC/Pre-Production",RM_PM_Quantity[Section],$C33,RM_PM_Quantity[RM Name],$E33),0)</f>
        <v>0</v>
      </c>
      <c r="BK33" s="84">
        <f>SUMIFS(RM_PM_Quantity[Quantity],RM_PM_Quantity[Date],BK$1,RM_PM_Quantity[Location],$D33,RM_PM_Quantity[Section],$C33,RM_PM_Quantity[RM Name],$E33)+IF($D33="MIND/Pre-Production",SUMIFS(RM_PM_Quantity[Quantity],RM_PM_Quantity[Date],BK$1,RM_PM_Quantity[Location],"MIDC/Pre-Production",RM_PM_Quantity[Section],$C33,RM_PM_Quantity[RM Name],$E33),0)</f>
        <v>0</v>
      </c>
      <c r="BL33" s="84">
        <f>SUMIFS(RM_PM_Quantity[Quantity],RM_PM_Quantity[Date],BL$1,RM_PM_Quantity[Location],$D33,RM_PM_Quantity[Section],$C33,RM_PM_Quantity[RM Name],$E33)+IF($D33="MIND/Pre-Production",SUMIFS(RM_PM_Quantity[Quantity],RM_PM_Quantity[Date],BL$1,RM_PM_Quantity[Location],"MIDC/Pre-Production",RM_PM_Quantity[Section],$C33,RM_PM_Quantity[RM Name],$E33),0)</f>
        <v>0</v>
      </c>
      <c r="BM33" s="84">
        <f>SUMIFS(RM_PM_Quantity[Quantity],RM_PM_Quantity[Date],BM$1,RM_PM_Quantity[Location],$D33,RM_PM_Quantity[Section],$C33,RM_PM_Quantity[RM Name],$E33)+IF($D33="MIND/Pre-Production",SUMIFS(RM_PM_Quantity[Quantity],RM_PM_Quantity[Date],BM$1,RM_PM_Quantity[Location],"MIDC/Pre-Production",RM_PM_Quantity[Section],$C33,RM_PM_Quantity[RM Name],$E33),0)</f>
        <v>0</v>
      </c>
      <c r="BN33" s="84">
        <f>SUMIFS(RM_PM_Quantity[Quantity],RM_PM_Quantity[Date],BN$1,RM_PM_Quantity[Location],$D33,RM_PM_Quantity[Section],$C33,RM_PM_Quantity[RM Name],$E33)+IF($D33="MIND/Pre-Production",SUMIFS(RM_PM_Quantity[Quantity],RM_PM_Quantity[Date],BN$1,RM_PM_Quantity[Location],"MIDC/Pre-Production",RM_PM_Quantity[Section],$C33,RM_PM_Quantity[RM Name],$E33),0)</f>
        <v>0</v>
      </c>
      <c r="BO33" s="84">
        <f>SUMIFS(RM_PM_Quantity[Quantity],RM_PM_Quantity[Date],BO$1,RM_PM_Quantity[Location],$D33,RM_PM_Quantity[Section],$C33,RM_PM_Quantity[RM Name],$E33)+IF($D33="MIND/Pre-Production",SUMIFS(RM_PM_Quantity[Quantity],RM_PM_Quantity[Date],BO$1,RM_PM_Quantity[Location],"MIDC/Pre-Production",RM_PM_Quantity[Section],$C33,RM_PM_Quantity[RM Name],$E33),0)</f>
        <v>0</v>
      </c>
      <c r="BP33" s="84">
        <f>SUMIFS(RM_PM_Quantity[Quantity],RM_PM_Quantity[Date],BP$1,RM_PM_Quantity[Location],$D33,RM_PM_Quantity[Section],$C33,RM_PM_Quantity[RM Name],$E33)+IF($D33="MIND/Pre-Production",SUMIFS(RM_PM_Quantity[Quantity],RM_PM_Quantity[Date],BP$1,RM_PM_Quantity[Location],"MIDC/Pre-Production",RM_PM_Quantity[Section],$C33,RM_PM_Quantity[RM Name],$E33),0)</f>
        <v>0</v>
      </c>
      <c r="BQ33" s="84">
        <f>SUMIFS(RM_PM_Quantity[Quantity],RM_PM_Quantity[Date],BQ$1,RM_PM_Quantity[Location],$D33,RM_PM_Quantity[Section],$C33,RM_PM_Quantity[RM Name],$E33)+IF($D33="MIND/Pre-Production",SUMIFS(RM_PM_Quantity[Quantity],RM_PM_Quantity[Date],BQ$1,RM_PM_Quantity[Location],"MIDC/Pre-Production",RM_PM_Quantity[Section],$C33,RM_PM_Quantity[RM Name],$E33),0)</f>
        <v>0</v>
      </c>
      <c r="BR33" s="84">
        <f>SUMIFS(RM_PM_Quantity[Quantity],RM_PM_Quantity[Date],BR$1,RM_PM_Quantity[Location],$D33,RM_PM_Quantity[Section],$C33,RM_PM_Quantity[RM Name],$E33)+IF($D33="MIND/Pre-Production",SUMIFS(RM_PM_Quantity[Quantity],RM_PM_Quantity[Date],BR$1,RM_PM_Quantity[Location],"MIDC/Pre-Production",RM_PM_Quantity[Section],$C33,RM_PM_Quantity[RM Name],$E33),0)</f>
        <v>0</v>
      </c>
      <c r="BS33" s="84">
        <f>SUMIFS(RM_PM_Quantity[Quantity],RM_PM_Quantity[Date],BS$1,RM_PM_Quantity[Location],$D33,RM_PM_Quantity[Section],$C33,RM_PM_Quantity[RM Name],$E33)+IF($D33="MIND/Pre-Production",SUMIFS(RM_PM_Quantity[Quantity],RM_PM_Quantity[Date],BS$1,RM_PM_Quantity[Location],"MIDC/Pre-Production",RM_PM_Quantity[Section],$C33,RM_PM_Quantity[RM Name],$E33),0)</f>
        <v>0</v>
      </c>
      <c r="BT33" s="84">
        <f>SUMIFS(RM_PM_Quantity[ID],RM_PM_Quantity[Location],BT$1,RM_PM_Quantity[Section],$D33,RM_PM_Quantity[RM Name],$C33,RM_PM_Quantity[Quantity],$E33)+IF($D33="MIND/Pre-Production",SUMIFS(RM_PM_Quantity[ID],RM_PM_Quantity[Location],BT$1,RM_PM_Quantity[Section],"MIDC/Pre-Production",RM_PM_Quantity[RM Name],$C33,RM_PM_Quantity[Quantity],$E33),0)</f>
        <v>0</v>
      </c>
      <c r="BU33" s="84">
        <f>SUMIFS(RM_PM_Quantity[Name of Supervisor],RM_PM_Quantity[Section],BU$1,RM_PM_Quantity[RM Name],$D33,RM_PM_Quantity[Quantity],$C33,RM_PM_Quantity[ID],$E33)+IF($D33="MIND/Pre-Production",SUMIFS(RM_PM_Quantity[Name of Supervisor],RM_PM_Quantity[Section],BU$1,RM_PM_Quantity[RM Name],"MIDC/Pre-Production",RM_PM_Quantity[Quantity],$C33,RM_PM_Quantity[ID],$E33),0)</f>
        <v>0</v>
      </c>
      <c r="BV33" s="84">
        <f>SUMIFS(RM_PM_Quantity[Date],RM_PM_Quantity[RM Name],BV$1,RM_PM_Quantity[Quantity],$D33,RM_PM_Quantity[ID],$C33,RM_PM_Quantity[Name of Supervisor],$E33)+IF($D33="MIND/Pre-Production",SUMIFS(RM_PM_Quantity[Date],RM_PM_Quantity[RM Name],BV$1,RM_PM_Quantity[Quantity],"MIDC/Pre-Production",RM_PM_Quantity[ID],$C33,RM_PM_Quantity[Name of Supervisor],$E33),0)</f>
        <v>0</v>
      </c>
      <c r="BW33" s="84">
        <f>SUMIFS(RM_PM_Quantity[Location],RM_PM_Quantity[Quantity],BW$1,RM_PM_Quantity[ID],$D33,RM_PM_Quantity[Name of Supervisor],$C33,RM_PM_Quantity[Date],$E33)+IF($D33="MIND/Pre-Production",SUMIFS(RM_PM_Quantity[Location],RM_PM_Quantity[Quantity],BW$1,RM_PM_Quantity[ID],"MIDC/Pre-Production",RM_PM_Quantity[Name of Supervisor],$C33,RM_PM_Quantity[Date],$E33),0)</f>
        <v>0</v>
      </c>
      <c r="BX33" s="84">
        <f>SUMIFS(RM_PM_Quantity[Section],RM_PM_Quantity[ID],BX$1,RM_PM_Quantity[Name of Supervisor],$D33,RM_PM_Quantity[Date],$C33,RM_PM_Quantity[Location],$E33)+IF($D33="MIND/Pre-Production",SUMIFS(RM_PM_Quantity[Section],RM_PM_Quantity[ID],BX$1,RM_PM_Quantity[Name of Supervisor],"MIDC/Pre-Production",RM_PM_Quantity[Date],$C33,RM_PM_Quantity[Location],$E33),0)</f>
        <v>0</v>
      </c>
      <c r="BY33" s="84">
        <f>SUMIFS(RM_PM_Quantity[RM Name],RM_PM_Quantity[Name of Supervisor],BY$1,RM_PM_Quantity[Date],$D33,RM_PM_Quantity[Location],$C33,RM_PM_Quantity[Section],$E33)+IF($D33="MIND/Pre-Production",SUMIFS(RM_PM_Quantity[RM Name],RM_PM_Quantity[Name of Supervisor],BY$1,RM_PM_Quantity[Date],"MIDC/Pre-Production",RM_PM_Quantity[Location],$C33,RM_PM_Quantity[Section],$E33),0)</f>
        <v>0</v>
      </c>
    </row>
    <row r="34" spans="1:77" ht="45.75" customHeight="1">
      <c r="A34" s="79">
        <v>33</v>
      </c>
      <c r="B34" s="79" t="s">
        <v>118</v>
      </c>
      <c r="C34" s="80" t="s">
        <v>108</v>
      </c>
      <c r="D34" s="81" t="s">
        <v>68</v>
      </c>
      <c r="E34" s="82" t="s">
        <v>119</v>
      </c>
      <c r="F34" s="83">
        <f>IFERROR(_xlfn.XLOOKUP(B34,'[1]RM Tracker'!B:B,'[1]RM Tracker'!E:E),"0")</f>
        <v>18952.48</v>
      </c>
      <c r="G34" s="85">
        <f t="shared" si="2"/>
        <v>0</v>
      </c>
      <c r="H34" s="85">
        <f t="shared" ref="H34:H65" si="3">G34-F34</f>
        <v>-18952.48</v>
      </c>
      <c r="I34" s="91">
        <f t="shared" ref="I34:I61" si="4">IFERROR(G34/F34,0)</f>
        <v>0</v>
      </c>
      <c r="J34" s="84">
        <f>SUMIFS(RM_PM_Quantity[Quantity],RM_PM_Quantity[Date],J$1,RM_PM_Quantity[Location],$D34,RM_PM_Quantity[Section],$C34,RM_PM_Quantity[RM Name],$E34)+IF($D34="MIND/Pre-Production",SUMIFS(RM_PM_Quantity[Quantity],RM_PM_Quantity[Date],J$1,RM_PM_Quantity[Location],"MIDC/Pre-Production",RM_PM_Quantity[Section],$C34,RM_PM_Quantity[RM Name],$E34),0)</f>
        <v>0</v>
      </c>
      <c r="K34" s="84">
        <f>SUMIFS(RM_PM_Quantity[Quantity],RM_PM_Quantity[Date],K$1,RM_PM_Quantity[Location],$D34,RM_PM_Quantity[Section],$C34,RM_PM_Quantity[RM Name],$E34)+IF($D34="MIND/Pre-Production",SUMIFS(RM_PM_Quantity[Quantity],RM_PM_Quantity[Date],K$1,RM_PM_Quantity[Location],"MIDC/Pre-Production",RM_PM_Quantity[Section],$C34,RM_PM_Quantity[RM Name],$E34),0)</f>
        <v>0</v>
      </c>
      <c r="L34" s="84">
        <f>SUMIFS(RM_PM_Quantity[Quantity],RM_PM_Quantity[Date],L$1,RM_PM_Quantity[Location],$D34,RM_PM_Quantity[Section],$C34,RM_PM_Quantity[RM Name],$E34)+IF($D34="MIND/Pre-Production",SUMIFS(RM_PM_Quantity[Quantity],RM_PM_Quantity[Date],L$1,RM_PM_Quantity[Location],"MIDC/Pre-Production",RM_PM_Quantity[Section],$C34,RM_PM_Quantity[RM Name],$E34),0)</f>
        <v>10010</v>
      </c>
      <c r="M34" s="84">
        <f>SUMIFS(RM_PM_Quantity[Quantity],RM_PM_Quantity[Date],M$1,RM_PM_Quantity[Location],$D34,RM_PM_Quantity[Section],$C34,RM_PM_Quantity[RM Name],$E34)+IF($D34="MIND/Pre-Production",SUMIFS(RM_PM_Quantity[Quantity],RM_PM_Quantity[Date],M$1,RM_PM_Quantity[Location],"MIDC/Pre-Production",RM_PM_Quantity[Section],$C34,RM_PM_Quantity[RM Name],$E34),0)</f>
        <v>0</v>
      </c>
      <c r="N34" s="84">
        <f>SUMIFS(RM_PM_Quantity[Quantity],RM_PM_Quantity[Date],N$1,RM_PM_Quantity[Location],$D34,RM_PM_Quantity[Section],$C34,RM_PM_Quantity[RM Name],$E34)+IF($D34="MIND/Pre-Production",SUMIFS(RM_PM_Quantity[Quantity],RM_PM_Quantity[Date],N$1,RM_PM_Quantity[Location],"MIDC/Pre-Production",RM_PM_Quantity[Section],$C34,RM_PM_Quantity[RM Name],$E34),0)</f>
        <v>0</v>
      </c>
      <c r="O34" s="84">
        <f>SUMIFS(RM_PM_Quantity[Quantity],RM_PM_Quantity[Date],O$1,RM_PM_Quantity[Location],$D34,RM_PM_Quantity[Section],$C34,RM_PM_Quantity[RM Name],$E34)+IF($D34="MIND/Pre-Production",SUMIFS(RM_PM_Quantity[Quantity],RM_PM_Quantity[Date],O$1,RM_PM_Quantity[Location],"MIDC/Pre-Production",RM_PM_Quantity[Section],$C34,RM_PM_Quantity[RM Name],$E34),0)</f>
        <v>0</v>
      </c>
      <c r="P34" s="84">
        <f>SUMIFS(RM_PM_Quantity[Quantity],RM_PM_Quantity[Date],P$1,RM_PM_Quantity[Location],$D34,RM_PM_Quantity[Section],$C34,RM_PM_Quantity[RM Name],$E34)+IF($D34="MIND/Pre-Production",SUMIFS(RM_PM_Quantity[Quantity],RM_PM_Quantity[Date],P$1,RM_PM_Quantity[Location],"MIDC/Pre-Production",RM_PM_Quantity[Section],$C34,RM_PM_Quantity[RM Name],$E34),0)</f>
        <v>0</v>
      </c>
      <c r="Q34" s="84">
        <f>SUMIFS(RM_PM_Quantity[Quantity],RM_PM_Quantity[Date],Q$1,RM_PM_Quantity[Location],$D34,RM_PM_Quantity[Section],$C34,RM_PM_Quantity[RM Name],$E34)+IF($D34="MIND/Pre-Production",SUMIFS(RM_PM_Quantity[Quantity],RM_PM_Quantity[Date],Q$1,RM_PM_Quantity[Location],"MIDC/Pre-Production",RM_PM_Quantity[Section],$C34,RM_PM_Quantity[RM Name],$E34),0)</f>
        <v>0</v>
      </c>
      <c r="R34" s="84">
        <f>SUMIFS(RM_PM_Quantity[Quantity],RM_PM_Quantity[Date],R$1,RM_PM_Quantity[Location],$D34,RM_PM_Quantity[Section],$C34,RM_PM_Quantity[RM Name],$E34)+IF($D34="MIND/Pre-Production",SUMIFS(RM_PM_Quantity[Quantity],RM_PM_Quantity[Date],R$1,RM_PM_Quantity[Location],"MIDC/Pre-Production",RM_PM_Quantity[Section],$C34,RM_PM_Quantity[RM Name],$E34),0)</f>
        <v>0</v>
      </c>
      <c r="S34" s="84">
        <f>SUMIFS(RM_PM_Quantity[Quantity],RM_PM_Quantity[Date],S$1,RM_PM_Quantity[Location],$D34,RM_PM_Quantity[Section],$C34,RM_PM_Quantity[RM Name],$E34)+IF($D34="MIND/Pre-Production",SUMIFS(RM_PM_Quantity[Quantity],RM_PM_Quantity[Date],S$1,RM_PM_Quantity[Location],"MIDC/Pre-Production",RM_PM_Quantity[Section],$C34,RM_PM_Quantity[RM Name],$E34),0)</f>
        <v>0</v>
      </c>
      <c r="T34" s="84">
        <f>SUMIFS(RM_PM_Quantity[Quantity],RM_PM_Quantity[Date],T$1,RM_PM_Quantity[Location],$D34,RM_PM_Quantity[Section],$C34,RM_PM_Quantity[RM Name],$E34)+IF($D34="MIND/Pre-Production",SUMIFS(RM_PM_Quantity[Quantity],RM_PM_Quantity[Date],T$1,RM_PM_Quantity[Location],"MIDC/Pre-Production",RM_PM_Quantity[Section],$C34,RM_PM_Quantity[RM Name],$E34),0)</f>
        <v>0</v>
      </c>
      <c r="U34" s="84">
        <f>SUMIFS(RM_PM_Quantity[Quantity],RM_PM_Quantity[Date],U$1,RM_PM_Quantity[Location],$D34,RM_PM_Quantity[Section],$C34,RM_PM_Quantity[RM Name],$E34)+IF($D34="MIND/Pre-Production",SUMIFS(RM_PM_Quantity[Quantity],RM_PM_Quantity[Date],U$1,RM_PM_Quantity[Location],"MIDC/Pre-Production",RM_PM_Quantity[Section],$C34,RM_PM_Quantity[RM Name],$E34),0)</f>
        <v>0</v>
      </c>
      <c r="V34" s="84">
        <f>SUMIFS(RM_PM_Quantity[Quantity],RM_PM_Quantity[Date],V$1,RM_PM_Quantity[Location],$D34,RM_PM_Quantity[Section],$C34,RM_PM_Quantity[RM Name],$E34)+IF($D34="MIND/Pre-Production",SUMIFS(RM_PM_Quantity[Quantity],RM_PM_Quantity[Date],V$1,RM_PM_Quantity[Location],"MIDC/Pre-Production",RM_PM_Quantity[Section],$C34,RM_PM_Quantity[RM Name],$E34),0)</f>
        <v>0</v>
      </c>
      <c r="W34" s="84">
        <f>SUMIFS(RM_PM_Quantity[Quantity],RM_PM_Quantity[Date],W$1,RM_PM_Quantity[Location],$D34,RM_PM_Quantity[Section],$C34,RM_PM_Quantity[RM Name],$E34)+IF($D34="MIND/Pre-Production",SUMIFS(RM_PM_Quantity[Quantity],RM_PM_Quantity[Date],W$1,RM_PM_Quantity[Location],"MIDC/Pre-Production",RM_PM_Quantity[Section],$C34,RM_PM_Quantity[RM Name],$E34),0)</f>
        <v>0</v>
      </c>
      <c r="X34" s="84">
        <f>SUMIFS(RM_PM_Quantity[Quantity],RM_PM_Quantity[Date],X$1,RM_PM_Quantity[Location],$D34,RM_PM_Quantity[Section],$C34,RM_PM_Quantity[RM Name],$E34)+IF($D34="MIND/Pre-Production",SUMIFS(RM_PM_Quantity[Quantity],RM_PM_Quantity[Date],X$1,RM_PM_Quantity[Location],"MIDC/Pre-Production",RM_PM_Quantity[Section],$C34,RM_PM_Quantity[RM Name],$E34),0)</f>
        <v>0</v>
      </c>
      <c r="Y34" s="84">
        <f>SUMIFS(RM_PM_Quantity[Quantity],RM_PM_Quantity[Date],Y$1,RM_PM_Quantity[Location],$D34,RM_PM_Quantity[Section],$C34,RM_PM_Quantity[RM Name],$E34)+IF($D34="MIND/Pre-Production",SUMIFS(RM_PM_Quantity[Quantity],RM_PM_Quantity[Date],Y$1,RM_PM_Quantity[Location],"MIDC/Pre-Production",RM_PM_Quantity[Section],$C34,RM_PM_Quantity[RM Name],$E34),0)</f>
        <v>0</v>
      </c>
      <c r="Z34" s="84">
        <f>SUMIFS(RM_PM_Quantity[Quantity],RM_PM_Quantity[Date],Z$1,RM_PM_Quantity[Location],$D34,RM_PM_Quantity[Section],$C34,RM_PM_Quantity[RM Name],$E34)+IF($D34="MIND/Pre-Production",SUMIFS(RM_PM_Quantity[Quantity],RM_PM_Quantity[Date],Z$1,RM_PM_Quantity[Location],"MIDC/Pre-Production",RM_PM_Quantity[Section],$C34,RM_PM_Quantity[RM Name],$E34),0)</f>
        <v>0</v>
      </c>
      <c r="AA34" s="84">
        <f>SUMIFS(RM_PM_Quantity[Quantity],RM_PM_Quantity[Date],AA$1,RM_PM_Quantity[Location],$D34,RM_PM_Quantity[Section],$C34,RM_PM_Quantity[RM Name],$E34)+IF($D34="MIND/Pre-Production",SUMIFS(RM_PM_Quantity[Quantity],RM_PM_Quantity[Date],AA$1,RM_PM_Quantity[Location],"MIDC/Pre-Production",RM_PM_Quantity[Section],$C34,RM_PM_Quantity[RM Name],$E34),0)</f>
        <v>0</v>
      </c>
      <c r="AB34" s="84">
        <f>SUMIFS(RM_PM_Quantity[Quantity],RM_PM_Quantity[Date],AB$1,RM_PM_Quantity[Location],$D34,RM_PM_Quantity[Section],$C34,RM_PM_Quantity[RM Name],$E34)+IF($D34="MIND/Pre-Production",SUMIFS(RM_PM_Quantity[Quantity],RM_PM_Quantity[Date],AB$1,RM_PM_Quantity[Location],"MIDC/Pre-Production",RM_PM_Quantity[Section],$C34,RM_PM_Quantity[RM Name],$E34),0)</f>
        <v>0</v>
      </c>
      <c r="AC34" s="84">
        <f>SUMIFS(RM_PM_Quantity[Quantity],RM_PM_Quantity[Date],AC$1,RM_PM_Quantity[Location],$D34,RM_PM_Quantity[Section],$C34,RM_PM_Quantity[RM Name],$E34)+IF($D34="MIND/Pre-Production",SUMIFS(RM_PM_Quantity[Quantity],RM_PM_Quantity[Date],AC$1,RM_PM_Quantity[Location],"MIDC/Pre-Production",RM_PM_Quantity[Section],$C34,RM_PM_Quantity[RM Name],$E34),0)</f>
        <v>0</v>
      </c>
      <c r="AD34" s="84">
        <f>SUMIFS(RM_PM_Quantity[Quantity],RM_PM_Quantity[Date],AD$1,RM_PM_Quantity[Location],$D34,RM_PM_Quantity[Section],$C34,RM_PM_Quantity[RM Name],$E34)+IF($D34="MIND/Pre-Production",SUMIFS(RM_PM_Quantity[Quantity],RM_PM_Quantity[Date],AD$1,RM_PM_Quantity[Location],"MIDC/Pre-Production",RM_PM_Quantity[Section],$C34,RM_PM_Quantity[RM Name],$E34),0)</f>
        <v>0</v>
      </c>
      <c r="AE34" s="84">
        <f>SUMIFS(RM_PM_Quantity[Quantity],RM_PM_Quantity[Date],AE$1,RM_PM_Quantity[Location],$D34,RM_PM_Quantity[Section],$C34,RM_PM_Quantity[RM Name],$E34)+IF($D34="MIND/Pre-Production",SUMIFS(RM_PM_Quantity[Quantity],RM_PM_Quantity[Date],AE$1,RM_PM_Quantity[Location],"MIDC/Pre-Production",RM_PM_Quantity[Section],$C34,RM_PM_Quantity[RM Name],$E34),0)</f>
        <v>0</v>
      </c>
      <c r="AF34" s="84">
        <f>SUMIFS(RM_PM_Quantity[Quantity],RM_PM_Quantity[Date],AF$1,RM_PM_Quantity[Location],$D34,RM_PM_Quantity[Section],$C34,RM_PM_Quantity[RM Name],$E34)+IF($D34="MIND/Pre-Production",SUMIFS(RM_PM_Quantity[Quantity],RM_PM_Quantity[Date],AF$1,RM_PM_Quantity[Location],"MIDC/Pre-Production",RM_PM_Quantity[Section],$C34,RM_PM_Quantity[RM Name],$E34),0)</f>
        <v>0</v>
      </c>
      <c r="AG34" s="84">
        <f>SUMIFS(RM_PM_Quantity[Quantity],RM_PM_Quantity[Date],AG$1,RM_PM_Quantity[Location],$D34,RM_PM_Quantity[Section],$C34,RM_PM_Quantity[RM Name],$E34)+IF($D34="MIND/Pre-Production",SUMIFS(RM_PM_Quantity[Quantity],RM_PM_Quantity[Date],AG$1,RM_PM_Quantity[Location],"MIDC/Pre-Production",RM_PM_Quantity[Section],$C34,RM_PM_Quantity[RM Name],$E34),0)</f>
        <v>0</v>
      </c>
      <c r="AH34" s="84">
        <f>SUMIFS(RM_PM_Quantity[Quantity],RM_PM_Quantity[Date],AH$1,RM_PM_Quantity[Location],$D34,RM_PM_Quantity[Section],$C34,RM_PM_Quantity[RM Name],$E34)+IF($D34="MIND/Pre-Production",SUMIFS(RM_PM_Quantity[Quantity],RM_PM_Quantity[Date],AH$1,RM_PM_Quantity[Location],"MIDC/Pre-Production",RM_PM_Quantity[Section],$C34,RM_PM_Quantity[RM Name],$E34),0)</f>
        <v>0</v>
      </c>
      <c r="AI34" s="84">
        <f>SUMIFS(RM_PM_Quantity[Quantity],RM_PM_Quantity[Date],AI$1,RM_PM_Quantity[Location],$D34,RM_PM_Quantity[Section],$C34,RM_PM_Quantity[RM Name],$E34)+IF($D34="MIND/Pre-Production",SUMIFS(RM_PM_Quantity[Quantity],RM_PM_Quantity[Date],AI$1,RM_PM_Quantity[Location],"MIDC/Pre-Production",RM_PM_Quantity[Section],$C34,RM_PM_Quantity[RM Name],$E34),0)</f>
        <v>0</v>
      </c>
      <c r="AJ34" s="84">
        <f>SUMIFS(RM_PM_Quantity[Quantity],RM_PM_Quantity[Date],AJ$1,RM_PM_Quantity[Location],$D34,RM_PM_Quantity[Section],$C34,RM_PM_Quantity[RM Name],$E34)+IF($D34="MIND/Pre-Production",SUMIFS(RM_PM_Quantity[Quantity],RM_PM_Quantity[Date],AJ$1,RM_PM_Quantity[Location],"MIDC/Pre-Production",RM_PM_Quantity[Section],$C34,RM_PM_Quantity[RM Name],$E34),0)</f>
        <v>0</v>
      </c>
      <c r="AK34" s="84">
        <f>SUMIFS(RM_PM_Quantity[Quantity],RM_PM_Quantity[Date],AK$1,RM_PM_Quantity[Location],$D34,RM_PM_Quantity[Section],$C34,RM_PM_Quantity[RM Name],$E34)+IF($D34="MIND/Pre-Production",SUMIFS(RM_PM_Quantity[Quantity],RM_PM_Quantity[Date],AK$1,RM_PM_Quantity[Location],"MIDC/Pre-Production",RM_PM_Quantity[Section],$C34,RM_PM_Quantity[RM Name],$E34),0)</f>
        <v>0</v>
      </c>
      <c r="AL34" s="84">
        <f>SUMIFS(RM_PM_Quantity[Quantity],RM_PM_Quantity[Date],AL$1,RM_PM_Quantity[Location],$D34,RM_PM_Quantity[Section],$C34,RM_PM_Quantity[RM Name],$E34)+IF($D34="MIND/Pre-Production",SUMIFS(RM_PM_Quantity[Quantity],RM_PM_Quantity[Date],AL$1,RM_PM_Quantity[Location],"MIDC/Pre-Production",RM_PM_Quantity[Section],$C34,RM_PM_Quantity[RM Name],$E34),0)</f>
        <v>0</v>
      </c>
      <c r="AM34" s="84">
        <f>SUMIFS(RM_PM_Quantity[Quantity],RM_PM_Quantity[Date],AM$1,RM_PM_Quantity[Location],$D34,RM_PM_Quantity[Section],$C34,RM_PM_Quantity[RM Name],$E34)+IF($D34="MIND/Pre-Production",SUMIFS(RM_PM_Quantity[Quantity],RM_PM_Quantity[Date],AM$1,RM_PM_Quantity[Location],"MIDC/Pre-Production",RM_PM_Quantity[Section],$C34,RM_PM_Quantity[RM Name],$E34),0)</f>
        <v>0</v>
      </c>
      <c r="AN34" s="84">
        <f>SUMIFS(RM_PM_Quantity[Quantity],RM_PM_Quantity[Date],AN$1,RM_PM_Quantity[Location],$D34,RM_PM_Quantity[Section],$C34,RM_PM_Quantity[RM Name],$E34)+IF($D34="MIND/Pre-Production",SUMIFS(RM_PM_Quantity[Quantity],RM_PM_Quantity[Date],AN$1,RM_PM_Quantity[Location],"MIDC/Pre-Production",RM_PM_Quantity[Section],$C34,RM_PM_Quantity[RM Name],$E34),0)</f>
        <v>0</v>
      </c>
      <c r="AO34" s="84">
        <f>SUMIFS(RM_PM_Quantity[Quantity],RM_PM_Quantity[Date],AO$1,RM_PM_Quantity[Location],$D34,RM_PM_Quantity[Section],$C34,RM_PM_Quantity[RM Name],$E34)+IF($D34="MIND/Pre-Production",SUMIFS(RM_PM_Quantity[Quantity],RM_PM_Quantity[Date],AO$1,RM_PM_Quantity[Location],"MIDC/Pre-Production",RM_PM_Quantity[Section],$C34,RM_PM_Quantity[RM Name],$E34),0)</f>
        <v>0</v>
      </c>
      <c r="AP34" s="84">
        <f>SUMIFS(RM_PM_Quantity[Quantity],RM_PM_Quantity[Date],AP$1,RM_PM_Quantity[Location],$D34,RM_PM_Quantity[Section],$C34,RM_PM_Quantity[RM Name],$E34)+IF($D34="MIND/Pre-Production",SUMIFS(RM_PM_Quantity[Quantity],RM_PM_Quantity[Date],AP$1,RM_PM_Quantity[Location],"MIDC/Pre-Production",RM_PM_Quantity[Section],$C34,RM_PM_Quantity[RM Name],$E34),0)</f>
        <v>0</v>
      </c>
      <c r="AQ34" s="84">
        <f>SUMIFS(RM_PM_Quantity[Quantity],RM_PM_Quantity[Date],AQ$1,RM_PM_Quantity[Location],$D34,RM_PM_Quantity[Section],$C34,RM_PM_Quantity[RM Name],$E34)+IF($D34="MIND/Pre-Production",SUMIFS(RM_PM_Quantity[Quantity],RM_PM_Quantity[Date],AQ$1,RM_PM_Quantity[Location],"MIDC/Pre-Production",RM_PM_Quantity[Section],$C34,RM_PM_Quantity[RM Name],$E34),0)</f>
        <v>0</v>
      </c>
      <c r="AR34" s="84">
        <f>SUMIFS(RM_PM_Quantity[Quantity],RM_PM_Quantity[Date],AR$1,RM_PM_Quantity[Location],$D34,RM_PM_Quantity[Section],$C34,RM_PM_Quantity[RM Name],$E34)+IF($D34="MIND/Pre-Production",SUMIFS(RM_PM_Quantity[Quantity],RM_PM_Quantity[Date],AR$1,RM_PM_Quantity[Location],"MIDC/Pre-Production",RM_PM_Quantity[Section],$C34,RM_PM_Quantity[RM Name],$E34),0)</f>
        <v>0</v>
      </c>
      <c r="AS34" s="84">
        <f>SUMIFS(RM_PM_Quantity[Quantity],RM_PM_Quantity[Date],AS$1,RM_PM_Quantity[Location],$D34,RM_PM_Quantity[Section],$C34,RM_PM_Quantity[RM Name],$E34)+IF($D34="MIND/Pre-Production",SUMIFS(RM_PM_Quantity[Quantity],RM_PM_Quantity[Date],AS$1,RM_PM_Quantity[Location],"MIDC/Pre-Production",RM_PM_Quantity[Section],$C34,RM_PM_Quantity[RM Name],$E34),0)</f>
        <v>0</v>
      </c>
      <c r="AT34" s="84">
        <f>SUMIFS(RM_PM_Quantity[Quantity],RM_PM_Quantity[Date],AT$1,RM_PM_Quantity[Location],$D34,RM_PM_Quantity[Section],$C34,RM_PM_Quantity[RM Name],$E34)+IF($D34="MIND/Pre-Production",SUMIFS(RM_PM_Quantity[Quantity],RM_PM_Quantity[Date],AT$1,RM_PM_Quantity[Location],"MIDC/Pre-Production",RM_PM_Quantity[Section],$C34,RM_PM_Quantity[RM Name],$E34),0)</f>
        <v>0</v>
      </c>
      <c r="AU34" s="84">
        <f>SUMIFS(RM_PM_Quantity[Quantity],RM_PM_Quantity[Date],AU$1,RM_PM_Quantity[Location],$D34,RM_PM_Quantity[Section],$C34,RM_PM_Quantity[RM Name],$E34)+IF($D34="MIND/Pre-Production",SUMIFS(RM_PM_Quantity[Quantity],RM_PM_Quantity[Date],AU$1,RM_PM_Quantity[Location],"MIDC/Pre-Production",RM_PM_Quantity[Section],$C34,RM_PM_Quantity[RM Name],$E34),0)</f>
        <v>16500</v>
      </c>
      <c r="AV34" s="84">
        <f>SUMIFS(RM_PM_Quantity[Quantity],RM_PM_Quantity[Date],AV$1,RM_PM_Quantity[Location],$D34,RM_PM_Quantity[Section],$C34,RM_PM_Quantity[RM Name],$E34)+IF($D34="MIND/Pre-Production",SUMIFS(RM_PM_Quantity[Quantity],RM_PM_Quantity[Date],AV$1,RM_PM_Quantity[Location],"MIDC/Pre-Production",RM_PM_Quantity[Section],$C34,RM_PM_Quantity[RM Name],$E34),0)</f>
        <v>0</v>
      </c>
      <c r="AW34" s="84">
        <f>SUMIFS(RM_PM_Quantity[Quantity],RM_PM_Quantity[Date],AW$1,RM_PM_Quantity[Location],$D34,RM_PM_Quantity[Section],$C34,RM_PM_Quantity[RM Name],$E34)+IF($D34="MIND/Pre-Production",SUMIFS(RM_PM_Quantity[Quantity],RM_PM_Quantity[Date],AW$1,RM_PM_Quantity[Location],"MIDC/Pre-Production",RM_PM_Quantity[Section],$C34,RM_PM_Quantity[RM Name],$E34),0)</f>
        <v>0</v>
      </c>
      <c r="AX34" s="84">
        <f>SUMIFS(RM_PM_Quantity[Quantity],RM_PM_Quantity[Date],AX$1,RM_PM_Quantity[Location],$D34,RM_PM_Quantity[Section],$C34,RM_PM_Quantity[RM Name],$E34)+IF($D34="MIND/Pre-Production",SUMIFS(RM_PM_Quantity[Quantity],RM_PM_Quantity[Date],AX$1,RM_PM_Quantity[Location],"MIDC/Pre-Production",RM_PM_Quantity[Section],$C34,RM_PM_Quantity[RM Name],$E34),0)</f>
        <v>0</v>
      </c>
      <c r="AY34" s="84">
        <f>SUMIFS(RM_PM_Quantity[Quantity],RM_PM_Quantity[Date],AY$1,RM_PM_Quantity[Location],$D34,RM_PM_Quantity[Section],$C34,RM_PM_Quantity[RM Name],$E34)+IF($D34="MIND/Pre-Production",SUMIFS(RM_PM_Quantity[Quantity],RM_PM_Quantity[Date],AY$1,RM_PM_Quantity[Location],"MIDC/Pre-Production",RM_PM_Quantity[Section],$C34,RM_PM_Quantity[RM Name],$E34),0)</f>
        <v>0</v>
      </c>
      <c r="AZ34" s="84">
        <f>SUMIFS(RM_PM_Quantity[Quantity],RM_PM_Quantity[Date],AZ$1,RM_PM_Quantity[Location],$D34,RM_PM_Quantity[Section],$C34,RM_PM_Quantity[RM Name],$E34)+IF($D34="MIND/Pre-Production",SUMIFS(RM_PM_Quantity[Quantity],RM_PM_Quantity[Date],AZ$1,RM_PM_Quantity[Location],"MIDC/Pre-Production",RM_PM_Quantity[Section],$C34,RM_PM_Quantity[RM Name],$E34),0)</f>
        <v>0</v>
      </c>
      <c r="BA34" s="84">
        <f>SUMIFS(RM_PM_Quantity[Quantity],RM_PM_Quantity[Date],BA$1,RM_PM_Quantity[Location],$D34,RM_PM_Quantity[Section],$C34,RM_PM_Quantity[RM Name],$E34)+IF($D34="MIND/Pre-Production",SUMIFS(RM_PM_Quantity[Quantity],RM_PM_Quantity[Date],BA$1,RM_PM_Quantity[Location],"MIDC/Pre-Production",RM_PM_Quantity[Section],$C34,RM_PM_Quantity[RM Name],$E34),0)</f>
        <v>0</v>
      </c>
      <c r="BB34" s="84">
        <f>SUMIFS(RM_PM_Quantity[Quantity],RM_PM_Quantity[Date],BB$1,RM_PM_Quantity[Location],$D34,RM_PM_Quantity[Section],$C34,RM_PM_Quantity[RM Name],$E34)+IF($D34="MIND/Pre-Production",SUMIFS(RM_PM_Quantity[Quantity],RM_PM_Quantity[Date],BB$1,RM_PM_Quantity[Location],"MIDC/Pre-Production",RM_PM_Quantity[Section],$C34,RM_PM_Quantity[RM Name],$E34),0)</f>
        <v>0</v>
      </c>
      <c r="BC34" s="84">
        <f>SUMIFS(RM_PM_Quantity[Quantity],RM_PM_Quantity[Date],BC$1,RM_PM_Quantity[Location],$D34,RM_PM_Quantity[Section],$C34,RM_PM_Quantity[RM Name],$E34)+IF($D34="MIND/Pre-Production",SUMIFS(RM_PM_Quantity[Quantity],RM_PM_Quantity[Date],BC$1,RM_PM_Quantity[Location],"MIDC/Pre-Production",RM_PM_Quantity[Section],$C34,RM_PM_Quantity[RM Name],$E34),0)</f>
        <v>0</v>
      </c>
      <c r="BD34" s="84">
        <f>SUMIFS(RM_PM_Quantity[Quantity],RM_PM_Quantity[Date],BD$1,RM_PM_Quantity[Location],$D34,RM_PM_Quantity[Section],$C34,RM_PM_Quantity[RM Name],$E34)+IF($D34="MIND/Pre-Production",SUMIFS(RM_PM_Quantity[Quantity],RM_PM_Quantity[Date],BD$1,RM_PM_Quantity[Location],"MIDC/Pre-Production",RM_PM_Quantity[Section],$C34,RM_PM_Quantity[RM Name],$E34),0)</f>
        <v>0</v>
      </c>
      <c r="BE34" s="84">
        <f>SUMIFS(RM_PM_Quantity[Quantity],RM_PM_Quantity[Date],BE$1,RM_PM_Quantity[Location],$D34,RM_PM_Quantity[Section],$C34,RM_PM_Quantity[RM Name],$E34)+IF($D34="MIND/Pre-Production",SUMIFS(RM_PM_Quantity[Quantity],RM_PM_Quantity[Date],BE$1,RM_PM_Quantity[Location],"MIDC/Pre-Production",RM_PM_Quantity[Section],$C34,RM_PM_Quantity[RM Name],$E34),0)</f>
        <v>0</v>
      </c>
      <c r="BF34" s="84">
        <f>SUMIFS(RM_PM_Quantity[Quantity],RM_PM_Quantity[Date],BF$1,RM_PM_Quantity[Location],$D34,RM_PM_Quantity[Section],$C34,RM_PM_Quantity[RM Name],$E34)+IF($D34="MIND/Pre-Production",SUMIFS(RM_PM_Quantity[Quantity],RM_PM_Quantity[Date],BF$1,RM_PM_Quantity[Location],"MIDC/Pre-Production",RM_PM_Quantity[Section],$C34,RM_PM_Quantity[RM Name],$E34),0)</f>
        <v>0</v>
      </c>
      <c r="BG34" s="84">
        <f>SUMIFS(RM_PM_Quantity[Quantity],RM_PM_Quantity[Date],BG$1,RM_PM_Quantity[Location],$D34,RM_PM_Quantity[Section],$C34,RM_PM_Quantity[RM Name],$E34)+IF($D34="MIND/Pre-Production",SUMIFS(RM_PM_Quantity[Quantity],RM_PM_Quantity[Date],BG$1,RM_PM_Quantity[Location],"MIDC/Pre-Production",RM_PM_Quantity[Section],$C34,RM_PM_Quantity[RM Name],$E34),0)</f>
        <v>0</v>
      </c>
      <c r="BH34" s="84">
        <f>SUMIFS(RM_PM_Quantity[Quantity],RM_PM_Quantity[Date],BH$1,RM_PM_Quantity[Location],$D34,RM_PM_Quantity[Section],$C34,RM_PM_Quantity[RM Name],$E34)+IF($D34="MIND/Pre-Production",SUMIFS(RM_PM_Quantity[Quantity],RM_PM_Quantity[Date],BH$1,RM_PM_Quantity[Location],"MIDC/Pre-Production",RM_PM_Quantity[Section],$C34,RM_PM_Quantity[RM Name],$E34),0)</f>
        <v>0</v>
      </c>
      <c r="BI34" s="84">
        <f>SUMIFS(RM_PM_Quantity[Quantity],RM_PM_Quantity[Date],BI$1,RM_PM_Quantity[Location],$D34,RM_PM_Quantity[Section],$C34,RM_PM_Quantity[RM Name],$E34)+IF($D34="MIND/Pre-Production",SUMIFS(RM_PM_Quantity[Quantity],RM_PM_Quantity[Date],BI$1,RM_PM_Quantity[Location],"MIDC/Pre-Production",RM_PM_Quantity[Section],$C34,RM_PM_Quantity[RM Name],$E34),0)</f>
        <v>0</v>
      </c>
      <c r="BJ34" s="84">
        <f>SUMIFS(RM_PM_Quantity[Quantity],RM_PM_Quantity[Date],BJ$1,RM_PM_Quantity[Location],$D34,RM_PM_Quantity[Section],$C34,RM_PM_Quantity[RM Name],$E34)+IF($D34="MIND/Pre-Production",SUMIFS(RM_PM_Quantity[Quantity],RM_PM_Quantity[Date],BJ$1,RM_PM_Quantity[Location],"MIDC/Pre-Production",RM_PM_Quantity[Section],$C34,RM_PM_Quantity[RM Name],$E34),0)</f>
        <v>0</v>
      </c>
      <c r="BK34" s="84">
        <f>SUMIFS(RM_PM_Quantity[Quantity],RM_PM_Quantity[Date],BK$1,RM_PM_Quantity[Location],$D34,RM_PM_Quantity[Section],$C34,RM_PM_Quantity[RM Name],$E34)+IF($D34="MIND/Pre-Production",SUMIFS(RM_PM_Quantity[Quantity],RM_PM_Quantity[Date],BK$1,RM_PM_Quantity[Location],"MIDC/Pre-Production",RM_PM_Quantity[Section],$C34,RM_PM_Quantity[RM Name],$E34),0)</f>
        <v>0</v>
      </c>
      <c r="BL34" s="84">
        <f>SUMIFS(RM_PM_Quantity[Quantity],RM_PM_Quantity[Date],BL$1,RM_PM_Quantity[Location],$D34,RM_PM_Quantity[Section],$C34,RM_PM_Quantity[RM Name],$E34)+IF($D34="MIND/Pre-Production",SUMIFS(RM_PM_Quantity[Quantity],RM_PM_Quantity[Date],BL$1,RM_PM_Quantity[Location],"MIDC/Pre-Production",RM_PM_Quantity[Section],$C34,RM_PM_Quantity[RM Name],$E34),0)</f>
        <v>0</v>
      </c>
      <c r="BM34" s="84">
        <f>SUMIFS(RM_PM_Quantity[Quantity],RM_PM_Quantity[Date],BM$1,RM_PM_Quantity[Location],$D34,RM_PM_Quantity[Section],$C34,RM_PM_Quantity[RM Name],$E34)+IF($D34="MIND/Pre-Production",SUMIFS(RM_PM_Quantity[Quantity],RM_PM_Quantity[Date],BM$1,RM_PM_Quantity[Location],"MIDC/Pre-Production",RM_PM_Quantity[Section],$C34,RM_PM_Quantity[RM Name],$E34),0)</f>
        <v>0</v>
      </c>
      <c r="BN34" s="84">
        <f>SUMIFS(RM_PM_Quantity[Quantity],RM_PM_Quantity[Date],BN$1,RM_PM_Quantity[Location],$D34,RM_PM_Quantity[Section],$C34,RM_PM_Quantity[RM Name],$E34)+IF($D34="MIND/Pre-Production",SUMIFS(RM_PM_Quantity[Quantity],RM_PM_Quantity[Date],BN$1,RM_PM_Quantity[Location],"MIDC/Pre-Production",RM_PM_Quantity[Section],$C34,RM_PM_Quantity[RM Name],$E34),0)</f>
        <v>0</v>
      </c>
      <c r="BO34" s="84">
        <f>SUMIFS(RM_PM_Quantity[Quantity],RM_PM_Quantity[Date],BO$1,RM_PM_Quantity[Location],$D34,RM_PM_Quantity[Section],$C34,RM_PM_Quantity[RM Name],$E34)+IF($D34="MIND/Pre-Production",SUMIFS(RM_PM_Quantity[Quantity],RM_PM_Quantity[Date],BO$1,RM_PM_Quantity[Location],"MIDC/Pre-Production",RM_PM_Quantity[Section],$C34,RM_PM_Quantity[RM Name],$E34),0)</f>
        <v>0</v>
      </c>
      <c r="BP34" s="84">
        <f>SUMIFS(RM_PM_Quantity[Quantity],RM_PM_Quantity[Date],BP$1,RM_PM_Quantity[Location],$D34,RM_PM_Quantity[Section],$C34,RM_PM_Quantity[RM Name],$E34)+IF($D34="MIND/Pre-Production",SUMIFS(RM_PM_Quantity[Quantity],RM_PM_Quantity[Date],BP$1,RM_PM_Quantity[Location],"MIDC/Pre-Production",RM_PM_Quantity[Section],$C34,RM_PM_Quantity[RM Name],$E34),0)</f>
        <v>0</v>
      </c>
      <c r="BQ34" s="84">
        <f>SUMIFS(RM_PM_Quantity[Quantity],RM_PM_Quantity[Date],BQ$1,RM_PM_Quantity[Location],$D34,RM_PM_Quantity[Section],$C34,RM_PM_Quantity[RM Name],$E34)+IF($D34="MIND/Pre-Production",SUMIFS(RM_PM_Quantity[Quantity],RM_PM_Quantity[Date],BQ$1,RM_PM_Quantity[Location],"MIDC/Pre-Production",RM_PM_Quantity[Section],$C34,RM_PM_Quantity[RM Name],$E34),0)</f>
        <v>0</v>
      </c>
      <c r="BR34" s="84">
        <f>SUMIFS(RM_PM_Quantity[Quantity],RM_PM_Quantity[Date],BR$1,RM_PM_Quantity[Location],$D34,RM_PM_Quantity[Section],$C34,RM_PM_Quantity[RM Name],$E34)+IF($D34="MIND/Pre-Production",SUMIFS(RM_PM_Quantity[Quantity],RM_PM_Quantity[Date],BR$1,RM_PM_Quantity[Location],"MIDC/Pre-Production",RM_PM_Quantity[Section],$C34,RM_PM_Quantity[RM Name],$E34),0)</f>
        <v>0</v>
      </c>
      <c r="BS34" s="84">
        <f>SUMIFS(RM_PM_Quantity[Quantity],RM_PM_Quantity[Date],BS$1,RM_PM_Quantity[Location],$D34,RM_PM_Quantity[Section],$C34,RM_PM_Quantity[RM Name],$E34)+IF($D34="MIND/Pre-Production",SUMIFS(RM_PM_Quantity[Quantity],RM_PM_Quantity[Date],BS$1,RM_PM_Quantity[Location],"MIDC/Pre-Production",RM_PM_Quantity[Section],$C34,RM_PM_Quantity[RM Name],$E34),0)</f>
        <v>0</v>
      </c>
      <c r="BT34" s="84">
        <f>SUMIFS(RM_PM_Quantity[ID],RM_PM_Quantity[Location],BT$1,RM_PM_Quantity[Section],$D34,RM_PM_Quantity[RM Name],$C34,RM_PM_Quantity[Quantity],$E34)+IF($D34="MIND/Pre-Production",SUMIFS(RM_PM_Quantity[ID],RM_PM_Quantity[Location],BT$1,RM_PM_Quantity[Section],"MIDC/Pre-Production",RM_PM_Quantity[RM Name],$C34,RM_PM_Quantity[Quantity],$E34),0)</f>
        <v>0</v>
      </c>
      <c r="BU34" s="84">
        <f>SUMIFS(RM_PM_Quantity[Name of Supervisor],RM_PM_Quantity[Section],BU$1,RM_PM_Quantity[RM Name],$D34,RM_PM_Quantity[Quantity],$C34,RM_PM_Quantity[ID],$E34)+IF($D34="MIND/Pre-Production",SUMIFS(RM_PM_Quantity[Name of Supervisor],RM_PM_Quantity[Section],BU$1,RM_PM_Quantity[RM Name],"MIDC/Pre-Production",RM_PM_Quantity[Quantity],$C34,RM_PM_Quantity[ID],$E34),0)</f>
        <v>0</v>
      </c>
      <c r="BV34" s="84">
        <f>SUMIFS(RM_PM_Quantity[Date],RM_PM_Quantity[RM Name],BV$1,RM_PM_Quantity[Quantity],$D34,RM_PM_Quantity[ID],$C34,RM_PM_Quantity[Name of Supervisor],$E34)+IF($D34="MIND/Pre-Production",SUMIFS(RM_PM_Quantity[Date],RM_PM_Quantity[RM Name],BV$1,RM_PM_Quantity[Quantity],"MIDC/Pre-Production",RM_PM_Quantity[ID],$C34,RM_PM_Quantity[Name of Supervisor],$E34),0)</f>
        <v>0</v>
      </c>
      <c r="BW34" s="84">
        <f>SUMIFS(RM_PM_Quantity[Location],RM_PM_Quantity[Quantity],BW$1,RM_PM_Quantity[ID],$D34,RM_PM_Quantity[Name of Supervisor],$C34,RM_PM_Quantity[Date],$E34)+IF($D34="MIND/Pre-Production",SUMIFS(RM_PM_Quantity[Location],RM_PM_Quantity[Quantity],BW$1,RM_PM_Quantity[ID],"MIDC/Pre-Production",RM_PM_Quantity[Name of Supervisor],$C34,RM_PM_Quantity[Date],$E34),0)</f>
        <v>0</v>
      </c>
      <c r="BX34" s="84">
        <f>SUMIFS(RM_PM_Quantity[Section],RM_PM_Quantity[ID],BX$1,RM_PM_Quantity[Name of Supervisor],$D34,RM_PM_Quantity[Date],$C34,RM_PM_Quantity[Location],$E34)+IF($D34="MIND/Pre-Production",SUMIFS(RM_PM_Quantity[Section],RM_PM_Quantity[ID],BX$1,RM_PM_Quantity[Name of Supervisor],"MIDC/Pre-Production",RM_PM_Quantity[Date],$C34,RM_PM_Quantity[Location],$E34),0)</f>
        <v>0</v>
      </c>
      <c r="BY34" s="84">
        <f>SUMIFS(RM_PM_Quantity[RM Name],RM_PM_Quantity[Name of Supervisor],BY$1,RM_PM_Quantity[Date],$D34,RM_PM_Quantity[Location],$C34,RM_PM_Quantity[Section],$E34)+IF($D34="MIND/Pre-Production",SUMIFS(RM_PM_Quantity[RM Name],RM_PM_Quantity[Name of Supervisor],BY$1,RM_PM_Quantity[Date],"MIDC/Pre-Production",RM_PM_Quantity[Location],$C34,RM_PM_Quantity[Section],$E34),0)</f>
        <v>0</v>
      </c>
    </row>
    <row r="35" spans="1:77" ht="45.75" customHeight="1">
      <c r="A35" s="79">
        <v>34</v>
      </c>
      <c r="B35" s="79" t="s">
        <v>120</v>
      </c>
      <c r="C35" s="80" t="s">
        <v>108</v>
      </c>
      <c r="D35" s="81" t="s">
        <v>68</v>
      </c>
      <c r="E35" s="82" t="s">
        <v>121</v>
      </c>
      <c r="F35" s="83">
        <f>IFERROR(_xlfn.XLOOKUP(B35,'[1]RM Tracker'!B:B,'[1]RM Tracker'!E:E),"0")</f>
        <v>0</v>
      </c>
      <c r="G35" s="85">
        <f t="shared" si="2"/>
        <v>0</v>
      </c>
      <c r="H35" s="85">
        <f t="shared" si="3"/>
        <v>0</v>
      </c>
      <c r="I35" s="91">
        <f t="shared" si="4"/>
        <v>0</v>
      </c>
      <c r="J35" s="84">
        <f>SUMIFS(RM_PM_Quantity[Quantity],RM_PM_Quantity[Date],J$1,RM_PM_Quantity[Location],$D35,RM_PM_Quantity[Section],$C35,RM_PM_Quantity[RM Name],$E35)+IF($D35="MIND/Pre-Production",SUMIFS(RM_PM_Quantity[Quantity],RM_PM_Quantity[Date],J$1,RM_PM_Quantity[Location],"MIDC/Pre-Production",RM_PM_Quantity[Section],$C35,RM_PM_Quantity[RM Name],$E35),0)</f>
        <v>0</v>
      </c>
      <c r="K35" s="84">
        <f>SUMIFS(RM_PM_Quantity[Quantity],RM_PM_Quantity[Date],K$1,RM_PM_Quantity[Location],$D35,RM_PM_Quantity[Section],$C35,RM_PM_Quantity[RM Name],$E35)+IF($D35="MIND/Pre-Production",SUMIFS(RM_PM_Quantity[Quantity],RM_PM_Quantity[Date],K$1,RM_PM_Quantity[Location],"MIDC/Pre-Production",RM_PM_Quantity[Section],$C35,RM_PM_Quantity[RM Name],$E35),0)</f>
        <v>0</v>
      </c>
      <c r="L35" s="84">
        <f>SUMIFS(RM_PM_Quantity[Quantity],RM_PM_Quantity[Date],L$1,RM_PM_Quantity[Location],$D35,RM_PM_Quantity[Section],$C35,RM_PM_Quantity[RM Name],$E35)+IF($D35="MIND/Pre-Production",SUMIFS(RM_PM_Quantity[Quantity],RM_PM_Quantity[Date],L$1,RM_PM_Quantity[Location],"MIDC/Pre-Production",RM_PM_Quantity[Section],$C35,RM_PM_Quantity[RM Name],$E35),0)</f>
        <v>0</v>
      </c>
      <c r="M35" s="84">
        <f>SUMIFS(RM_PM_Quantity[Quantity],RM_PM_Quantity[Date],M$1,RM_PM_Quantity[Location],$D35,RM_PM_Quantity[Section],$C35,RM_PM_Quantity[RM Name],$E35)+IF($D35="MIND/Pre-Production",SUMIFS(RM_PM_Quantity[Quantity],RM_PM_Quantity[Date],M$1,RM_PM_Quantity[Location],"MIDC/Pre-Production",RM_PM_Quantity[Section],$C35,RM_PM_Quantity[RM Name],$E35),0)</f>
        <v>0</v>
      </c>
      <c r="N35" s="84">
        <f>SUMIFS(RM_PM_Quantity[Quantity],RM_PM_Quantity[Date],N$1,RM_PM_Quantity[Location],$D35,RM_PM_Quantity[Section],$C35,RM_PM_Quantity[RM Name],$E35)+IF($D35="MIND/Pre-Production",SUMIFS(RM_PM_Quantity[Quantity],RM_PM_Quantity[Date],N$1,RM_PM_Quantity[Location],"MIDC/Pre-Production",RM_PM_Quantity[Section],$C35,RM_PM_Quantity[RM Name],$E35),0)</f>
        <v>0</v>
      </c>
      <c r="O35" s="84">
        <f>SUMIFS(RM_PM_Quantity[Quantity],RM_PM_Quantity[Date],O$1,RM_PM_Quantity[Location],$D35,RM_PM_Quantity[Section],$C35,RM_PM_Quantity[RM Name],$E35)+IF($D35="MIND/Pre-Production",SUMIFS(RM_PM_Quantity[Quantity],RM_PM_Quantity[Date],O$1,RM_PM_Quantity[Location],"MIDC/Pre-Production",RM_PM_Quantity[Section],$C35,RM_PM_Quantity[RM Name],$E35),0)</f>
        <v>0</v>
      </c>
      <c r="P35" s="84">
        <f>SUMIFS(RM_PM_Quantity[Quantity],RM_PM_Quantity[Date],P$1,RM_PM_Quantity[Location],$D35,RM_PM_Quantity[Section],$C35,RM_PM_Quantity[RM Name],$E35)+IF($D35="MIND/Pre-Production",SUMIFS(RM_PM_Quantity[Quantity],RM_PM_Quantity[Date],P$1,RM_PM_Quantity[Location],"MIDC/Pre-Production",RM_PM_Quantity[Section],$C35,RM_PM_Quantity[RM Name],$E35),0)</f>
        <v>0</v>
      </c>
      <c r="Q35" s="84">
        <f>SUMIFS(RM_PM_Quantity[Quantity],RM_PM_Quantity[Date],Q$1,RM_PM_Quantity[Location],$D35,RM_PM_Quantity[Section],$C35,RM_PM_Quantity[RM Name],$E35)+IF($D35="MIND/Pre-Production",SUMIFS(RM_PM_Quantity[Quantity],RM_PM_Quantity[Date],Q$1,RM_PM_Quantity[Location],"MIDC/Pre-Production",RM_PM_Quantity[Section],$C35,RM_PM_Quantity[RM Name],$E35),0)</f>
        <v>0</v>
      </c>
      <c r="R35" s="84">
        <f>SUMIFS(RM_PM_Quantity[Quantity],RM_PM_Quantity[Date],R$1,RM_PM_Quantity[Location],$D35,RM_PM_Quantity[Section],$C35,RM_PM_Quantity[RM Name],$E35)+IF($D35="MIND/Pre-Production",SUMIFS(RM_PM_Quantity[Quantity],RM_PM_Quantity[Date],R$1,RM_PM_Quantity[Location],"MIDC/Pre-Production",RM_PM_Quantity[Section],$C35,RM_PM_Quantity[RM Name],$E35),0)</f>
        <v>0</v>
      </c>
      <c r="S35" s="84">
        <f>SUMIFS(RM_PM_Quantity[Quantity],RM_PM_Quantity[Date],S$1,RM_PM_Quantity[Location],$D35,RM_PM_Quantity[Section],$C35,RM_PM_Quantity[RM Name],$E35)+IF($D35="MIND/Pre-Production",SUMIFS(RM_PM_Quantity[Quantity],RM_PM_Quantity[Date],S$1,RM_PM_Quantity[Location],"MIDC/Pre-Production",RM_PM_Quantity[Section],$C35,RM_PM_Quantity[RM Name],$E35),0)</f>
        <v>0</v>
      </c>
      <c r="T35" s="84">
        <f>SUMIFS(RM_PM_Quantity[Quantity],RM_PM_Quantity[Date],T$1,RM_PM_Quantity[Location],$D35,RM_PM_Quantity[Section],$C35,RM_PM_Quantity[RM Name],$E35)+IF($D35="MIND/Pre-Production",SUMIFS(RM_PM_Quantity[Quantity],RM_PM_Quantity[Date],T$1,RM_PM_Quantity[Location],"MIDC/Pre-Production",RM_PM_Quantity[Section],$C35,RM_PM_Quantity[RM Name],$E35),0)</f>
        <v>0</v>
      </c>
      <c r="U35" s="84">
        <f>SUMIFS(RM_PM_Quantity[Quantity],RM_PM_Quantity[Date],U$1,RM_PM_Quantity[Location],$D35,RM_PM_Quantity[Section],$C35,RM_PM_Quantity[RM Name],$E35)+IF($D35="MIND/Pre-Production",SUMIFS(RM_PM_Quantity[Quantity],RM_PM_Quantity[Date],U$1,RM_PM_Quantity[Location],"MIDC/Pre-Production",RM_PM_Quantity[Section],$C35,RM_PM_Quantity[RM Name],$E35),0)</f>
        <v>0</v>
      </c>
      <c r="V35" s="84">
        <f>SUMIFS(RM_PM_Quantity[Quantity],RM_PM_Quantity[Date],V$1,RM_PM_Quantity[Location],$D35,RM_PM_Quantity[Section],$C35,RM_PM_Quantity[RM Name],$E35)+IF($D35="MIND/Pre-Production",SUMIFS(RM_PM_Quantity[Quantity],RM_PM_Quantity[Date],V$1,RM_PM_Quantity[Location],"MIDC/Pre-Production",RM_PM_Quantity[Section],$C35,RM_PM_Quantity[RM Name],$E35),0)</f>
        <v>0</v>
      </c>
      <c r="W35" s="84">
        <f>SUMIFS(RM_PM_Quantity[Quantity],RM_PM_Quantity[Date],W$1,RM_PM_Quantity[Location],$D35,RM_PM_Quantity[Section],$C35,RM_PM_Quantity[RM Name],$E35)+IF($D35="MIND/Pre-Production",SUMIFS(RM_PM_Quantity[Quantity],RM_PM_Quantity[Date],W$1,RM_PM_Quantity[Location],"MIDC/Pre-Production",RM_PM_Quantity[Section],$C35,RM_PM_Quantity[RM Name],$E35),0)</f>
        <v>0</v>
      </c>
      <c r="X35" s="84">
        <f>SUMIFS(RM_PM_Quantity[Quantity],RM_PM_Quantity[Date],X$1,RM_PM_Quantity[Location],$D35,RM_PM_Quantity[Section],$C35,RM_PM_Quantity[RM Name],$E35)+IF($D35="MIND/Pre-Production",SUMIFS(RM_PM_Quantity[Quantity],RM_PM_Quantity[Date],X$1,RM_PM_Quantity[Location],"MIDC/Pre-Production",RM_PM_Quantity[Section],$C35,RM_PM_Quantity[RM Name],$E35),0)</f>
        <v>0</v>
      </c>
      <c r="Y35" s="84">
        <f>SUMIFS(RM_PM_Quantity[Quantity],RM_PM_Quantity[Date],Y$1,RM_PM_Quantity[Location],$D35,RM_PM_Quantity[Section],$C35,RM_PM_Quantity[RM Name],$E35)+IF($D35="MIND/Pre-Production",SUMIFS(RM_PM_Quantity[Quantity],RM_PM_Quantity[Date],Y$1,RM_PM_Quantity[Location],"MIDC/Pre-Production",RM_PM_Quantity[Section],$C35,RM_PM_Quantity[RM Name],$E35),0)</f>
        <v>0</v>
      </c>
      <c r="Z35" s="84">
        <f>SUMIFS(RM_PM_Quantity[Quantity],RM_PM_Quantity[Date],Z$1,RM_PM_Quantity[Location],$D35,RM_PM_Quantity[Section],$C35,RM_PM_Quantity[RM Name],$E35)+IF($D35="MIND/Pre-Production",SUMIFS(RM_PM_Quantity[Quantity],RM_PM_Quantity[Date],Z$1,RM_PM_Quantity[Location],"MIDC/Pre-Production",RM_PM_Quantity[Section],$C35,RM_PM_Quantity[RM Name],$E35),0)</f>
        <v>0</v>
      </c>
      <c r="AA35" s="84">
        <f>SUMIFS(RM_PM_Quantity[Quantity],RM_PM_Quantity[Date],AA$1,RM_PM_Quantity[Location],$D35,RM_PM_Quantity[Section],$C35,RM_PM_Quantity[RM Name],$E35)+IF($D35="MIND/Pre-Production",SUMIFS(RM_PM_Quantity[Quantity],RM_PM_Quantity[Date],AA$1,RM_PM_Quantity[Location],"MIDC/Pre-Production",RM_PM_Quantity[Section],$C35,RM_PM_Quantity[RM Name],$E35),0)</f>
        <v>0</v>
      </c>
      <c r="AB35" s="84">
        <f>SUMIFS(RM_PM_Quantity[Quantity],RM_PM_Quantity[Date],AB$1,RM_PM_Quantity[Location],$D35,RM_PM_Quantity[Section],$C35,RM_PM_Quantity[RM Name],$E35)+IF($D35="MIND/Pre-Production",SUMIFS(RM_PM_Quantity[Quantity],RM_PM_Quantity[Date],AB$1,RM_PM_Quantity[Location],"MIDC/Pre-Production",RM_PM_Quantity[Section],$C35,RM_PM_Quantity[RM Name],$E35),0)</f>
        <v>0</v>
      </c>
      <c r="AC35" s="84">
        <f>SUMIFS(RM_PM_Quantity[Quantity],RM_PM_Quantity[Date],AC$1,RM_PM_Quantity[Location],$D35,RM_PM_Quantity[Section],$C35,RM_PM_Quantity[RM Name],$E35)+IF($D35="MIND/Pre-Production",SUMIFS(RM_PM_Quantity[Quantity],RM_PM_Quantity[Date],AC$1,RM_PM_Quantity[Location],"MIDC/Pre-Production",RM_PM_Quantity[Section],$C35,RM_PM_Quantity[RM Name],$E35),0)</f>
        <v>0</v>
      </c>
      <c r="AD35" s="84">
        <f>SUMIFS(RM_PM_Quantity[Quantity],RM_PM_Quantity[Date],AD$1,RM_PM_Quantity[Location],$D35,RM_PM_Quantity[Section],$C35,RM_PM_Quantity[RM Name],$E35)+IF($D35="MIND/Pre-Production",SUMIFS(RM_PM_Quantity[Quantity],RM_PM_Quantity[Date],AD$1,RM_PM_Quantity[Location],"MIDC/Pre-Production",RM_PM_Quantity[Section],$C35,RM_PM_Quantity[RM Name],$E35),0)</f>
        <v>0</v>
      </c>
      <c r="AE35" s="84">
        <f>SUMIFS(RM_PM_Quantity[Quantity],RM_PM_Quantity[Date],AE$1,RM_PM_Quantity[Location],$D35,RM_PM_Quantity[Section],$C35,RM_PM_Quantity[RM Name],$E35)+IF($D35="MIND/Pre-Production",SUMIFS(RM_PM_Quantity[Quantity],RM_PM_Quantity[Date],AE$1,RM_PM_Quantity[Location],"MIDC/Pre-Production",RM_PM_Quantity[Section],$C35,RM_PM_Quantity[RM Name],$E35),0)</f>
        <v>0</v>
      </c>
      <c r="AF35" s="84">
        <f>SUMIFS(RM_PM_Quantity[Quantity],RM_PM_Quantity[Date],AF$1,RM_PM_Quantity[Location],$D35,RM_PM_Quantity[Section],$C35,RM_PM_Quantity[RM Name],$E35)+IF($D35="MIND/Pre-Production",SUMIFS(RM_PM_Quantity[Quantity],RM_PM_Quantity[Date],AF$1,RM_PM_Quantity[Location],"MIDC/Pre-Production",RM_PM_Quantity[Section],$C35,RM_PM_Quantity[RM Name],$E35),0)</f>
        <v>0</v>
      </c>
      <c r="AG35" s="84">
        <f>SUMIFS(RM_PM_Quantity[Quantity],RM_PM_Quantity[Date],AG$1,RM_PM_Quantity[Location],$D35,RM_PM_Quantity[Section],$C35,RM_PM_Quantity[RM Name],$E35)+IF($D35="MIND/Pre-Production",SUMIFS(RM_PM_Quantity[Quantity],RM_PM_Quantity[Date],AG$1,RM_PM_Quantity[Location],"MIDC/Pre-Production",RM_PM_Quantity[Section],$C35,RM_PM_Quantity[RM Name],$E35),0)</f>
        <v>0</v>
      </c>
      <c r="AH35" s="84">
        <f>SUMIFS(RM_PM_Quantity[Quantity],RM_PM_Quantity[Date],AH$1,RM_PM_Quantity[Location],$D35,RM_PM_Quantity[Section],$C35,RM_PM_Quantity[RM Name],$E35)+IF($D35="MIND/Pre-Production",SUMIFS(RM_PM_Quantity[Quantity],RM_PM_Quantity[Date],AH$1,RM_PM_Quantity[Location],"MIDC/Pre-Production",RM_PM_Quantity[Section],$C35,RM_PM_Quantity[RM Name],$E35),0)</f>
        <v>0</v>
      </c>
      <c r="AI35" s="84">
        <f>SUMIFS(RM_PM_Quantity[Quantity],RM_PM_Quantity[Date],AI$1,RM_PM_Quantity[Location],$D35,RM_PM_Quantity[Section],$C35,RM_PM_Quantity[RM Name],$E35)+IF($D35="MIND/Pre-Production",SUMIFS(RM_PM_Quantity[Quantity],RM_PM_Quantity[Date],AI$1,RM_PM_Quantity[Location],"MIDC/Pre-Production",RM_PM_Quantity[Section],$C35,RM_PM_Quantity[RM Name],$E35),0)</f>
        <v>0</v>
      </c>
      <c r="AJ35" s="84">
        <f>SUMIFS(RM_PM_Quantity[Quantity],RM_PM_Quantity[Date],AJ$1,RM_PM_Quantity[Location],$D35,RM_PM_Quantity[Section],$C35,RM_PM_Quantity[RM Name],$E35)+IF($D35="MIND/Pre-Production",SUMIFS(RM_PM_Quantity[Quantity],RM_PM_Quantity[Date],AJ$1,RM_PM_Quantity[Location],"MIDC/Pre-Production",RM_PM_Quantity[Section],$C35,RM_PM_Quantity[RM Name],$E35),0)</f>
        <v>0</v>
      </c>
      <c r="AK35" s="84">
        <f>SUMIFS(RM_PM_Quantity[Quantity],RM_PM_Quantity[Date],AK$1,RM_PM_Quantity[Location],$D35,RM_PM_Quantity[Section],$C35,RM_PM_Quantity[RM Name],$E35)+IF($D35="MIND/Pre-Production",SUMIFS(RM_PM_Quantity[Quantity],RM_PM_Quantity[Date],AK$1,RM_PM_Quantity[Location],"MIDC/Pre-Production",RM_PM_Quantity[Section],$C35,RM_PM_Quantity[RM Name],$E35),0)</f>
        <v>0</v>
      </c>
      <c r="AL35" s="84">
        <f>SUMIFS(RM_PM_Quantity[Quantity],RM_PM_Quantity[Date],AL$1,RM_PM_Quantity[Location],$D35,RM_PM_Quantity[Section],$C35,RM_PM_Quantity[RM Name],$E35)+IF($D35="MIND/Pre-Production",SUMIFS(RM_PM_Quantity[Quantity],RM_PM_Quantity[Date],AL$1,RM_PM_Quantity[Location],"MIDC/Pre-Production",RM_PM_Quantity[Section],$C35,RM_PM_Quantity[RM Name],$E35),0)</f>
        <v>0</v>
      </c>
      <c r="AM35" s="84">
        <f>SUMIFS(RM_PM_Quantity[Quantity],RM_PM_Quantity[Date],AM$1,RM_PM_Quantity[Location],$D35,RM_PM_Quantity[Section],$C35,RM_PM_Quantity[RM Name],$E35)+IF($D35="MIND/Pre-Production",SUMIFS(RM_PM_Quantity[Quantity],RM_PM_Quantity[Date],AM$1,RM_PM_Quantity[Location],"MIDC/Pre-Production",RM_PM_Quantity[Section],$C35,RM_PM_Quantity[RM Name],$E35),0)</f>
        <v>0</v>
      </c>
      <c r="AN35" s="84">
        <f>SUMIFS(RM_PM_Quantity[Quantity],RM_PM_Quantity[Date],AN$1,RM_PM_Quantity[Location],$D35,RM_PM_Quantity[Section],$C35,RM_PM_Quantity[RM Name],$E35)+IF($D35="MIND/Pre-Production",SUMIFS(RM_PM_Quantity[Quantity],RM_PM_Quantity[Date],AN$1,RM_PM_Quantity[Location],"MIDC/Pre-Production",RM_PM_Quantity[Section],$C35,RM_PM_Quantity[RM Name],$E35),0)</f>
        <v>0</v>
      </c>
      <c r="AO35" s="84">
        <f>SUMIFS(RM_PM_Quantity[Quantity],RM_PM_Quantity[Date],AO$1,RM_PM_Quantity[Location],$D35,RM_PM_Quantity[Section],$C35,RM_PM_Quantity[RM Name],$E35)+IF($D35="MIND/Pre-Production",SUMIFS(RM_PM_Quantity[Quantity],RM_PM_Quantity[Date],AO$1,RM_PM_Quantity[Location],"MIDC/Pre-Production",RM_PM_Quantity[Section],$C35,RM_PM_Quantity[RM Name],$E35),0)</f>
        <v>0</v>
      </c>
      <c r="AP35" s="84">
        <f>SUMIFS(RM_PM_Quantity[Quantity],RM_PM_Quantity[Date],AP$1,RM_PM_Quantity[Location],$D35,RM_PM_Quantity[Section],$C35,RM_PM_Quantity[RM Name],$E35)+IF($D35="MIND/Pre-Production",SUMIFS(RM_PM_Quantity[Quantity],RM_PM_Quantity[Date],AP$1,RM_PM_Quantity[Location],"MIDC/Pre-Production",RM_PM_Quantity[Section],$C35,RM_PM_Quantity[RM Name],$E35),0)</f>
        <v>0</v>
      </c>
      <c r="AQ35" s="84">
        <f>SUMIFS(RM_PM_Quantity[Quantity],RM_PM_Quantity[Date],AQ$1,RM_PM_Quantity[Location],$D35,RM_PM_Quantity[Section],$C35,RM_PM_Quantity[RM Name],$E35)+IF($D35="MIND/Pre-Production",SUMIFS(RM_PM_Quantity[Quantity],RM_PM_Quantity[Date],AQ$1,RM_PM_Quantity[Location],"MIDC/Pre-Production",RM_PM_Quantity[Section],$C35,RM_PM_Quantity[RM Name],$E35),0)</f>
        <v>0</v>
      </c>
      <c r="AR35" s="84">
        <f>SUMIFS(RM_PM_Quantity[Quantity],RM_PM_Quantity[Date],AR$1,RM_PM_Quantity[Location],$D35,RM_PM_Quantity[Section],$C35,RM_PM_Quantity[RM Name],$E35)+IF($D35="MIND/Pre-Production",SUMIFS(RM_PM_Quantity[Quantity],RM_PM_Quantity[Date],AR$1,RM_PM_Quantity[Location],"MIDC/Pre-Production",RM_PM_Quantity[Section],$C35,RM_PM_Quantity[RM Name],$E35),0)</f>
        <v>0</v>
      </c>
      <c r="AS35" s="84">
        <f>SUMIFS(RM_PM_Quantity[Quantity],RM_PM_Quantity[Date],AS$1,RM_PM_Quantity[Location],$D35,RM_PM_Quantity[Section],$C35,RM_PM_Quantity[RM Name],$E35)+IF($D35="MIND/Pre-Production",SUMIFS(RM_PM_Quantity[Quantity],RM_PM_Quantity[Date],AS$1,RM_PM_Quantity[Location],"MIDC/Pre-Production",RM_PM_Quantity[Section],$C35,RM_PM_Quantity[RM Name],$E35),0)</f>
        <v>0</v>
      </c>
      <c r="AT35" s="84">
        <f>SUMIFS(RM_PM_Quantity[Quantity],RM_PM_Quantity[Date],AT$1,RM_PM_Quantity[Location],$D35,RM_PM_Quantity[Section],$C35,RM_PM_Quantity[RM Name],$E35)+IF($D35="MIND/Pre-Production",SUMIFS(RM_PM_Quantity[Quantity],RM_PM_Quantity[Date],AT$1,RM_PM_Quantity[Location],"MIDC/Pre-Production",RM_PM_Quantity[Section],$C35,RM_PM_Quantity[RM Name],$E35),0)</f>
        <v>0</v>
      </c>
      <c r="AU35" s="84">
        <f>SUMIFS(RM_PM_Quantity[Quantity],RM_PM_Quantity[Date],AU$1,RM_PM_Quantity[Location],$D35,RM_PM_Quantity[Section],$C35,RM_PM_Quantity[RM Name],$E35)+IF($D35="MIND/Pre-Production",SUMIFS(RM_PM_Quantity[Quantity],RM_PM_Quantity[Date],AU$1,RM_PM_Quantity[Location],"MIDC/Pre-Production",RM_PM_Quantity[Section],$C35,RM_PM_Quantity[RM Name],$E35),0)</f>
        <v>0</v>
      </c>
      <c r="AV35" s="84">
        <f>SUMIFS(RM_PM_Quantity[Quantity],RM_PM_Quantity[Date],AV$1,RM_PM_Quantity[Location],$D35,RM_PM_Quantity[Section],$C35,RM_PM_Quantity[RM Name],$E35)+IF($D35="MIND/Pre-Production",SUMIFS(RM_PM_Quantity[Quantity],RM_PM_Quantity[Date],AV$1,RM_PM_Quantity[Location],"MIDC/Pre-Production",RM_PM_Quantity[Section],$C35,RM_PM_Quantity[RM Name],$E35),0)</f>
        <v>0</v>
      </c>
      <c r="AW35" s="84">
        <f>SUMIFS(RM_PM_Quantity[Quantity],RM_PM_Quantity[Date],AW$1,RM_PM_Quantity[Location],$D35,RM_PM_Quantity[Section],$C35,RM_PM_Quantity[RM Name],$E35)+IF($D35="MIND/Pre-Production",SUMIFS(RM_PM_Quantity[Quantity],RM_PM_Quantity[Date],AW$1,RM_PM_Quantity[Location],"MIDC/Pre-Production",RM_PM_Quantity[Section],$C35,RM_PM_Quantity[RM Name],$E35),0)</f>
        <v>0</v>
      </c>
      <c r="AX35" s="84">
        <f>SUMIFS(RM_PM_Quantity[Quantity],RM_PM_Quantity[Date],AX$1,RM_PM_Quantity[Location],$D35,RM_PM_Quantity[Section],$C35,RM_PM_Quantity[RM Name],$E35)+IF($D35="MIND/Pre-Production",SUMIFS(RM_PM_Quantity[Quantity],RM_PM_Quantity[Date],AX$1,RM_PM_Quantity[Location],"MIDC/Pre-Production",RM_PM_Quantity[Section],$C35,RM_PM_Quantity[RM Name],$E35),0)</f>
        <v>0</v>
      </c>
      <c r="AY35" s="84">
        <f>SUMIFS(RM_PM_Quantity[Quantity],RM_PM_Quantity[Date],AY$1,RM_PM_Quantity[Location],$D35,RM_PM_Quantity[Section],$C35,RM_PM_Quantity[RM Name],$E35)+IF($D35="MIND/Pre-Production",SUMIFS(RM_PM_Quantity[Quantity],RM_PM_Quantity[Date],AY$1,RM_PM_Quantity[Location],"MIDC/Pre-Production",RM_PM_Quantity[Section],$C35,RM_PM_Quantity[RM Name],$E35),0)</f>
        <v>0</v>
      </c>
      <c r="AZ35" s="84">
        <f>SUMIFS(RM_PM_Quantity[Quantity],RM_PM_Quantity[Date],AZ$1,RM_PM_Quantity[Location],$D35,RM_PM_Quantity[Section],$C35,RM_PM_Quantity[RM Name],$E35)+IF($D35="MIND/Pre-Production",SUMIFS(RM_PM_Quantity[Quantity],RM_PM_Quantity[Date],AZ$1,RM_PM_Quantity[Location],"MIDC/Pre-Production",RM_PM_Quantity[Section],$C35,RM_PM_Quantity[RM Name],$E35),0)</f>
        <v>0</v>
      </c>
      <c r="BA35" s="84">
        <f>SUMIFS(RM_PM_Quantity[Quantity],RM_PM_Quantity[Date],BA$1,RM_PM_Quantity[Location],$D35,RM_PM_Quantity[Section],$C35,RM_PM_Quantity[RM Name],$E35)+IF($D35="MIND/Pre-Production",SUMIFS(RM_PM_Quantity[Quantity],RM_PM_Quantity[Date],BA$1,RM_PM_Quantity[Location],"MIDC/Pre-Production",RM_PM_Quantity[Section],$C35,RM_PM_Quantity[RM Name],$E35),0)</f>
        <v>0</v>
      </c>
      <c r="BB35" s="84">
        <f>SUMIFS(RM_PM_Quantity[Quantity],RM_PM_Quantity[Date],BB$1,RM_PM_Quantity[Location],$D35,RM_PM_Quantity[Section],$C35,RM_PM_Quantity[RM Name],$E35)+IF($D35="MIND/Pre-Production",SUMIFS(RM_PM_Quantity[Quantity],RM_PM_Quantity[Date],BB$1,RM_PM_Quantity[Location],"MIDC/Pre-Production",RM_PM_Quantity[Section],$C35,RM_PM_Quantity[RM Name],$E35),0)</f>
        <v>0</v>
      </c>
      <c r="BC35" s="84">
        <f>SUMIFS(RM_PM_Quantity[Quantity],RM_PM_Quantity[Date],BC$1,RM_PM_Quantity[Location],$D35,RM_PM_Quantity[Section],$C35,RM_PM_Quantity[RM Name],$E35)+IF($D35="MIND/Pre-Production",SUMIFS(RM_PM_Quantity[Quantity],RM_PM_Quantity[Date],BC$1,RM_PM_Quantity[Location],"MIDC/Pre-Production",RM_PM_Quantity[Section],$C35,RM_PM_Quantity[RM Name],$E35),0)</f>
        <v>0</v>
      </c>
      <c r="BD35" s="84">
        <f>SUMIFS(RM_PM_Quantity[Quantity],RM_PM_Quantity[Date],BD$1,RM_PM_Quantity[Location],$D35,RM_PM_Quantity[Section],$C35,RM_PM_Quantity[RM Name],$E35)+IF($D35="MIND/Pre-Production",SUMIFS(RM_PM_Quantity[Quantity],RM_PM_Quantity[Date],BD$1,RM_PM_Quantity[Location],"MIDC/Pre-Production",RM_PM_Quantity[Section],$C35,RM_PM_Quantity[RM Name],$E35),0)</f>
        <v>0</v>
      </c>
      <c r="BE35" s="84">
        <f>SUMIFS(RM_PM_Quantity[Quantity],RM_PM_Quantity[Date],BE$1,RM_PM_Quantity[Location],$D35,RM_PM_Quantity[Section],$C35,RM_PM_Quantity[RM Name],$E35)+IF($D35="MIND/Pre-Production",SUMIFS(RM_PM_Quantity[Quantity],RM_PM_Quantity[Date],BE$1,RM_PM_Quantity[Location],"MIDC/Pre-Production",RM_PM_Quantity[Section],$C35,RM_PM_Quantity[RM Name],$E35),0)</f>
        <v>0</v>
      </c>
      <c r="BF35" s="84">
        <f>SUMIFS(RM_PM_Quantity[Quantity],RM_PM_Quantity[Date],BF$1,RM_PM_Quantity[Location],$D35,RM_PM_Quantity[Section],$C35,RM_PM_Quantity[RM Name],$E35)+IF($D35="MIND/Pre-Production",SUMIFS(RM_PM_Quantity[Quantity],RM_PM_Quantity[Date],BF$1,RM_PM_Quantity[Location],"MIDC/Pre-Production",RM_PM_Quantity[Section],$C35,RM_PM_Quantity[RM Name],$E35),0)</f>
        <v>0</v>
      </c>
      <c r="BG35" s="84">
        <f>SUMIFS(RM_PM_Quantity[Quantity],RM_PM_Quantity[Date],BG$1,RM_PM_Quantity[Location],$D35,RM_PM_Quantity[Section],$C35,RM_PM_Quantity[RM Name],$E35)+IF($D35="MIND/Pre-Production",SUMIFS(RM_PM_Quantity[Quantity],RM_PM_Quantity[Date],BG$1,RM_PM_Quantity[Location],"MIDC/Pre-Production",RM_PM_Quantity[Section],$C35,RM_PM_Quantity[RM Name],$E35),0)</f>
        <v>0</v>
      </c>
      <c r="BH35" s="84">
        <f>SUMIFS(RM_PM_Quantity[Quantity],RM_PM_Quantity[Date],BH$1,RM_PM_Quantity[Location],$D35,RM_PM_Quantity[Section],$C35,RM_PM_Quantity[RM Name],$E35)+IF($D35="MIND/Pre-Production",SUMIFS(RM_PM_Quantity[Quantity],RM_PM_Quantity[Date],BH$1,RM_PM_Quantity[Location],"MIDC/Pre-Production",RM_PM_Quantity[Section],$C35,RM_PM_Quantity[RM Name],$E35),0)</f>
        <v>0</v>
      </c>
      <c r="BI35" s="84">
        <f>SUMIFS(RM_PM_Quantity[Quantity],RM_PM_Quantity[Date],BI$1,RM_PM_Quantity[Location],$D35,RM_PM_Quantity[Section],$C35,RM_PM_Quantity[RM Name],$E35)+IF($D35="MIND/Pre-Production",SUMIFS(RM_PM_Quantity[Quantity],RM_PM_Quantity[Date],BI$1,RM_PM_Quantity[Location],"MIDC/Pre-Production",RM_PM_Quantity[Section],$C35,RM_PM_Quantity[RM Name],$E35),0)</f>
        <v>0</v>
      </c>
      <c r="BJ35" s="84">
        <f>SUMIFS(RM_PM_Quantity[Quantity],RM_PM_Quantity[Date],BJ$1,RM_PM_Quantity[Location],$D35,RM_PM_Quantity[Section],$C35,RM_PM_Quantity[RM Name],$E35)+IF($D35="MIND/Pre-Production",SUMIFS(RM_PM_Quantity[Quantity],RM_PM_Quantity[Date],BJ$1,RM_PM_Quantity[Location],"MIDC/Pre-Production",RM_PM_Quantity[Section],$C35,RM_PM_Quantity[RM Name],$E35),0)</f>
        <v>0</v>
      </c>
      <c r="BK35" s="84">
        <f>SUMIFS(RM_PM_Quantity[Quantity],RM_PM_Quantity[Date],BK$1,RM_PM_Quantity[Location],$D35,RM_PM_Quantity[Section],$C35,RM_PM_Quantity[RM Name],$E35)+IF($D35="MIND/Pre-Production",SUMIFS(RM_PM_Quantity[Quantity],RM_PM_Quantity[Date],BK$1,RM_PM_Quantity[Location],"MIDC/Pre-Production",RM_PM_Quantity[Section],$C35,RM_PM_Quantity[RM Name],$E35),0)</f>
        <v>0</v>
      </c>
      <c r="BL35" s="84">
        <f>SUMIFS(RM_PM_Quantity[Quantity],RM_PM_Quantity[Date],BL$1,RM_PM_Quantity[Location],$D35,RM_PM_Quantity[Section],$C35,RM_PM_Quantity[RM Name],$E35)+IF($D35="MIND/Pre-Production",SUMIFS(RM_PM_Quantity[Quantity],RM_PM_Quantity[Date],BL$1,RM_PM_Quantity[Location],"MIDC/Pre-Production",RM_PM_Quantity[Section],$C35,RM_PM_Quantity[RM Name],$E35),0)</f>
        <v>0</v>
      </c>
      <c r="BM35" s="84">
        <f>SUMIFS(RM_PM_Quantity[Quantity],RM_PM_Quantity[Date],BM$1,RM_PM_Quantity[Location],$D35,RM_PM_Quantity[Section],$C35,RM_PM_Quantity[RM Name],$E35)+IF($D35="MIND/Pre-Production",SUMIFS(RM_PM_Quantity[Quantity],RM_PM_Quantity[Date],BM$1,RM_PM_Quantity[Location],"MIDC/Pre-Production",RM_PM_Quantity[Section],$C35,RM_PM_Quantity[RM Name],$E35),0)</f>
        <v>0</v>
      </c>
      <c r="BN35" s="84">
        <f>SUMIFS(RM_PM_Quantity[Quantity],RM_PM_Quantity[Date],BN$1,RM_PM_Quantity[Location],$D35,RM_PM_Quantity[Section],$C35,RM_PM_Quantity[RM Name],$E35)+IF($D35="MIND/Pre-Production",SUMIFS(RM_PM_Quantity[Quantity],RM_PM_Quantity[Date],BN$1,RM_PM_Quantity[Location],"MIDC/Pre-Production",RM_PM_Quantity[Section],$C35,RM_PM_Quantity[RM Name],$E35),0)</f>
        <v>0</v>
      </c>
      <c r="BO35" s="84">
        <f>SUMIFS(RM_PM_Quantity[Quantity],RM_PM_Quantity[Date],BO$1,RM_PM_Quantity[Location],$D35,RM_PM_Quantity[Section],$C35,RM_PM_Quantity[RM Name],$E35)+IF($D35="MIND/Pre-Production",SUMIFS(RM_PM_Quantity[Quantity],RM_PM_Quantity[Date],BO$1,RM_PM_Quantity[Location],"MIDC/Pre-Production",RM_PM_Quantity[Section],$C35,RM_PM_Quantity[RM Name],$E35),0)</f>
        <v>0</v>
      </c>
      <c r="BP35" s="84">
        <f>SUMIFS(RM_PM_Quantity[Quantity],RM_PM_Quantity[Date],BP$1,RM_PM_Quantity[Location],$D35,RM_PM_Quantity[Section],$C35,RM_PM_Quantity[RM Name],$E35)+IF($D35="MIND/Pre-Production",SUMIFS(RM_PM_Quantity[Quantity],RM_PM_Quantity[Date],BP$1,RM_PM_Quantity[Location],"MIDC/Pre-Production",RM_PM_Quantity[Section],$C35,RM_PM_Quantity[RM Name],$E35),0)</f>
        <v>0</v>
      </c>
      <c r="BQ35" s="84">
        <f>SUMIFS(RM_PM_Quantity[Quantity],RM_PM_Quantity[Date],BQ$1,RM_PM_Quantity[Location],$D35,RM_PM_Quantity[Section],$C35,RM_PM_Quantity[RM Name],$E35)+IF($D35="MIND/Pre-Production",SUMIFS(RM_PM_Quantity[Quantity],RM_PM_Quantity[Date],BQ$1,RM_PM_Quantity[Location],"MIDC/Pre-Production",RM_PM_Quantity[Section],$C35,RM_PM_Quantity[RM Name],$E35),0)</f>
        <v>0</v>
      </c>
      <c r="BR35" s="84">
        <f>SUMIFS(RM_PM_Quantity[Quantity],RM_PM_Quantity[Date],BR$1,RM_PM_Quantity[Location],$D35,RM_PM_Quantity[Section],$C35,RM_PM_Quantity[RM Name],$E35)+IF($D35="MIND/Pre-Production",SUMIFS(RM_PM_Quantity[Quantity],RM_PM_Quantity[Date],BR$1,RM_PM_Quantity[Location],"MIDC/Pre-Production",RM_PM_Quantity[Section],$C35,RM_PM_Quantity[RM Name],$E35),0)</f>
        <v>0</v>
      </c>
      <c r="BS35" s="84">
        <f>SUMIFS(RM_PM_Quantity[Quantity],RM_PM_Quantity[Date],BS$1,RM_PM_Quantity[Location],$D35,RM_PM_Quantity[Section],$C35,RM_PM_Quantity[RM Name],$E35)+IF($D35="MIND/Pre-Production",SUMIFS(RM_PM_Quantity[Quantity],RM_PM_Quantity[Date],BS$1,RM_PM_Quantity[Location],"MIDC/Pre-Production",RM_PM_Quantity[Section],$C35,RM_PM_Quantity[RM Name],$E35),0)</f>
        <v>0</v>
      </c>
      <c r="BT35" s="84">
        <f>SUMIFS(RM_PM_Quantity[ID],RM_PM_Quantity[Location],BT$1,RM_PM_Quantity[Section],$D35,RM_PM_Quantity[RM Name],$C35,RM_PM_Quantity[Quantity],$E35)+IF($D35="MIND/Pre-Production",SUMIFS(RM_PM_Quantity[ID],RM_PM_Quantity[Location],BT$1,RM_PM_Quantity[Section],"MIDC/Pre-Production",RM_PM_Quantity[RM Name],$C35,RM_PM_Quantity[Quantity],$E35),0)</f>
        <v>0</v>
      </c>
      <c r="BU35" s="84">
        <f>SUMIFS(RM_PM_Quantity[Name of Supervisor],RM_PM_Quantity[Section],BU$1,RM_PM_Quantity[RM Name],$D35,RM_PM_Quantity[Quantity],$C35,RM_PM_Quantity[ID],$E35)+IF($D35="MIND/Pre-Production",SUMIFS(RM_PM_Quantity[Name of Supervisor],RM_PM_Quantity[Section],BU$1,RM_PM_Quantity[RM Name],"MIDC/Pre-Production",RM_PM_Quantity[Quantity],$C35,RM_PM_Quantity[ID],$E35),0)</f>
        <v>0</v>
      </c>
      <c r="BV35" s="84">
        <f>SUMIFS(RM_PM_Quantity[Date],RM_PM_Quantity[RM Name],BV$1,RM_PM_Quantity[Quantity],$D35,RM_PM_Quantity[ID],$C35,RM_PM_Quantity[Name of Supervisor],$E35)+IF($D35="MIND/Pre-Production",SUMIFS(RM_PM_Quantity[Date],RM_PM_Quantity[RM Name],BV$1,RM_PM_Quantity[Quantity],"MIDC/Pre-Production",RM_PM_Quantity[ID],$C35,RM_PM_Quantity[Name of Supervisor],$E35),0)</f>
        <v>0</v>
      </c>
      <c r="BW35" s="84">
        <f>SUMIFS(RM_PM_Quantity[Location],RM_PM_Quantity[Quantity],BW$1,RM_PM_Quantity[ID],$D35,RM_PM_Quantity[Name of Supervisor],$C35,RM_PM_Quantity[Date],$E35)+IF($D35="MIND/Pre-Production",SUMIFS(RM_PM_Quantity[Location],RM_PM_Quantity[Quantity],BW$1,RM_PM_Quantity[ID],"MIDC/Pre-Production",RM_PM_Quantity[Name of Supervisor],$C35,RM_PM_Quantity[Date],$E35),0)</f>
        <v>0</v>
      </c>
      <c r="BX35" s="84">
        <f>SUMIFS(RM_PM_Quantity[Section],RM_PM_Quantity[ID],BX$1,RM_PM_Quantity[Name of Supervisor],$D35,RM_PM_Quantity[Date],$C35,RM_PM_Quantity[Location],$E35)+IF($D35="MIND/Pre-Production",SUMIFS(RM_PM_Quantity[Section],RM_PM_Quantity[ID],BX$1,RM_PM_Quantity[Name of Supervisor],"MIDC/Pre-Production",RM_PM_Quantity[Date],$C35,RM_PM_Quantity[Location],$E35),0)</f>
        <v>0</v>
      </c>
      <c r="BY35" s="84">
        <f>SUMIFS(RM_PM_Quantity[RM Name],RM_PM_Quantity[Name of Supervisor],BY$1,RM_PM_Quantity[Date],$D35,RM_PM_Quantity[Location],$C35,RM_PM_Quantity[Section],$E35)+IF($D35="MIND/Pre-Production",SUMIFS(RM_PM_Quantity[RM Name],RM_PM_Quantity[Name of Supervisor],BY$1,RM_PM_Quantity[Date],"MIDC/Pre-Production",RM_PM_Quantity[Location],$C35,RM_PM_Quantity[Section],$E35),0)</f>
        <v>0</v>
      </c>
    </row>
    <row r="36" spans="1:77" ht="45.75" customHeight="1">
      <c r="A36" s="79">
        <v>35</v>
      </c>
      <c r="B36" s="79" t="s">
        <v>122</v>
      </c>
      <c r="C36" s="80" t="s">
        <v>108</v>
      </c>
      <c r="D36" s="81" t="s">
        <v>68</v>
      </c>
      <c r="E36" s="82" t="s">
        <v>123</v>
      </c>
      <c r="F36" s="83">
        <f>IFERROR(_xlfn.XLOOKUP(B36,'[1]RM Tracker'!B:B,'[1]RM Tracker'!E:E),"0")</f>
        <v>1000</v>
      </c>
      <c r="G36" s="85">
        <f t="shared" si="2"/>
        <v>0</v>
      </c>
      <c r="H36" s="85">
        <f t="shared" si="3"/>
        <v>-1000</v>
      </c>
      <c r="I36" s="91">
        <f t="shared" si="4"/>
        <v>0</v>
      </c>
      <c r="J36" s="84">
        <f>SUMIFS(RM_PM_Quantity[Quantity],RM_PM_Quantity[Date],J$1,RM_PM_Quantity[Location],$D36,RM_PM_Quantity[Section],$C36,RM_PM_Quantity[RM Name],$E36)+IF($D36="MIND/Pre-Production",SUMIFS(RM_PM_Quantity[Quantity],RM_PM_Quantity[Date],J$1,RM_PM_Quantity[Location],"MIDC/Pre-Production",RM_PM_Quantity[Section],$C36,RM_PM_Quantity[RM Name],$E36),0)</f>
        <v>0</v>
      </c>
      <c r="K36" s="84">
        <f>SUMIFS(RM_PM_Quantity[Quantity],RM_PM_Quantity[Date],K$1,RM_PM_Quantity[Location],$D36,RM_PM_Quantity[Section],$C36,RM_PM_Quantity[RM Name],$E36)+IF($D36="MIND/Pre-Production",SUMIFS(RM_PM_Quantity[Quantity],RM_PM_Quantity[Date],K$1,RM_PM_Quantity[Location],"MIDC/Pre-Production",RM_PM_Quantity[Section],$C36,RM_PM_Quantity[RM Name],$E36),0)</f>
        <v>0</v>
      </c>
      <c r="L36" s="84">
        <f>SUMIFS(RM_PM_Quantity[Quantity],RM_PM_Quantity[Date],L$1,RM_PM_Quantity[Location],$D36,RM_PM_Quantity[Section],$C36,RM_PM_Quantity[RM Name],$E36)+IF($D36="MIND/Pre-Production",SUMIFS(RM_PM_Quantity[Quantity],RM_PM_Quantity[Date],L$1,RM_PM_Quantity[Location],"MIDC/Pre-Production",RM_PM_Quantity[Section],$C36,RM_PM_Quantity[RM Name],$E36),0)</f>
        <v>0</v>
      </c>
      <c r="M36" s="84">
        <f>SUMIFS(RM_PM_Quantity[Quantity],RM_PM_Quantity[Date],M$1,RM_PM_Quantity[Location],$D36,RM_PM_Quantity[Section],$C36,RM_PM_Quantity[RM Name],$E36)+IF($D36="MIND/Pre-Production",SUMIFS(RM_PM_Quantity[Quantity],RM_PM_Quantity[Date],M$1,RM_PM_Quantity[Location],"MIDC/Pre-Production",RM_PM_Quantity[Section],$C36,RM_PM_Quantity[RM Name],$E36),0)</f>
        <v>0</v>
      </c>
      <c r="N36" s="84">
        <f>SUMIFS(RM_PM_Quantity[Quantity],RM_PM_Quantity[Date],N$1,RM_PM_Quantity[Location],$D36,RM_PM_Quantity[Section],$C36,RM_PM_Quantity[RM Name],$E36)+IF($D36="MIND/Pre-Production",SUMIFS(RM_PM_Quantity[Quantity],RM_PM_Quantity[Date],N$1,RM_PM_Quantity[Location],"MIDC/Pre-Production",RM_PM_Quantity[Section],$C36,RM_PM_Quantity[RM Name],$E36),0)</f>
        <v>0</v>
      </c>
      <c r="O36" s="84">
        <f>SUMIFS(RM_PM_Quantity[Quantity],RM_PM_Quantity[Date],O$1,RM_PM_Quantity[Location],$D36,RM_PM_Quantity[Section],$C36,RM_PM_Quantity[RM Name],$E36)+IF($D36="MIND/Pre-Production",SUMIFS(RM_PM_Quantity[Quantity],RM_PM_Quantity[Date],O$1,RM_PM_Quantity[Location],"MIDC/Pre-Production",RM_PM_Quantity[Section],$C36,RM_PM_Quantity[RM Name],$E36),0)</f>
        <v>0</v>
      </c>
      <c r="P36" s="84">
        <f>SUMIFS(RM_PM_Quantity[Quantity],RM_PM_Quantity[Date],P$1,RM_PM_Quantity[Location],$D36,RM_PM_Quantity[Section],$C36,RM_PM_Quantity[RM Name],$E36)+IF($D36="MIND/Pre-Production",SUMIFS(RM_PM_Quantity[Quantity],RM_PM_Quantity[Date],P$1,RM_PM_Quantity[Location],"MIDC/Pre-Production",RM_PM_Quantity[Section],$C36,RM_PM_Quantity[RM Name],$E36),0)</f>
        <v>0</v>
      </c>
      <c r="Q36" s="84">
        <f>SUMIFS(RM_PM_Quantity[Quantity],RM_PM_Quantity[Date],Q$1,RM_PM_Quantity[Location],$D36,RM_PM_Quantity[Section],$C36,RM_PM_Quantity[RM Name],$E36)+IF($D36="MIND/Pre-Production",SUMIFS(RM_PM_Quantity[Quantity],RM_PM_Quantity[Date],Q$1,RM_PM_Quantity[Location],"MIDC/Pre-Production",RM_PM_Quantity[Section],$C36,RM_PM_Quantity[RM Name],$E36),0)</f>
        <v>0</v>
      </c>
      <c r="R36" s="84">
        <f>SUMIFS(RM_PM_Quantity[Quantity],RM_PM_Quantity[Date],R$1,RM_PM_Quantity[Location],$D36,RM_PM_Quantity[Section],$C36,RM_PM_Quantity[RM Name],$E36)+IF($D36="MIND/Pre-Production",SUMIFS(RM_PM_Quantity[Quantity],RM_PM_Quantity[Date],R$1,RM_PM_Quantity[Location],"MIDC/Pre-Production",RM_PM_Quantity[Section],$C36,RM_PM_Quantity[RM Name],$E36),0)</f>
        <v>0</v>
      </c>
      <c r="S36" s="84">
        <f>SUMIFS(RM_PM_Quantity[Quantity],RM_PM_Quantity[Date],S$1,RM_PM_Quantity[Location],$D36,RM_PM_Quantity[Section],$C36,RM_PM_Quantity[RM Name],$E36)+IF($D36="MIND/Pre-Production",SUMIFS(RM_PM_Quantity[Quantity],RM_PM_Quantity[Date],S$1,RM_PM_Quantity[Location],"MIDC/Pre-Production",RM_PM_Quantity[Section],$C36,RM_PM_Quantity[RM Name],$E36),0)</f>
        <v>0</v>
      </c>
      <c r="T36" s="84">
        <f>SUMIFS(RM_PM_Quantity[Quantity],RM_PM_Quantity[Date],T$1,RM_PM_Quantity[Location],$D36,RM_PM_Quantity[Section],$C36,RM_PM_Quantity[RM Name],$E36)+IF($D36="MIND/Pre-Production",SUMIFS(RM_PM_Quantity[Quantity],RM_PM_Quantity[Date],T$1,RM_PM_Quantity[Location],"MIDC/Pre-Production",RM_PM_Quantity[Section],$C36,RM_PM_Quantity[RM Name],$E36),0)</f>
        <v>0</v>
      </c>
      <c r="U36" s="84">
        <f>SUMIFS(RM_PM_Quantity[Quantity],RM_PM_Quantity[Date],U$1,RM_PM_Quantity[Location],$D36,RM_PM_Quantity[Section],$C36,RM_PM_Quantity[RM Name],$E36)+IF($D36="MIND/Pre-Production",SUMIFS(RM_PM_Quantity[Quantity],RM_PM_Quantity[Date],U$1,RM_PM_Quantity[Location],"MIDC/Pre-Production",RM_PM_Quantity[Section],$C36,RM_PM_Quantity[RM Name],$E36),0)</f>
        <v>0</v>
      </c>
      <c r="V36" s="84">
        <f>SUMIFS(RM_PM_Quantity[Quantity],RM_PM_Quantity[Date],V$1,RM_PM_Quantity[Location],$D36,RM_PM_Quantity[Section],$C36,RM_PM_Quantity[RM Name],$E36)+IF($D36="MIND/Pre-Production",SUMIFS(RM_PM_Quantity[Quantity],RM_PM_Quantity[Date],V$1,RM_PM_Quantity[Location],"MIDC/Pre-Production",RM_PM_Quantity[Section],$C36,RM_PM_Quantity[RM Name],$E36),0)</f>
        <v>0</v>
      </c>
      <c r="W36" s="84">
        <f>SUMIFS(RM_PM_Quantity[Quantity],RM_PM_Quantity[Date],W$1,RM_PM_Quantity[Location],$D36,RM_PM_Quantity[Section],$C36,RM_PM_Quantity[RM Name],$E36)+IF($D36="MIND/Pre-Production",SUMIFS(RM_PM_Quantity[Quantity],RM_PM_Quantity[Date],W$1,RM_PM_Quantity[Location],"MIDC/Pre-Production",RM_PM_Quantity[Section],$C36,RM_PM_Quantity[RM Name],$E36),0)</f>
        <v>0</v>
      </c>
      <c r="X36" s="84">
        <f>SUMIFS(RM_PM_Quantity[Quantity],RM_PM_Quantity[Date],X$1,RM_PM_Quantity[Location],$D36,RM_PM_Quantity[Section],$C36,RM_PM_Quantity[RM Name],$E36)+IF($D36="MIND/Pre-Production",SUMIFS(RM_PM_Quantity[Quantity],RM_PM_Quantity[Date],X$1,RM_PM_Quantity[Location],"MIDC/Pre-Production",RM_PM_Quantity[Section],$C36,RM_PM_Quantity[RM Name],$E36),0)</f>
        <v>0</v>
      </c>
      <c r="Y36" s="84">
        <f>SUMIFS(RM_PM_Quantity[Quantity],RM_PM_Quantity[Date],Y$1,RM_PM_Quantity[Location],$D36,RM_PM_Quantity[Section],$C36,RM_PM_Quantity[RM Name],$E36)+IF($D36="MIND/Pre-Production",SUMIFS(RM_PM_Quantity[Quantity],RM_PM_Quantity[Date],Y$1,RM_PM_Quantity[Location],"MIDC/Pre-Production",RM_PM_Quantity[Section],$C36,RM_PM_Quantity[RM Name],$E36),0)</f>
        <v>0</v>
      </c>
      <c r="Z36" s="84">
        <f>SUMIFS(RM_PM_Quantity[Quantity],RM_PM_Quantity[Date],Z$1,RM_PM_Quantity[Location],$D36,RM_PM_Quantity[Section],$C36,RM_PM_Quantity[RM Name],$E36)+IF($D36="MIND/Pre-Production",SUMIFS(RM_PM_Quantity[Quantity],RM_PM_Quantity[Date],Z$1,RM_PM_Quantity[Location],"MIDC/Pre-Production",RM_PM_Quantity[Section],$C36,RM_PM_Quantity[RM Name],$E36),0)</f>
        <v>0</v>
      </c>
      <c r="AA36" s="84">
        <f>SUMIFS(RM_PM_Quantity[Quantity],RM_PM_Quantity[Date],AA$1,RM_PM_Quantity[Location],$D36,RM_PM_Quantity[Section],$C36,RM_PM_Quantity[RM Name],$E36)+IF($D36="MIND/Pre-Production",SUMIFS(RM_PM_Quantity[Quantity],RM_PM_Quantity[Date],AA$1,RM_PM_Quantity[Location],"MIDC/Pre-Production",RM_PM_Quantity[Section],$C36,RM_PM_Quantity[RM Name],$E36),0)</f>
        <v>0</v>
      </c>
      <c r="AB36" s="84">
        <f>SUMIFS(RM_PM_Quantity[Quantity],RM_PM_Quantity[Date],AB$1,RM_PM_Quantity[Location],$D36,RM_PM_Quantity[Section],$C36,RM_PM_Quantity[RM Name],$E36)+IF($D36="MIND/Pre-Production",SUMIFS(RM_PM_Quantity[Quantity],RM_PM_Quantity[Date],AB$1,RM_PM_Quantity[Location],"MIDC/Pre-Production",RM_PM_Quantity[Section],$C36,RM_PM_Quantity[RM Name],$E36),0)</f>
        <v>0</v>
      </c>
      <c r="AC36" s="84">
        <f>SUMIFS(RM_PM_Quantity[Quantity],RM_PM_Quantity[Date],AC$1,RM_PM_Quantity[Location],$D36,RM_PM_Quantity[Section],$C36,RM_PM_Quantity[RM Name],$E36)+IF($D36="MIND/Pre-Production",SUMIFS(RM_PM_Quantity[Quantity],RM_PM_Quantity[Date],AC$1,RM_PM_Quantity[Location],"MIDC/Pre-Production",RM_PM_Quantity[Section],$C36,RM_PM_Quantity[RM Name],$E36),0)</f>
        <v>0</v>
      </c>
      <c r="AD36" s="84">
        <f>SUMIFS(RM_PM_Quantity[Quantity],RM_PM_Quantity[Date],AD$1,RM_PM_Quantity[Location],$D36,RM_PM_Quantity[Section],$C36,RM_PM_Quantity[RM Name],$E36)+IF($D36="MIND/Pre-Production",SUMIFS(RM_PM_Quantity[Quantity],RM_PM_Quantity[Date],AD$1,RM_PM_Quantity[Location],"MIDC/Pre-Production",RM_PM_Quantity[Section],$C36,RM_PM_Quantity[RM Name],$E36),0)</f>
        <v>0</v>
      </c>
      <c r="AE36" s="84">
        <f>SUMIFS(RM_PM_Quantity[Quantity],RM_PM_Quantity[Date],AE$1,RM_PM_Quantity[Location],$D36,RM_PM_Quantity[Section],$C36,RM_PM_Quantity[RM Name],$E36)+IF($D36="MIND/Pre-Production",SUMIFS(RM_PM_Quantity[Quantity],RM_PM_Quantity[Date],AE$1,RM_PM_Quantity[Location],"MIDC/Pre-Production",RM_PM_Quantity[Section],$C36,RM_PM_Quantity[RM Name],$E36),0)</f>
        <v>0</v>
      </c>
      <c r="AF36" s="84">
        <f>SUMIFS(RM_PM_Quantity[Quantity],RM_PM_Quantity[Date],AF$1,RM_PM_Quantity[Location],$D36,RM_PM_Quantity[Section],$C36,RM_PM_Quantity[RM Name],$E36)+IF($D36="MIND/Pre-Production",SUMIFS(RM_PM_Quantity[Quantity],RM_PM_Quantity[Date],AF$1,RM_PM_Quantity[Location],"MIDC/Pre-Production",RM_PM_Quantity[Section],$C36,RM_PM_Quantity[RM Name],$E36),0)</f>
        <v>0</v>
      </c>
      <c r="AG36" s="84">
        <f>SUMIFS(RM_PM_Quantity[Quantity],RM_PM_Quantity[Date],AG$1,RM_PM_Quantity[Location],$D36,RM_PM_Quantity[Section],$C36,RM_PM_Quantity[RM Name],$E36)+IF($D36="MIND/Pre-Production",SUMIFS(RM_PM_Quantity[Quantity],RM_PM_Quantity[Date],AG$1,RM_PM_Quantity[Location],"MIDC/Pre-Production",RM_PM_Quantity[Section],$C36,RM_PM_Quantity[RM Name],$E36),0)</f>
        <v>0</v>
      </c>
      <c r="AH36" s="84">
        <f>SUMIFS(RM_PM_Quantity[Quantity],RM_PM_Quantity[Date],AH$1,RM_PM_Quantity[Location],$D36,RM_PM_Quantity[Section],$C36,RM_PM_Quantity[RM Name],$E36)+IF($D36="MIND/Pre-Production",SUMIFS(RM_PM_Quantity[Quantity],RM_PM_Quantity[Date],AH$1,RM_PM_Quantity[Location],"MIDC/Pre-Production",RM_PM_Quantity[Section],$C36,RM_PM_Quantity[RM Name],$E36),0)</f>
        <v>0</v>
      </c>
      <c r="AI36" s="84">
        <f>SUMIFS(RM_PM_Quantity[Quantity],RM_PM_Quantity[Date],AI$1,RM_PM_Quantity[Location],$D36,RM_PM_Quantity[Section],$C36,RM_PM_Quantity[RM Name],$E36)+IF($D36="MIND/Pre-Production",SUMIFS(RM_PM_Quantity[Quantity],RM_PM_Quantity[Date],AI$1,RM_PM_Quantity[Location],"MIDC/Pre-Production",RM_PM_Quantity[Section],$C36,RM_PM_Quantity[RM Name],$E36),0)</f>
        <v>0</v>
      </c>
      <c r="AJ36" s="84">
        <f>SUMIFS(RM_PM_Quantity[Quantity],RM_PM_Quantity[Date],AJ$1,RM_PM_Quantity[Location],$D36,RM_PM_Quantity[Section],$C36,RM_PM_Quantity[RM Name],$E36)+IF($D36="MIND/Pre-Production",SUMIFS(RM_PM_Quantity[Quantity],RM_PM_Quantity[Date],AJ$1,RM_PM_Quantity[Location],"MIDC/Pre-Production",RM_PM_Quantity[Section],$C36,RM_PM_Quantity[RM Name],$E36),0)</f>
        <v>0</v>
      </c>
      <c r="AK36" s="84">
        <f>SUMIFS(RM_PM_Quantity[Quantity],RM_PM_Quantity[Date],AK$1,RM_PM_Quantity[Location],$D36,RM_PM_Quantity[Section],$C36,RM_PM_Quantity[RM Name],$E36)+IF($D36="MIND/Pre-Production",SUMIFS(RM_PM_Quantity[Quantity],RM_PM_Quantity[Date],AK$1,RM_PM_Quantity[Location],"MIDC/Pre-Production",RM_PM_Quantity[Section],$C36,RM_PM_Quantity[RM Name],$E36),0)</f>
        <v>0</v>
      </c>
      <c r="AL36" s="84">
        <f>SUMIFS(RM_PM_Quantity[Quantity],RM_PM_Quantity[Date],AL$1,RM_PM_Quantity[Location],$D36,RM_PM_Quantity[Section],$C36,RM_PM_Quantity[RM Name],$E36)+IF($D36="MIND/Pre-Production",SUMIFS(RM_PM_Quantity[Quantity],RM_PM_Quantity[Date],AL$1,RM_PM_Quantity[Location],"MIDC/Pre-Production",RM_PM_Quantity[Section],$C36,RM_PM_Quantity[RM Name],$E36),0)</f>
        <v>0</v>
      </c>
      <c r="AM36" s="84">
        <f>SUMIFS(RM_PM_Quantity[Quantity],RM_PM_Quantity[Date],AM$1,RM_PM_Quantity[Location],$D36,RM_PM_Quantity[Section],$C36,RM_PM_Quantity[RM Name],$E36)+IF($D36="MIND/Pre-Production",SUMIFS(RM_PM_Quantity[Quantity],RM_PM_Quantity[Date],AM$1,RM_PM_Quantity[Location],"MIDC/Pre-Production",RM_PM_Quantity[Section],$C36,RM_PM_Quantity[RM Name],$E36),0)</f>
        <v>0</v>
      </c>
      <c r="AN36" s="84">
        <f>SUMIFS(RM_PM_Quantity[Quantity],RM_PM_Quantity[Date],AN$1,RM_PM_Quantity[Location],$D36,RM_PM_Quantity[Section],$C36,RM_PM_Quantity[RM Name],$E36)+IF($D36="MIND/Pre-Production",SUMIFS(RM_PM_Quantity[Quantity],RM_PM_Quantity[Date],AN$1,RM_PM_Quantity[Location],"MIDC/Pre-Production",RM_PM_Quantity[Section],$C36,RM_PM_Quantity[RM Name],$E36),0)</f>
        <v>0</v>
      </c>
      <c r="AO36" s="84">
        <f>SUMIFS(RM_PM_Quantity[Quantity],RM_PM_Quantity[Date],AO$1,RM_PM_Quantity[Location],$D36,RM_PM_Quantity[Section],$C36,RM_PM_Quantity[RM Name],$E36)+IF($D36="MIND/Pre-Production",SUMIFS(RM_PM_Quantity[Quantity],RM_PM_Quantity[Date],AO$1,RM_PM_Quantity[Location],"MIDC/Pre-Production",RM_PM_Quantity[Section],$C36,RM_PM_Quantity[RM Name],$E36),0)</f>
        <v>0</v>
      </c>
      <c r="AP36" s="84">
        <f>SUMIFS(RM_PM_Quantity[Quantity],RM_PM_Quantity[Date],AP$1,RM_PM_Quantity[Location],$D36,RM_PM_Quantity[Section],$C36,RM_PM_Quantity[RM Name],$E36)+IF($D36="MIND/Pre-Production",SUMIFS(RM_PM_Quantity[Quantity],RM_PM_Quantity[Date],AP$1,RM_PM_Quantity[Location],"MIDC/Pre-Production",RM_PM_Quantity[Section],$C36,RM_PM_Quantity[RM Name],$E36),0)</f>
        <v>0</v>
      </c>
      <c r="AQ36" s="84">
        <f>SUMIFS(RM_PM_Quantity[Quantity],RM_PM_Quantity[Date],AQ$1,RM_PM_Quantity[Location],$D36,RM_PM_Quantity[Section],$C36,RM_PM_Quantity[RM Name],$E36)+IF($D36="MIND/Pre-Production",SUMIFS(RM_PM_Quantity[Quantity],RM_PM_Quantity[Date],AQ$1,RM_PM_Quantity[Location],"MIDC/Pre-Production",RM_PM_Quantity[Section],$C36,RM_PM_Quantity[RM Name],$E36),0)</f>
        <v>0</v>
      </c>
      <c r="AR36" s="84">
        <f>SUMIFS(RM_PM_Quantity[Quantity],RM_PM_Quantity[Date],AR$1,RM_PM_Quantity[Location],$D36,RM_PM_Quantity[Section],$C36,RM_PM_Quantity[RM Name],$E36)+IF($D36="MIND/Pre-Production",SUMIFS(RM_PM_Quantity[Quantity],RM_PM_Quantity[Date],AR$1,RM_PM_Quantity[Location],"MIDC/Pre-Production",RM_PM_Quantity[Section],$C36,RM_PM_Quantity[RM Name],$E36),0)</f>
        <v>0</v>
      </c>
      <c r="AS36" s="84">
        <f>SUMIFS(RM_PM_Quantity[Quantity],RM_PM_Quantity[Date],AS$1,RM_PM_Quantity[Location],$D36,RM_PM_Quantity[Section],$C36,RM_PM_Quantity[RM Name],$E36)+IF($D36="MIND/Pre-Production",SUMIFS(RM_PM_Quantity[Quantity],RM_PM_Quantity[Date],AS$1,RM_PM_Quantity[Location],"MIDC/Pre-Production",RM_PM_Quantity[Section],$C36,RM_PM_Quantity[RM Name],$E36),0)</f>
        <v>0</v>
      </c>
      <c r="AT36" s="84">
        <f>SUMIFS(RM_PM_Quantity[Quantity],RM_PM_Quantity[Date],AT$1,RM_PM_Quantity[Location],$D36,RM_PM_Quantity[Section],$C36,RM_PM_Quantity[RM Name],$E36)+IF($D36="MIND/Pre-Production",SUMIFS(RM_PM_Quantity[Quantity],RM_PM_Quantity[Date],AT$1,RM_PM_Quantity[Location],"MIDC/Pre-Production",RM_PM_Quantity[Section],$C36,RM_PM_Quantity[RM Name],$E36),0)</f>
        <v>0</v>
      </c>
      <c r="AU36" s="84">
        <f>SUMIFS(RM_PM_Quantity[Quantity],RM_PM_Quantity[Date],AU$1,RM_PM_Quantity[Location],$D36,RM_PM_Quantity[Section],$C36,RM_PM_Quantity[RM Name],$E36)+IF($D36="MIND/Pre-Production",SUMIFS(RM_PM_Quantity[Quantity],RM_PM_Quantity[Date],AU$1,RM_PM_Quantity[Location],"MIDC/Pre-Production",RM_PM_Quantity[Section],$C36,RM_PM_Quantity[RM Name],$E36),0)</f>
        <v>0</v>
      </c>
      <c r="AV36" s="84">
        <f>SUMIFS(RM_PM_Quantity[Quantity],RM_PM_Quantity[Date],AV$1,RM_PM_Quantity[Location],$D36,RM_PM_Quantity[Section],$C36,RM_PM_Quantity[RM Name],$E36)+IF($D36="MIND/Pre-Production",SUMIFS(RM_PM_Quantity[Quantity],RM_PM_Quantity[Date],AV$1,RM_PM_Quantity[Location],"MIDC/Pre-Production",RM_PM_Quantity[Section],$C36,RM_PM_Quantity[RM Name],$E36),0)</f>
        <v>0</v>
      </c>
      <c r="AW36" s="84">
        <f>SUMIFS(RM_PM_Quantity[Quantity],RM_PM_Quantity[Date],AW$1,RM_PM_Quantity[Location],$D36,RM_PM_Quantity[Section],$C36,RM_PM_Quantity[RM Name],$E36)+IF($D36="MIND/Pre-Production",SUMIFS(RM_PM_Quantity[Quantity],RM_PM_Quantity[Date],AW$1,RM_PM_Quantity[Location],"MIDC/Pre-Production",RM_PM_Quantity[Section],$C36,RM_PM_Quantity[RM Name],$E36),0)</f>
        <v>0</v>
      </c>
      <c r="AX36" s="84">
        <f>SUMIFS(RM_PM_Quantity[Quantity],RM_PM_Quantity[Date],AX$1,RM_PM_Quantity[Location],$D36,RM_PM_Quantity[Section],$C36,RM_PM_Quantity[RM Name],$E36)+IF($D36="MIND/Pre-Production",SUMIFS(RM_PM_Quantity[Quantity],RM_PM_Quantity[Date],AX$1,RM_PM_Quantity[Location],"MIDC/Pre-Production",RM_PM_Quantity[Section],$C36,RM_PM_Quantity[RM Name],$E36),0)</f>
        <v>0</v>
      </c>
      <c r="AY36" s="84">
        <f>SUMIFS(RM_PM_Quantity[Quantity],RM_PM_Quantity[Date],AY$1,RM_PM_Quantity[Location],$D36,RM_PM_Quantity[Section],$C36,RM_PM_Quantity[RM Name],$E36)+IF($D36="MIND/Pre-Production",SUMIFS(RM_PM_Quantity[Quantity],RM_PM_Quantity[Date],AY$1,RM_PM_Quantity[Location],"MIDC/Pre-Production",RM_PM_Quantity[Section],$C36,RM_PM_Quantity[RM Name],$E36),0)</f>
        <v>0</v>
      </c>
      <c r="AZ36" s="84">
        <f>SUMIFS(RM_PM_Quantity[Quantity],RM_PM_Quantity[Date],AZ$1,RM_PM_Quantity[Location],$D36,RM_PM_Quantity[Section],$C36,RM_PM_Quantity[RM Name],$E36)+IF($D36="MIND/Pre-Production",SUMIFS(RM_PM_Quantity[Quantity],RM_PM_Quantity[Date],AZ$1,RM_PM_Quantity[Location],"MIDC/Pre-Production",RM_PM_Quantity[Section],$C36,RM_PM_Quantity[RM Name],$E36),0)</f>
        <v>0</v>
      </c>
      <c r="BA36" s="84">
        <f>SUMIFS(RM_PM_Quantity[Quantity],RM_PM_Quantity[Date],BA$1,RM_PM_Quantity[Location],$D36,RM_PM_Quantity[Section],$C36,RM_PM_Quantity[RM Name],$E36)+IF($D36="MIND/Pre-Production",SUMIFS(RM_PM_Quantity[Quantity],RM_PM_Quantity[Date],BA$1,RM_PM_Quantity[Location],"MIDC/Pre-Production",RM_PM_Quantity[Section],$C36,RM_PM_Quantity[RM Name],$E36),0)</f>
        <v>0</v>
      </c>
      <c r="BB36" s="84">
        <f>SUMIFS(RM_PM_Quantity[Quantity],RM_PM_Quantity[Date],BB$1,RM_PM_Quantity[Location],$D36,RM_PM_Quantity[Section],$C36,RM_PM_Quantity[RM Name],$E36)+IF($D36="MIND/Pre-Production",SUMIFS(RM_PM_Quantity[Quantity],RM_PM_Quantity[Date],BB$1,RM_PM_Quantity[Location],"MIDC/Pre-Production",RM_PM_Quantity[Section],$C36,RM_PM_Quantity[RM Name],$E36),0)</f>
        <v>0</v>
      </c>
      <c r="BC36" s="84">
        <f>SUMIFS(RM_PM_Quantity[Quantity],RM_PM_Quantity[Date],BC$1,RM_PM_Quantity[Location],$D36,RM_PM_Quantity[Section],$C36,RM_PM_Quantity[RM Name],$E36)+IF($D36="MIND/Pre-Production",SUMIFS(RM_PM_Quantity[Quantity],RM_PM_Quantity[Date],BC$1,RM_PM_Quantity[Location],"MIDC/Pre-Production",RM_PM_Quantity[Section],$C36,RM_PM_Quantity[RM Name],$E36),0)</f>
        <v>0</v>
      </c>
      <c r="BD36" s="84">
        <f>SUMIFS(RM_PM_Quantity[Quantity],RM_PM_Quantity[Date],BD$1,RM_PM_Quantity[Location],$D36,RM_PM_Quantity[Section],$C36,RM_PM_Quantity[RM Name],$E36)+IF($D36="MIND/Pre-Production",SUMIFS(RM_PM_Quantity[Quantity],RM_PM_Quantity[Date],BD$1,RM_PM_Quantity[Location],"MIDC/Pre-Production",RM_PM_Quantity[Section],$C36,RM_PM_Quantity[RM Name],$E36),0)</f>
        <v>0</v>
      </c>
      <c r="BE36" s="84">
        <f>SUMIFS(RM_PM_Quantity[Quantity],RM_PM_Quantity[Date],BE$1,RM_PM_Quantity[Location],$D36,RM_PM_Quantity[Section],$C36,RM_PM_Quantity[RM Name],$E36)+IF($D36="MIND/Pre-Production",SUMIFS(RM_PM_Quantity[Quantity],RM_PM_Quantity[Date],BE$1,RM_PM_Quantity[Location],"MIDC/Pre-Production",RM_PM_Quantity[Section],$C36,RM_PM_Quantity[RM Name],$E36),0)</f>
        <v>0</v>
      </c>
      <c r="BF36" s="84">
        <f>SUMIFS(RM_PM_Quantity[Quantity],RM_PM_Quantity[Date],BF$1,RM_PM_Quantity[Location],$D36,RM_PM_Quantity[Section],$C36,RM_PM_Quantity[RM Name],$E36)+IF($D36="MIND/Pre-Production",SUMIFS(RM_PM_Quantity[Quantity],RM_PM_Quantity[Date],BF$1,RM_PM_Quantity[Location],"MIDC/Pre-Production",RM_PM_Quantity[Section],$C36,RM_PM_Quantity[RM Name],$E36),0)</f>
        <v>0</v>
      </c>
      <c r="BG36" s="84">
        <f>SUMIFS(RM_PM_Quantity[Quantity],RM_PM_Quantity[Date],BG$1,RM_PM_Quantity[Location],$D36,RM_PM_Quantity[Section],$C36,RM_PM_Quantity[RM Name],$E36)+IF($D36="MIND/Pre-Production",SUMIFS(RM_PM_Quantity[Quantity],RM_PM_Quantity[Date],BG$1,RM_PM_Quantity[Location],"MIDC/Pre-Production",RM_PM_Quantity[Section],$C36,RM_PM_Quantity[RM Name],$E36),0)</f>
        <v>0</v>
      </c>
      <c r="BH36" s="84">
        <f>SUMIFS(RM_PM_Quantity[Quantity],RM_PM_Quantity[Date],BH$1,RM_PM_Quantity[Location],$D36,RM_PM_Quantity[Section],$C36,RM_PM_Quantity[RM Name],$E36)+IF($D36="MIND/Pre-Production",SUMIFS(RM_PM_Quantity[Quantity],RM_PM_Quantity[Date],BH$1,RM_PM_Quantity[Location],"MIDC/Pre-Production",RM_PM_Quantity[Section],$C36,RM_PM_Quantity[RM Name],$E36),0)</f>
        <v>0</v>
      </c>
      <c r="BI36" s="84">
        <f>SUMIFS(RM_PM_Quantity[Quantity],RM_PM_Quantity[Date],BI$1,RM_PM_Quantity[Location],$D36,RM_PM_Quantity[Section],$C36,RM_PM_Quantity[RM Name],$E36)+IF($D36="MIND/Pre-Production",SUMIFS(RM_PM_Quantity[Quantity],RM_PM_Quantity[Date],BI$1,RM_PM_Quantity[Location],"MIDC/Pre-Production",RM_PM_Quantity[Section],$C36,RM_PM_Quantity[RM Name],$E36),0)</f>
        <v>0</v>
      </c>
      <c r="BJ36" s="84">
        <f>SUMIFS(RM_PM_Quantity[Quantity],RM_PM_Quantity[Date],BJ$1,RM_PM_Quantity[Location],$D36,RM_PM_Quantity[Section],$C36,RM_PM_Quantity[RM Name],$E36)+IF($D36="MIND/Pre-Production",SUMIFS(RM_PM_Quantity[Quantity],RM_PM_Quantity[Date],BJ$1,RM_PM_Quantity[Location],"MIDC/Pre-Production",RM_PM_Quantity[Section],$C36,RM_PM_Quantity[RM Name],$E36),0)</f>
        <v>0</v>
      </c>
      <c r="BK36" s="84">
        <f>SUMIFS(RM_PM_Quantity[Quantity],RM_PM_Quantity[Date],BK$1,RM_PM_Quantity[Location],$D36,RM_PM_Quantity[Section],$C36,RM_PM_Quantity[RM Name],$E36)+IF($D36="MIND/Pre-Production",SUMIFS(RM_PM_Quantity[Quantity],RM_PM_Quantity[Date],BK$1,RM_PM_Quantity[Location],"MIDC/Pre-Production",RM_PM_Quantity[Section],$C36,RM_PM_Quantity[RM Name],$E36),0)</f>
        <v>0</v>
      </c>
      <c r="BL36" s="84">
        <f>SUMIFS(RM_PM_Quantity[Quantity],RM_PM_Quantity[Date],BL$1,RM_PM_Quantity[Location],$D36,RM_PM_Quantity[Section],$C36,RM_PM_Quantity[RM Name],$E36)+IF($D36="MIND/Pre-Production",SUMIFS(RM_PM_Quantity[Quantity],RM_PM_Quantity[Date],BL$1,RM_PM_Quantity[Location],"MIDC/Pre-Production",RM_PM_Quantity[Section],$C36,RM_PM_Quantity[RM Name],$E36),0)</f>
        <v>0</v>
      </c>
      <c r="BM36" s="84">
        <f>SUMIFS(RM_PM_Quantity[Quantity],RM_PM_Quantity[Date],BM$1,RM_PM_Quantity[Location],$D36,RM_PM_Quantity[Section],$C36,RM_PM_Quantity[RM Name],$E36)+IF($D36="MIND/Pre-Production",SUMIFS(RM_PM_Quantity[Quantity],RM_PM_Quantity[Date],BM$1,RM_PM_Quantity[Location],"MIDC/Pre-Production",RM_PM_Quantity[Section],$C36,RM_PM_Quantity[RM Name],$E36),0)</f>
        <v>0</v>
      </c>
      <c r="BN36" s="84">
        <f>SUMIFS(RM_PM_Quantity[Quantity],RM_PM_Quantity[Date],BN$1,RM_PM_Quantity[Location],$D36,RM_PM_Quantity[Section],$C36,RM_PM_Quantity[RM Name],$E36)+IF($D36="MIND/Pre-Production",SUMIFS(RM_PM_Quantity[Quantity],RM_PM_Quantity[Date],BN$1,RM_PM_Quantity[Location],"MIDC/Pre-Production",RM_PM_Quantity[Section],$C36,RM_PM_Quantity[RM Name],$E36),0)</f>
        <v>0</v>
      </c>
      <c r="BO36" s="84">
        <f>SUMIFS(RM_PM_Quantity[Quantity],RM_PM_Quantity[Date],BO$1,RM_PM_Quantity[Location],$D36,RM_PM_Quantity[Section],$C36,RM_PM_Quantity[RM Name],$E36)+IF($D36="MIND/Pre-Production",SUMIFS(RM_PM_Quantity[Quantity],RM_PM_Quantity[Date],BO$1,RM_PM_Quantity[Location],"MIDC/Pre-Production",RM_PM_Quantity[Section],$C36,RM_PM_Quantity[RM Name],$E36),0)</f>
        <v>0</v>
      </c>
      <c r="BP36" s="84">
        <f>SUMIFS(RM_PM_Quantity[Quantity],RM_PM_Quantity[Date],BP$1,RM_PM_Quantity[Location],$D36,RM_PM_Quantity[Section],$C36,RM_PM_Quantity[RM Name],$E36)+IF($D36="MIND/Pre-Production",SUMIFS(RM_PM_Quantity[Quantity],RM_PM_Quantity[Date],BP$1,RM_PM_Quantity[Location],"MIDC/Pre-Production",RM_PM_Quantity[Section],$C36,RM_PM_Quantity[RM Name],$E36),0)</f>
        <v>0</v>
      </c>
      <c r="BQ36" s="84">
        <f>SUMIFS(RM_PM_Quantity[Quantity],RM_PM_Quantity[Date],BQ$1,RM_PM_Quantity[Location],$D36,RM_PM_Quantity[Section],$C36,RM_PM_Quantity[RM Name],$E36)+IF($D36="MIND/Pre-Production",SUMIFS(RM_PM_Quantity[Quantity],RM_PM_Quantity[Date],BQ$1,RM_PM_Quantity[Location],"MIDC/Pre-Production",RM_PM_Quantity[Section],$C36,RM_PM_Quantity[RM Name],$E36),0)</f>
        <v>0</v>
      </c>
      <c r="BR36" s="84">
        <f>SUMIFS(RM_PM_Quantity[Quantity],RM_PM_Quantity[Date],BR$1,RM_PM_Quantity[Location],$D36,RM_PM_Quantity[Section],$C36,RM_PM_Quantity[RM Name],$E36)+IF($D36="MIND/Pre-Production",SUMIFS(RM_PM_Quantity[Quantity],RM_PM_Quantity[Date],BR$1,RM_PM_Quantity[Location],"MIDC/Pre-Production",RM_PM_Quantity[Section],$C36,RM_PM_Quantity[RM Name],$E36),0)</f>
        <v>0</v>
      </c>
      <c r="BS36" s="84">
        <f>SUMIFS(RM_PM_Quantity[Quantity],RM_PM_Quantity[Date],BS$1,RM_PM_Quantity[Location],$D36,RM_PM_Quantity[Section],$C36,RM_PM_Quantity[RM Name],$E36)+IF($D36="MIND/Pre-Production",SUMIFS(RM_PM_Quantity[Quantity],RM_PM_Quantity[Date],BS$1,RM_PM_Quantity[Location],"MIDC/Pre-Production",RM_PM_Quantity[Section],$C36,RM_PM_Quantity[RM Name],$E36),0)</f>
        <v>0</v>
      </c>
      <c r="BT36" s="84">
        <f>SUMIFS(RM_PM_Quantity[ID],RM_PM_Quantity[Location],BT$1,RM_PM_Quantity[Section],$D36,RM_PM_Quantity[RM Name],$C36,RM_PM_Quantity[Quantity],$E36)+IF($D36="MIND/Pre-Production",SUMIFS(RM_PM_Quantity[ID],RM_PM_Quantity[Location],BT$1,RM_PM_Quantity[Section],"MIDC/Pre-Production",RM_PM_Quantity[RM Name],$C36,RM_PM_Quantity[Quantity],$E36),0)</f>
        <v>0</v>
      </c>
      <c r="BU36" s="84">
        <f>SUMIFS(RM_PM_Quantity[Name of Supervisor],RM_PM_Quantity[Section],BU$1,RM_PM_Quantity[RM Name],$D36,RM_PM_Quantity[Quantity],$C36,RM_PM_Quantity[ID],$E36)+IF($D36="MIND/Pre-Production",SUMIFS(RM_PM_Quantity[Name of Supervisor],RM_PM_Quantity[Section],BU$1,RM_PM_Quantity[RM Name],"MIDC/Pre-Production",RM_PM_Quantity[Quantity],$C36,RM_PM_Quantity[ID],$E36),0)</f>
        <v>0</v>
      </c>
      <c r="BV36" s="84">
        <f>SUMIFS(RM_PM_Quantity[Date],RM_PM_Quantity[RM Name],BV$1,RM_PM_Quantity[Quantity],$D36,RM_PM_Quantity[ID],$C36,RM_PM_Quantity[Name of Supervisor],$E36)+IF($D36="MIND/Pre-Production",SUMIFS(RM_PM_Quantity[Date],RM_PM_Quantity[RM Name],BV$1,RM_PM_Quantity[Quantity],"MIDC/Pre-Production",RM_PM_Quantity[ID],$C36,RM_PM_Quantity[Name of Supervisor],$E36),0)</f>
        <v>0</v>
      </c>
      <c r="BW36" s="84">
        <f>SUMIFS(RM_PM_Quantity[Location],RM_PM_Quantity[Quantity],BW$1,RM_PM_Quantity[ID],$D36,RM_PM_Quantity[Name of Supervisor],$C36,RM_PM_Quantity[Date],$E36)+IF($D36="MIND/Pre-Production",SUMIFS(RM_PM_Quantity[Location],RM_PM_Quantity[Quantity],BW$1,RM_PM_Quantity[ID],"MIDC/Pre-Production",RM_PM_Quantity[Name of Supervisor],$C36,RM_PM_Quantity[Date],$E36),0)</f>
        <v>0</v>
      </c>
      <c r="BX36" s="84">
        <f>SUMIFS(RM_PM_Quantity[Section],RM_PM_Quantity[ID],BX$1,RM_PM_Quantity[Name of Supervisor],$D36,RM_PM_Quantity[Date],$C36,RM_PM_Quantity[Location],$E36)+IF($D36="MIND/Pre-Production",SUMIFS(RM_PM_Quantity[Section],RM_PM_Quantity[ID],BX$1,RM_PM_Quantity[Name of Supervisor],"MIDC/Pre-Production",RM_PM_Quantity[Date],$C36,RM_PM_Quantity[Location],$E36),0)</f>
        <v>0</v>
      </c>
      <c r="BY36" s="84">
        <f>SUMIFS(RM_PM_Quantity[RM Name],RM_PM_Quantity[Name of Supervisor],BY$1,RM_PM_Quantity[Date],$D36,RM_PM_Quantity[Location],$C36,RM_PM_Quantity[Section],$E36)+IF($D36="MIND/Pre-Production",SUMIFS(RM_PM_Quantity[RM Name],RM_PM_Quantity[Name of Supervisor],BY$1,RM_PM_Quantity[Date],"MIDC/Pre-Production",RM_PM_Quantity[Location],$C36,RM_PM_Quantity[Section],$E36),0)</f>
        <v>0</v>
      </c>
    </row>
    <row r="37" spans="1:77" ht="45.75" customHeight="1">
      <c r="A37" s="79">
        <v>36</v>
      </c>
      <c r="B37" s="79" t="s">
        <v>124</v>
      </c>
      <c r="C37" s="88" t="s">
        <v>125</v>
      </c>
      <c r="D37" s="81" t="s">
        <v>54</v>
      </c>
      <c r="E37" s="82" t="s">
        <v>126</v>
      </c>
      <c r="F37" s="83">
        <f>IFERROR(_xlfn.XLOOKUP(B37,'[1]RM Tracker'!B:B,'[1]RM Tracker'!E:E),"0")</f>
        <v>24362.490000000009</v>
      </c>
      <c r="G37" s="85">
        <f t="shared" si="2"/>
        <v>9900</v>
      </c>
      <c r="H37" s="85">
        <f t="shared" si="3"/>
        <v>-14462.490000000009</v>
      </c>
      <c r="I37" s="91">
        <f t="shared" si="4"/>
        <v>0.4063624038429568</v>
      </c>
      <c r="J37" s="84">
        <f>SUMIFS(RM_PM_Quantity[Quantity],RM_PM_Quantity[Date],J$1,RM_PM_Quantity[Location],$D37,RM_PM_Quantity[Section],$C37,RM_PM_Quantity[RM Name],$E37)+IF($D37="MIND/Pre-Production",SUMIFS(RM_PM_Quantity[Quantity],RM_PM_Quantity[Date],J$1,RM_PM_Quantity[Location],"MIDC/Pre-Production",RM_PM_Quantity[Section],$C37,RM_PM_Quantity[RM Name],$E37),0)</f>
        <v>3150</v>
      </c>
      <c r="K37" s="84">
        <f>SUMIFS(RM_PM_Quantity[Quantity],RM_PM_Quantity[Date],K$1,RM_PM_Quantity[Location],$D37,RM_PM_Quantity[Section],$C37,RM_PM_Quantity[RM Name],$E37)+IF($D37="MIND/Pre-Production",SUMIFS(RM_PM_Quantity[Quantity],RM_PM_Quantity[Date],K$1,RM_PM_Quantity[Location],"MIDC/Pre-Production",RM_PM_Quantity[Section],$C37,RM_PM_Quantity[RM Name],$E37),0)</f>
        <v>0</v>
      </c>
      <c r="L37" s="84">
        <f>SUMIFS(RM_PM_Quantity[Quantity],RM_PM_Quantity[Date],L$1,RM_PM_Quantity[Location],$D37,RM_PM_Quantity[Section],$C37,RM_PM_Quantity[RM Name],$E37)+IF($D37="MIND/Pre-Production",SUMIFS(RM_PM_Quantity[Quantity],RM_PM_Quantity[Date],L$1,RM_PM_Quantity[Location],"MIDC/Pre-Production",RM_PM_Quantity[Section],$C37,RM_PM_Quantity[RM Name],$E37),0)</f>
        <v>0</v>
      </c>
      <c r="M37" s="84">
        <f>SUMIFS(RM_PM_Quantity[Quantity],RM_PM_Quantity[Date],M$1,RM_PM_Quantity[Location],$D37,RM_PM_Quantity[Section],$C37,RM_PM_Quantity[RM Name],$E37)+IF($D37="MIND/Pre-Production",SUMIFS(RM_PM_Quantity[Quantity],RM_PM_Quantity[Date],M$1,RM_PM_Quantity[Location],"MIDC/Pre-Production",RM_PM_Quantity[Section],$C37,RM_PM_Quantity[RM Name],$E37),0)</f>
        <v>0</v>
      </c>
      <c r="N37" s="84">
        <f>SUMIFS(RM_PM_Quantity[Quantity],RM_PM_Quantity[Date],N$1,RM_PM_Quantity[Location],$D37,RM_PM_Quantity[Section],$C37,RM_PM_Quantity[RM Name],$E37)+IF($D37="MIND/Pre-Production",SUMIFS(RM_PM_Quantity[Quantity],RM_PM_Quantity[Date],N$1,RM_PM_Quantity[Location],"MIDC/Pre-Production",RM_PM_Quantity[Section],$C37,RM_PM_Quantity[RM Name],$E37),0)</f>
        <v>0</v>
      </c>
      <c r="O37" s="84">
        <f>SUMIFS(RM_PM_Quantity[Quantity],RM_PM_Quantity[Date],O$1,RM_PM_Quantity[Location],$D37,RM_PM_Quantity[Section],$C37,RM_PM_Quantity[RM Name],$E37)+IF($D37="MIND/Pre-Production",SUMIFS(RM_PM_Quantity[Quantity],RM_PM_Quantity[Date],O$1,RM_PM_Quantity[Location],"MIDC/Pre-Production",RM_PM_Quantity[Section],$C37,RM_PM_Quantity[RM Name],$E37),0)</f>
        <v>0</v>
      </c>
      <c r="P37" s="84">
        <f>SUMIFS(RM_PM_Quantity[Quantity],RM_PM_Quantity[Date],P$1,RM_PM_Quantity[Location],$D37,RM_PM_Quantity[Section],$C37,RM_PM_Quantity[RM Name],$E37)+IF($D37="MIND/Pre-Production",SUMIFS(RM_PM_Quantity[Quantity],RM_PM_Quantity[Date],P$1,RM_PM_Quantity[Location],"MIDC/Pre-Production",RM_PM_Quantity[Section],$C37,RM_PM_Quantity[RM Name],$E37),0)</f>
        <v>0</v>
      </c>
      <c r="Q37" s="84">
        <f>SUMIFS(RM_PM_Quantity[Quantity],RM_PM_Quantity[Date],Q$1,RM_PM_Quantity[Location],$D37,RM_PM_Quantity[Section],$C37,RM_PM_Quantity[RM Name],$E37)+IF($D37="MIND/Pre-Production",SUMIFS(RM_PM_Quantity[Quantity],RM_PM_Quantity[Date],Q$1,RM_PM_Quantity[Location],"MIDC/Pre-Production",RM_PM_Quantity[Section],$C37,RM_PM_Quantity[RM Name],$E37),0)</f>
        <v>0</v>
      </c>
      <c r="R37" s="84">
        <f>SUMIFS(RM_PM_Quantity[Quantity],RM_PM_Quantity[Date],R$1,RM_PM_Quantity[Location],$D37,RM_PM_Quantity[Section],$C37,RM_PM_Quantity[RM Name],$E37)+IF($D37="MIND/Pre-Production",SUMIFS(RM_PM_Quantity[Quantity],RM_PM_Quantity[Date],R$1,RM_PM_Quantity[Location],"MIDC/Pre-Production",RM_PM_Quantity[Section],$C37,RM_PM_Quantity[RM Name],$E37),0)</f>
        <v>0</v>
      </c>
      <c r="S37" s="84">
        <f>SUMIFS(RM_PM_Quantity[Quantity],RM_PM_Quantity[Date],S$1,RM_PM_Quantity[Location],$D37,RM_PM_Quantity[Section],$C37,RM_PM_Quantity[RM Name],$E37)+IF($D37="MIND/Pre-Production",SUMIFS(RM_PM_Quantity[Quantity],RM_PM_Quantity[Date],S$1,RM_PM_Quantity[Location],"MIDC/Pre-Production",RM_PM_Quantity[Section],$C37,RM_PM_Quantity[RM Name],$E37),0)</f>
        <v>0</v>
      </c>
      <c r="T37" s="84">
        <f>SUMIFS(RM_PM_Quantity[Quantity],RM_PM_Quantity[Date],T$1,RM_PM_Quantity[Location],$D37,RM_PM_Quantity[Section],$C37,RM_PM_Quantity[RM Name],$E37)+IF($D37="MIND/Pre-Production",SUMIFS(RM_PM_Quantity[Quantity],RM_PM_Quantity[Date],T$1,RM_PM_Quantity[Location],"MIDC/Pre-Production",RM_PM_Quantity[Section],$C37,RM_PM_Quantity[RM Name],$E37),0)</f>
        <v>0</v>
      </c>
      <c r="U37" s="84">
        <f>SUMIFS(RM_PM_Quantity[Quantity],RM_PM_Quantity[Date],U$1,RM_PM_Quantity[Location],$D37,RM_PM_Quantity[Section],$C37,RM_PM_Quantity[RM Name],$E37)+IF($D37="MIND/Pre-Production",SUMIFS(RM_PM_Quantity[Quantity],RM_PM_Quantity[Date],U$1,RM_PM_Quantity[Location],"MIDC/Pre-Production",RM_PM_Quantity[Section],$C37,RM_PM_Quantity[RM Name],$E37),0)</f>
        <v>0</v>
      </c>
      <c r="V37" s="84">
        <f>SUMIFS(RM_PM_Quantity[Quantity],RM_PM_Quantity[Date],V$1,RM_PM_Quantity[Location],$D37,RM_PM_Quantity[Section],$C37,RM_PM_Quantity[RM Name],$E37)+IF($D37="MIND/Pre-Production",SUMIFS(RM_PM_Quantity[Quantity],RM_PM_Quantity[Date],V$1,RM_PM_Quantity[Location],"MIDC/Pre-Production",RM_PM_Quantity[Section],$C37,RM_PM_Quantity[RM Name],$E37),0)</f>
        <v>0</v>
      </c>
      <c r="W37" s="84">
        <f>SUMIFS(RM_PM_Quantity[Quantity],RM_PM_Quantity[Date],W$1,RM_PM_Quantity[Location],$D37,RM_PM_Quantity[Section],$C37,RM_PM_Quantity[RM Name],$E37)+IF($D37="MIND/Pre-Production",SUMIFS(RM_PM_Quantity[Quantity],RM_PM_Quantity[Date],W$1,RM_PM_Quantity[Location],"MIDC/Pre-Production",RM_PM_Quantity[Section],$C37,RM_PM_Quantity[RM Name],$E37),0)</f>
        <v>0</v>
      </c>
      <c r="X37" s="84">
        <f>SUMIFS(RM_PM_Quantity[Quantity],RM_PM_Quantity[Date],X$1,RM_PM_Quantity[Location],$D37,RM_PM_Quantity[Section],$C37,RM_PM_Quantity[RM Name],$E37)+IF($D37="MIND/Pre-Production",SUMIFS(RM_PM_Quantity[Quantity],RM_PM_Quantity[Date],X$1,RM_PM_Quantity[Location],"MIDC/Pre-Production",RM_PM_Quantity[Section],$C37,RM_PM_Quantity[RM Name],$E37),0)</f>
        <v>0</v>
      </c>
      <c r="Y37" s="84">
        <f>SUMIFS(RM_PM_Quantity[Quantity],RM_PM_Quantity[Date],Y$1,RM_PM_Quantity[Location],$D37,RM_PM_Quantity[Section],$C37,RM_PM_Quantity[RM Name],$E37)+IF($D37="MIND/Pre-Production",SUMIFS(RM_PM_Quantity[Quantity],RM_PM_Quantity[Date],Y$1,RM_PM_Quantity[Location],"MIDC/Pre-Production",RM_PM_Quantity[Section],$C37,RM_PM_Quantity[RM Name],$E37),0)</f>
        <v>4380</v>
      </c>
      <c r="Z37" s="84">
        <f>SUMIFS(RM_PM_Quantity[Quantity],RM_PM_Quantity[Date],Z$1,RM_PM_Quantity[Location],$D37,RM_PM_Quantity[Section],$C37,RM_PM_Quantity[RM Name],$E37)+IF($D37="MIND/Pre-Production",SUMIFS(RM_PM_Quantity[Quantity],RM_PM_Quantity[Date],Z$1,RM_PM_Quantity[Location],"MIDC/Pre-Production",RM_PM_Quantity[Section],$C37,RM_PM_Quantity[RM Name],$E37),0)</f>
        <v>0</v>
      </c>
      <c r="AA37" s="84">
        <f>SUMIFS(RM_PM_Quantity[Quantity],RM_PM_Quantity[Date],AA$1,RM_PM_Quantity[Location],$D37,RM_PM_Quantity[Section],$C37,RM_PM_Quantity[RM Name],$E37)+IF($D37="MIND/Pre-Production",SUMIFS(RM_PM_Quantity[Quantity],RM_PM_Quantity[Date],AA$1,RM_PM_Quantity[Location],"MIDC/Pre-Production",RM_PM_Quantity[Section],$C37,RM_PM_Quantity[RM Name],$E37),0)</f>
        <v>0</v>
      </c>
      <c r="AB37" s="84">
        <f>SUMIFS(RM_PM_Quantity[Quantity],RM_PM_Quantity[Date],AB$1,RM_PM_Quantity[Location],$D37,RM_PM_Quantity[Section],$C37,RM_PM_Quantity[RM Name],$E37)+IF($D37="MIND/Pre-Production",SUMIFS(RM_PM_Quantity[Quantity],RM_PM_Quantity[Date],AB$1,RM_PM_Quantity[Location],"MIDC/Pre-Production",RM_PM_Quantity[Section],$C37,RM_PM_Quantity[RM Name],$E37),0)</f>
        <v>0</v>
      </c>
      <c r="AC37" s="84">
        <f>SUMIFS(RM_PM_Quantity[Quantity],RM_PM_Quantity[Date],AC$1,RM_PM_Quantity[Location],$D37,RM_PM_Quantity[Section],$C37,RM_PM_Quantity[RM Name],$E37)+IF($D37="MIND/Pre-Production",SUMIFS(RM_PM_Quantity[Quantity],RM_PM_Quantity[Date],AC$1,RM_PM_Quantity[Location],"MIDC/Pre-Production",RM_PM_Quantity[Section],$C37,RM_PM_Quantity[RM Name],$E37),0)</f>
        <v>0</v>
      </c>
      <c r="AD37" s="84">
        <f>SUMIFS(RM_PM_Quantity[Quantity],RM_PM_Quantity[Date],AD$1,RM_PM_Quantity[Location],$D37,RM_PM_Quantity[Section],$C37,RM_PM_Quantity[RM Name],$E37)+IF($D37="MIND/Pre-Production",SUMIFS(RM_PM_Quantity[Quantity],RM_PM_Quantity[Date],AD$1,RM_PM_Quantity[Location],"MIDC/Pre-Production",RM_PM_Quantity[Section],$C37,RM_PM_Quantity[RM Name],$E37),0)</f>
        <v>0</v>
      </c>
      <c r="AE37" s="84">
        <f>SUMIFS(RM_PM_Quantity[Quantity],RM_PM_Quantity[Date],AE$1,RM_PM_Quantity[Location],$D37,RM_PM_Quantity[Section],$C37,RM_PM_Quantity[RM Name],$E37)+IF($D37="MIND/Pre-Production",SUMIFS(RM_PM_Quantity[Quantity],RM_PM_Quantity[Date],AE$1,RM_PM_Quantity[Location],"MIDC/Pre-Production",RM_PM_Quantity[Section],$C37,RM_PM_Quantity[RM Name],$E37),0)</f>
        <v>0</v>
      </c>
      <c r="AF37" s="84">
        <f>SUMIFS(RM_PM_Quantity[Quantity],RM_PM_Quantity[Date],AF$1,RM_PM_Quantity[Location],$D37,RM_PM_Quantity[Section],$C37,RM_PM_Quantity[RM Name],$E37)+IF($D37="MIND/Pre-Production",SUMIFS(RM_PM_Quantity[Quantity],RM_PM_Quantity[Date],AF$1,RM_PM_Quantity[Location],"MIDC/Pre-Production",RM_PM_Quantity[Section],$C37,RM_PM_Quantity[RM Name],$E37),0)</f>
        <v>3000</v>
      </c>
      <c r="AG37" s="84">
        <f>SUMIFS(RM_PM_Quantity[Quantity],RM_PM_Quantity[Date],AG$1,RM_PM_Quantity[Location],$D37,RM_PM_Quantity[Section],$C37,RM_PM_Quantity[RM Name],$E37)+IF($D37="MIND/Pre-Production",SUMIFS(RM_PM_Quantity[Quantity],RM_PM_Quantity[Date],AG$1,RM_PM_Quantity[Location],"MIDC/Pre-Production",RM_PM_Quantity[Section],$C37,RM_PM_Quantity[RM Name],$E37),0)</f>
        <v>0</v>
      </c>
      <c r="AH37" s="84">
        <f>SUMIFS(RM_PM_Quantity[Quantity],RM_PM_Quantity[Date],AH$1,RM_PM_Quantity[Location],$D37,RM_PM_Quantity[Section],$C37,RM_PM_Quantity[RM Name],$E37)+IF($D37="MIND/Pre-Production",SUMIFS(RM_PM_Quantity[Quantity],RM_PM_Quantity[Date],AH$1,RM_PM_Quantity[Location],"MIDC/Pre-Production",RM_PM_Quantity[Section],$C37,RM_PM_Quantity[RM Name],$E37),0)</f>
        <v>0</v>
      </c>
      <c r="AI37" s="84">
        <f>SUMIFS(RM_PM_Quantity[Quantity],RM_PM_Quantity[Date],AI$1,RM_PM_Quantity[Location],$D37,RM_PM_Quantity[Section],$C37,RM_PM_Quantity[RM Name],$E37)+IF($D37="MIND/Pre-Production",SUMIFS(RM_PM_Quantity[Quantity],RM_PM_Quantity[Date],AI$1,RM_PM_Quantity[Location],"MIDC/Pre-Production",RM_PM_Quantity[Section],$C37,RM_PM_Quantity[RM Name],$E37),0)</f>
        <v>0</v>
      </c>
      <c r="AJ37" s="84">
        <f>SUMIFS(RM_PM_Quantity[Quantity],RM_PM_Quantity[Date],AJ$1,RM_PM_Quantity[Location],$D37,RM_PM_Quantity[Section],$C37,RM_PM_Quantity[RM Name],$E37)+IF($D37="MIND/Pre-Production",SUMIFS(RM_PM_Quantity[Quantity],RM_PM_Quantity[Date],AJ$1,RM_PM_Quantity[Location],"MIDC/Pre-Production",RM_PM_Quantity[Section],$C37,RM_PM_Quantity[RM Name],$E37),0)</f>
        <v>5000</v>
      </c>
      <c r="AK37" s="84">
        <f>SUMIFS(RM_PM_Quantity[Quantity],RM_PM_Quantity[Date],AK$1,RM_PM_Quantity[Location],$D37,RM_PM_Quantity[Section],$C37,RM_PM_Quantity[RM Name],$E37)+IF($D37="MIND/Pre-Production",SUMIFS(RM_PM_Quantity[Quantity],RM_PM_Quantity[Date],AK$1,RM_PM_Quantity[Location],"MIDC/Pre-Production",RM_PM_Quantity[Section],$C37,RM_PM_Quantity[RM Name],$E37),0)</f>
        <v>0</v>
      </c>
      <c r="AL37" s="84">
        <f>SUMIFS(RM_PM_Quantity[Quantity],RM_PM_Quantity[Date],AL$1,RM_PM_Quantity[Location],$D37,RM_PM_Quantity[Section],$C37,RM_PM_Quantity[RM Name],$E37)+IF($D37="MIND/Pre-Production",SUMIFS(RM_PM_Quantity[Quantity],RM_PM_Quantity[Date],AL$1,RM_PM_Quantity[Location],"MIDC/Pre-Production",RM_PM_Quantity[Section],$C37,RM_PM_Quantity[RM Name],$E37),0)</f>
        <v>2000</v>
      </c>
      <c r="AM37" s="84">
        <f>SUMIFS(RM_PM_Quantity[Quantity],RM_PM_Quantity[Date],AM$1,RM_PM_Quantity[Location],$D37,RM_PM_Quantity[Section],$C37,RM_PM_Quantity[RM Name],$E37)+IF($D37="MIND/Pre-Production",SUMIFS(RM_PM_Quantity[Quantity],RM_PM_Quantity[Date],AM$1,RM_PM_Quantity[Location],"MIDC/Pre-Production",RM_PM_Quantity[Section],$C37,RM_PM_Quantity[RM Name],$E37),0)</f>
        <v>5000</v>
      </c>
      <c r="AN37" s="84">
        <f>SUMIFS(RM_PM_Quantity[Quantity],RM_PM_Quantity[Date],AN$1,RM_PM_Quantity[Location],$D37,RM_PM_Quantity[Section],$C37,RM_PM_Quantity[RM Name],$E37)+IF($D37="MIND/Pre-Production",SUMIFS(RM_PM_Quantity[Quantity],RM_PM_Quantity[Date],AN$1,RM_PM_Quantity[Location],"MIDC/Pre-Production",RM_PM_Quantity[Section],$C37,RM_PM_Quantity[RM Name],$E37),0)</f>
        <v>3000</v>
      </c>
      <c r="AO37" s="84">
        <f>SUMIFS(RM_PM_Quantity[Quantity],RM_PM_Quantity[Date],AO$1,RM_PM_Quantity[Location],$D37,RM_PM_Quantity[Section],$C37,RM_PM_Quantity[RM Name],$E37)+IF($D37="MIND/Pre-Production",SUMIFS(RM_PM_Quantity[Quantity],RM_PM_Quantity[Date],AO$1,RM_PM_Quantity[Location],"MIDC/Pre-Production",RM_PM_Quantity[Section],$C37,RM_PM_Quantity[RM Name],$E37),0)</f>
        <v>0</v>
      </c>
      <c r="AP37" s="84">
        <f>SUMIFS(RM_PM_Quantity[Quantity],RM_PM_Quantity[Date],AP$1,RM_PM_Quantity[Location],$D37,RM_PM_Quantity[Section],$C37,RM_PM_Quantity[RM Name],$E37)+IF($D37="MIND/Pre-Production",SUMIFS(RM_PM_Quantity[Quantity],RM_PM_Quantity[Date],AP$1,RM_PM_Quantity[Location],"MIDC/Pre-Production",RM_PM_Quantity[Section],$C37,RM_PM_Quantity[RM Name],$E37),0)</f>
        <v>0</v>
      </c>
      <c r="AQ37" s="84">
        <f>SUMIFS(RM_PM_Quantity[Quantity],RM_PM_Quantity[Date],AQ$1,RM_PM_Quantity[Location],$D37,RM_PM_Quantity[Section],$C37,RM_PM_Quantity[RM Name],$E37)+IF($D37="MIND/Pre-Production",SUMIFS(RM_PM_Quantity[Quantity],RM_PM_Quantity[Date],AQ$1,RM_PM_Quantity[Location],"MIDC/Pre-Production",RM_PM_Quantity[Section],$C37,RM_PM_Quantity[RM Name],$E37),0)</f>
        <v>0</v>
      </c>
      <c r="AR37" s="84">
        <f>SUMIFS(RM_PM_Quantity[Quantity],RM_PM_Quantity[Date],AR$1,RM_PM_Quantity[Location],$D37,RM_PM_Quantity[Section],$C37,RM_PM_Quantity[RM Name],$E37)+IF($D37="MIND/Pre-Production",SUMIFS(RM_PM_Quantity[Quantity],RM_PM_Quantity[Date],AR$1,RM_PM_Quantity[Location],"MIDC/Pre-Production",RM_PM_Quantity[Section],$C37,RM_PM_Quantity[RM Name],$E37),0)</f>
        <v>0</v>
      </c>
      <c r="AS37" s="84">
        <f>SUMIFS(RM_PM_Quantity[Quantity],RM_PM_Quantity[Date],AS$1,RM_PM_Quantity[Location],$D37,RM_PM_Quantity[Section],$C37,RM_PM_Quantity[RM Name],$E37)+IF($D37="MIND/Pre-Production",SUMIFS(RM_PM_Quantity[Quantity],RM_PM_Quantity[Date],AS$1,RM_PM_Quantity[Location],"MIDC/Pre-Production",RM_PM_Quantity[Section],$C37,RM_PM_Quantity[RM Name],$E37),0)</f>
        <v>5850</v>
      </c>
      <c r="AT37" s="84">
        <f>SUMIFS(RM_PM_Quantity[Quantity],RM_PM_Quantity[Date],AT$1,RM_PM_Quantity[Location],$D37,RM_PM_Quantity[Section],$C37,RM_PM_Quantity[RM Name],$E37)+IF($D37="MIND/Pre-Production",SUMIFS(RM_PM_Quantity[Quantity],RM_PM_Quantity[Date],AT$1,RM_PM_Quantity[Location],"MIDC/Pre-Production",RM_PM_Quantity[Section],$C37,RM_PM_Quantity[RM Name],$E37),0)</f>
        <v>0</v>
      </c>
      <c r="AU37" s="84">
        <f>SUMIFS(RM_PM_Quantity[Quantity],RM_PM_Quantity[Date],AU$1,RM_PM_Quantity[Location],$D37,RM_PM_Quantity[Section],$C37,RM_PM_Quantity[RM Name],$E37)+IF($D37="MIND/Pre-Production",SUMIFS(RM_PM_Quantity[Quantity],RM_PM_Quantity[Date],AU$1,RM_PM_Quantity[Location],"MIDC/Pre-Production",RM_PM_Quantity[Section],$C37,RM_PM_Quantity[RM Name],$E37),0)</f>
        <v>0</v>
      </c>
      <c r="AV37" s="84">
        <f>SUMIFS(RM_PM_Quantity[Quantity],RM_PM_Quantity[Date],AV$1,RM_PM_Quantity[Location],$D37,RM_PM_Quantity[Section],$C37,RM_PM_Quantity[RM Name],$E37)+IF($D37="MIND/Pre-Production",SUMIFS(RM_PM_Quantity[Quantity],RM_PM_Quantity[Date],AV$1,RM_PM_Quantity[Location],"MIDC/Pre-Production",RM_PM_Quantity[Section],$C37,RM_PM_Quantity[RM Name],$E37),0)</f>
        <v>0</v>
      </c>
      <c r="AW37" s="84">
        <f>SUMIFS(RM_PM_Quantity[Quantity],RM_PM_Quantity[Date],AW$1,RM_PM_Quantity[Location],$D37,RM_PM_Quantity[Section],$C37,RM_PM_Quantity[RM Name],$E37)+IF($D37="MIND/Pre-Production",SUMIFS(RM_PM_Quantity[Quantity],RM_PM_Quantity[Date],AW$1,RM_PM_Quantity[Location],"MIDC/Pre-Production",RM_PM_Quantity[Section],$C37,RM_PM_Quantity[RM Name],$E37),0)</f>
        <v>0</v>
      </c>
      <c r="AX37" s="84">
        <f>SUMIFS(RM_PM_Quantity[Quantity],RM_PM_Quantity[Date],AX$1,RM_PM_Quantity[Location],$D37,RM_PM_Quantity[Section],$C37,RM_PM_Quantity[RM Name],$E37)+IF($D37="MIND/Pre-Production",SUMIFS(RM_PM_Quantity[Quantity],RM_PM_Quantity[Date],AX$1,RM_PM_Quantity[Location],"MIDC/Pre-Production",RM_PM_Quantity[Section],$C37,RM_PM_Quantity[RM Name],$E37),0)</f>
        <v>9900</v>
      </c>
      <c r="AY37" s="84">
        <f>SUMIFS(RM_PM_Quantity[Quantity],RM_PM_Quantity[Date],AY$1,RM_PM_Quantity[Location],$D37,RM_PM_Quantity[Section],$C37,RM_PM_Quantity[RM Name],$E37)+IF($D37="MIND/Pre-Production",SUMIFS(RM_PM_Quantity[Quantity],RM_PM_Quantity[Date],AY$1,RM_PM_Quantity[Location],"MIDC/Pre-Production",RM_PM_Quantity[Section],$C37,RM_PM_Quantity[RM Name],$E37),0)</f>
        <v>0</v>
      </c>
      <c r="AZ37" s="84">
        <f>SUMIFS(RM_PM_Quantity[Quantity],RM_PM_Quantity[Date],AZ$1,RM_PM_Quantity[Location],$D37,RM_PM_Quantity[Section],$C37,RM_PM_Quantity[RM Name],$E37)+IF($D37="MIND/Pre-Production",SUMIFS(RM_PM_Quantity[Quantity],RM_PM_Quantity[Date],AZ$1,RM_PM_Quantity[Location],"MIDC/Pre-Production",RM_PM_Quantity[Section],$C37,RM_PM_Quantity[RM Name],$E37),0)</f>
        <v>0</v>
      </c>
      <c r="BA37" s="84">
        <f>SUMIFS(RM_PM_Quantity[Quantity],RM_PM_Quantity[Date],BA$1,RM_PM_Quantity[Location],$D37,RM_PM_Quantity[Section],$C37,RM_PM_Quantity[RM Name],$E37)+IF($D37="MIND/Pre-Production",SUMIFS(RM_PM_Quantity[Quantity],RM_PM_Quantity[Date],BA$1,RM_PM_Quantity[Location],"MIDC/Pre-Production",RM_PM_Quantity[Section],$C37,RM_PM_Quantity[RM Name],$E37),0)</f>
        <v>0</v>
      </c>
      <c r="BB37" s="84">
        <f>SUMIFS(RM_PM_Quantity[Quantity],RM_PM_Quantity[Date],BB$1,RM_PM_Quantity[Location],$D37,RM_PM_Quantity[Section],$C37,RM_PM_Quantity[RM Name],$E37)+IF($D37="MIND/Pre-Production",SUMIFS(RM_PM_Quantity[Quantity],RM_PM_Quantity[Date],BB$1,RM_PM_Quantity[Location],"MIDC/Pre-Production",RM_PM_Quantity[Section],$C37,RM_PM_Quantity[RM Name],$E37),0)</f>
        <v>0</v>
      </c>
      <c r="BC37" s="84">
        <f>SUMIFS(RM_PM_Quantity[Quantity],RM_PM_Quantity[Date],BC$1,RM_PM_Quantity[Location],$D37,RM_PM_Quantity[Section],$C37,RM_PM_Quantity[RM Name],$E37)+IF($D37="MIND/Pre-Production",SUMIFS(RM_PM_Quantity[Quantity],RM_PM_Quantity[Date],BC$1,RM_PM_Quantity[Location],"MIDC/Pre-Production",RM_PM_Quantity[Section],$C37,RM_PM_Quantity[RM Name],$E37),0)</f>
        <v>0</v>
      </c>
      <c r="BD37" s="84">
        <f>SUMIFS(RM_PM_Quantity[Quantity],RM_PM_Quantity[Date],BD$1,RM_PM_Quantity[Location],$D37,RM_PM_Quantity[Section],$C37,RM_PM_Quantity[RM Name],$E37)+IF($D37="MIND/Pre-Production",SUMIFS(RM_PM_Quantity[Quantity],RM_PM_Quantity[Date],BD$1,RM_PM_Quantity[Location],"MIDC/Pre-Production",RM_PM_Quantity[Section],$C37,RM_PM_Quantity[RM Name],$E37),0)</f>
        <v>0</v>
      </c>
      <c r="BE37" s="84">
        <f>SUMIFS(RM_PM_Quantity[Quantity],RM_PM_Quantity[Date],BE$1,RM_PM_Quantity[Location],$D37,RM_PM_Quantity[Section],$C37,RM_PM_Quantity[RM Name],$E37)+IF($D37="MIND/Pre-Production",SUMIFS(RM_PM_Quantity[Quantity],RM_PM_Quantity[Date],BE$1,RM_PM_Quantity[Location],"MIDC/Pre-Production",RM_PM_Quantity[Section],$C37,RM_PM_Quantity[RM Name],$E37),0)</f>
        <v>0</v>
      </c>
      <c r="BF37" s="84">
        <f>SUMIFS(RM_PM_Quantity[Quantity],RM_PM_Quantity[Date],BF$1,RM_PM_Quantity[Location],$D37,RM_PM_Quantity[Section],$C37,RM_PM_Quantity[RM Name],$E37)+IF($D37="MIND/Pre-Production",SUMIFS(RM_PM_Quantity[Quantity],RM_PM_Quantity[Date],BF$1,RM_PM_Quantity[Location],"MIDC/Pre-Production",RM_PM_Quantity[Section],$C37,RM_PM_Quantity[RM Name],$E37),0)</f>
        <v>0</v>
      </c>
      <c r="BG37" s="84">
        <f>SUMIFS(RM_PM_Quantity[Quantity],RM_PM_Quantity[Date],BG$1,RM_PM_Quantity[Location],$D37,RM_PM_Quantity[Section],$C37,RM_PM_Quantity[RM Name],$E37)+IF($D37="MIND/Pre-Production",SUMIFS(RM_PM_Quantity[Quantity],RM_PM_Quantity[Date],BG$1,RM_PM_Quantity[Location],"MIDC/Pre-Production",RM_PM_Quantity[Section],$C37,RM_PM_Quantity[RM Name],$E37),0)</f>
        <v>0</v>
      </c>
      <c r="BH37" s="84">
        <f>SUMIFS(RM_PM_Quantity[Quantity],RM_PM_Quantity[Date],BH$1,RM_PM_Quantity[Location],$D37,RM_PM_Quantity[Section],$C37,RM_PM_Quantity[RM Name],$E37)+IF($D37="MIND/Pre-Production",SUMIFS(RM_PM_Quantity[Quantity],RM_PM_Quantity[Date],BH$1,RM_PM_Quantity[Location],"MIDC/Pre-Production",RM_PM_Quantity[Section],$C37,RM_PM_Quantity[RM Name],$E37),0)</f>
        <v>0</v>
      </c>
      <c r="BI37" s="84">
        <f>SUMIFS(RM_PM_Quantity[Quantity],RM_PM_Quantity[Date],BI$1,RM_PM_Quantity[Location],$D37,RM_PM_Quantity[Section],$C37,RM_PM_Quantity[RM Name],$E37)+IF($D37="MIND/Pre-Production",SUMIFS(RM_PM_Quantity[Quantity],RM_PM_Quantity[Date],BI$1,RM_PM_Quantity[Location],"MIDC/Pre-Production",RM_PM_Quantity[Section],$C37,RM_PM_Quantity[RM Name],$E37),0)</f>
        <v>0</v>
      </c>
      <c r="BJ37" s="84">
        <f>SUMIFS(RM_PM_Quantity[Quantity],RM_PM_Quantity[Date],BJ$1,RM_PM_Quantity[Location],$D37,RM_PM_Quantity[Section],$C37,RM_PM_Quantity[RM Name],$E37)+IF($D37="MIND/Pre-Production",SUMIFS(RM_PM_Quantity[Quantity],RM_PM_Quantity[Date],BJ$1,RM_PM_Quantity[Location],"MIDC/Pre-Production",RM_PM_Quantity[Section],$C37,RM_PM_Quantity[RM Name],$E37),0)</f>
        <v>0</v>
      </c>
      <c r="BK37" s="84">
        <f>SUMIFS(RM_PM_Quantity[Quantity],RM_PM_Quantity[Date],BK$1,RM_PM_Quantity[Location],$D37,RM_PM_Quantity[Section],$C37,RM_PM_Quantity[RM Name],$E37)+IF($D37="MIND/Pre-Production",SUMIFS(RM_PM_Quantity[Quantity],RM_PM_Quantity[Date],BK$1,RM_PM_Quantity[Location],"MIDC/Pre-Production",RM_PM_Quantity[Section],$C37,RM_PM_Quantity[RM Name],$E37),0)</f>
        <v>0</v>
      </c>
      <c r="BL37" s="84">
        <f>SUMIFS(RM_PM_Quantity[Quantity],RM_PM_Quantity[Date],BL$1,RM_PM_Quantity[Location],$D37,RM_PM_Quantity[Section],$C37,RM_PM_Quantity[RM Name],$E37)+IF($D37="MIND/Pre-Production",SUMIFS(RM_PM_Quantity[Quantity],RM_PM_Quantity[Date],BL$1,RM_PM_Quantity[Location],"MIDC/Pre-Production",RM_PM_Quantity[Section],$C37,RM_PM_Quantity[RM Name],$E37),0)</f>
        <v>0</v>
      </c>
      <c r="BM37" s="84">
        <f>SUMIFS(RM_PM_Quantity[Quantity],RM_PM_Quantity[Date],BM$1,RM_PM_Quantity[Location],$D37,RM_PM_Quantity[Section],$C37,RM_PM_Quantity[RM Name],$E37)+IF($D37="MIND/Pre-Production",SUMIFS(RM_PM_Quantity[Quantity],RM_PM_Quantity[Date],BM$1,RM_PM_Quantity[Location],"MIDC/Pre-Production",RM_PM_Quantity[Section],$C37,RM_PM_Quantity[RM Name],$E37),0)</f>
        <v>0</v>
      </c>
      <c r="BN37" s="84">
        <f>SUMIFS(RM_PM_Quantity[Quantity],RM_PM_Quantity[Date],BN$1,RM_PM_Quantity[Location],$D37,RM_PM_Quantity[Section],$C37,RM_PM_Quantity[RM Name],$E37)+IF($D37="MIND/Pre-Production",SUMIFS(RM_PM_Quantity[Quantity],RM_PM_Quantity[Date],BN$1,RM_PM_Quantity[Location],"MIDC/Pre-Production",RM_PM_Quantity[Section],$C37,RM_PM_Quantity[RM Name],$E37),0)</f>
        <v>0</v>
      </c>
      <c r="BO37" s="84">
        <f>SUMIFS(RM_PM_Quantity[Quantity],RM_PM_Quantity[Date],BO$1,RM_PM_Quantity[Location],$D37,RM_PM_Quantity[Section],$C37,RM_PM_Quantity[RM Name],$E37)+IF($D37="MIND/Pre-Production",SUMIFS(RM_PM_Quantity[Quantity],RM_PM_Quantity[Date],BO$1,RM_PM_Quantity[Location],"MIDC/Pre-Production",RM_PM_Quantity[Section],$C37,RM_PM_Quantity[RM Name],$E37),0)</f>
        <v>0</v>
      </c>
      <c r="BP37" s="84">
        <f>SUMIFS(RM_PM_Quantity[Quantity],RM_PM_Quantity[Date],BP$1,RM_PM_Quantity[Location],$D37,RM_PM_Quantity[Section],$C37,RM_PM_Quantity[RM Name],$E37)+IF($D37="MIND/Pre-Production",SUMIFS(RM_PM_Quantity[Quantity],RM_PM_Quantity[Date],BP$1,RM_PM_Quantity[Location],"MIDC/Pre-Production",RM_PM_Quantity[Section],$C37,RM_PM_Quantity[RM Name],$E37),0)</f>
        <v>0</v>
      </c>
      <c r="BQ37" s="84">
        <f>SUMIFS(RM_PM_Quantity[Quantity],RM_PM_Quantity[Date],BQ$1,RM_PM_Quantity[Location],$D37,RM_PM_Quantity[Section],$C37,RM_PM_Quantity[RM Name],$E37)+IF($D37="MIND/Pre-Production",SUMIFS(RM_PM_Quantity[Quantity],RM_PM_Quantity[Date],BQ$1,RM_PM_Quantity[Location],"MIDC/Pre-Production",RM_PM_Quantity[Section],$C37,RM_PM_Quantity[RM Name],$E37),0)</f>
        <v>0</v>
      </c>
      <c r="BR37" s="84">
        <f>SUMIFS(RM_PM_Quantity[Quantity],RM_PM_Quantity[Date],BR$1,RM_PM_Quantity[Location],$D37,RM_PM_Quantity[Section],$C37,RM_PM_Quantity[RM Name],$E37)+IF($D37="MIND/Pre-Production",SUMIFS(RM_PM_Quantity[Quantity],RM_PM_Quantity[Date],BR$1,RM_PM_Quantity[Location],"MIDC/Pre-Production",RM_PM_Quantity[Section],$C37,RM_PM_Quantity[RM Name],$E37),0)</f>
        <v>0</v>
      </c>
      <c r="BS37" s="84">
        <f>SUMIFS(RM_PM_Quantity[Quantity],RM_PM_Quantity[Date],BS$1,RM_PM_Quantity[Location],$D37,RM_PM_Quantity[Section],$C37,RM_PM_Quantity[RM Name],$E37)+IF($D37="MIND/Pre-Production",SUMIFS(RM_PM_Quantity[Quantity],RM_PM_Quantity[Date],BS$1,RM_PM_Quantity[Location],"MIDC/Pre-Production",RM_PM_Quantity[Section],$C37,RM_PM_Quantity[RM Name],$E37),0)</f>
        <v>0</v>
      </c>
      <c r="BT37" s="84">
        <f>SUMIFS(RM_PM_Quantity[ID],RM_PM_Quantity[Location],BT$1,RM_PM_Quantity[Section],$D37,RM_PM_Quantity[RM Name],$C37,RM_PM_Quantity[Quantity],$E37)+IF($D37="MIND/Pre-Production",SUMIFS(RM_PM_Quantity[ID],RM_PM_Quantity[Location],BT$1,RM_PM_Quantity[Section],"MIDC/Pre-Production",RM_PM_Quantity[RM Name],$C37,RM_PM_Quantity[Quantity],$E37),0)</f>
        <v>0</v>
      </c>
      <c r="BU37" s="84">
        <f>SUMIFS(RM_PM_Quantity[Name of Supervisor],RM_PM_Quantity[Section],BU$1,RM_PM_Quantity[RM Name],$D37,RM_PM_Quantity[Quantity],$C37,RM_PM_Quantity[ID],$E37)+IF($D37="MIND/Pre-Production",SUMIFS(RM_PM_Quantity[Name of Supervisor],RM_PM_Quantity[Section],BU$1,RM_PM_Quantity[RM Name],"MIDC/Pre-Production",RM_PM_Quantity[Quantity],$C37,RM_PM_Quantity[ID],$E37),0)</f>
        <v>0</v>
      </c>
      <c r="BV37" s="84">
        <f>SUMIFS(RM_PM_Quantity[Date],RM_PM_Quantity[RM Name],BV$1,RM_PM_Quantity[Quantity],$D37,RM_PM_Quantity[ID],$C37,RM_PM_Quantity[Name of Supervisor],$E37)+IF($D37="MIND/Pre-Production",SUMIFS(RM_PM_Quantity[Date],RM_PM_Quantity[RM Name],BV$1,RM_PM_Quantity[Quantity],"MIDC/Pre-Production",RM_PM_Quantity[ID],$C37,RM_PM_Quantity[Name of Supervisor],$E37),0)</f>
        <v>0</v>
      </c>
      <c r="BW37" s="84">
        <f>SUMIFS(RM_PM_Quantity[Location],RM_PM_Quantity[Quantity],BW$1,RM_PM_Quantity[ID],$D37,RM_PM_Quantity[Name of Supervisor],$C37,RM_PM_Quantity[Date],$E37)+IF($D37="MIND/Pre-Production",SUMIFS(RM_PM_Quantity[Location],RM_PM_Quantity[Quantity],BW$1,RM_PM_Quantity[ID],"MIDC/Pre-Production",RM_PM_Quantity[Name of Supervisor],$C37,RM_PM_Quantity[Date],$E37),0)</f>
        <v>0</v>
      </c>
      <c r="BX37" s="84">
        <f>SUMIFS(RM_PM_Quantity[Section],RM_PM_Quantity[ID],BX$1,RM_PM_Quantity[Name of Supervisor],$D37,RM_PM_Quantity[Date],$C37,RM_PM_Quantity[Location],$E37)+IF($D37="MIND/Pre-Production",SUMIFS(RM_PM_Quantity[Section],RM_PM_Quantity[ID],BX$1,RM_PM_Quantity[Name of Supervisor],"MIDC/Pre-Production",RM_PM_Quantity[Date],$C37,RM_PM_Quantity[Location],$E37),0)</f>
        <v>0</v>
      </c>
      <c r="BY37" s="84">
        <f>SUMIFS(RM_PM_Quantity[RM Name],RM_PM_Quantity[Name of Supervisor],BY$1,RM_PM_Quantity[Date],$D37,RM_PM_Quantity[Location],$C37,RM_PM_Quantity[Section],$E37)+IF($D37="MIND/Pre-Production",SUMIFS(RM_PM_Quantity[RM Name],RM_PM_Quantity[Name of Supervisor],BY$1,RM_PM_Quantity[Date],"MIDC/Pre-Production",RM_PM_Quantity[Location],$C37,RM_PM_Quantity[Section],$E37),0)</f>
        <v>0</v>
      </c>
    </row>
    <row r="38" spans="1:77" ht="45.75" customHeight="1">
      <c r="A38" s="79">
        <v>37</v>
      </c>
      <c r="B38" s="79" t="s">
        <v>127</v>
      </c>
      <c r="C38" s="88" t="s">
        <v>125</v>
      </c>
      <c r="D38" s="81" t="s">
        <v>54</v>
      </c>
      <c r="E38" s="82" t="s">
        <v>128</v>
      </c>
      <c r="F38" s="83">
        <f>IFERROR(_xlfn.XLOOKUP(B38,'[1]RM Tracker'!B:B,'[1]RM Tracker'!E:E),"0")</f>
        <v>2938.28</v>
      </c>
      <c r="G38" s="85">
        <f t="shared" si="2"/>
        <v>510</v>
      </c>
      <c r="H38" s="85">
        <f t="shared" si="3"/>
        <v>-2428.2800000000002</v>
      </c>
      <c r="I38" s="91">
        <f t="shared" si="4"/>
        <v>0.17357093265447812</v>
      </c>
      <c r="J38" s="84">
        <f>SUMIFS(RM_PM_Quantity[Quantity],RM_PM_Quantity[Date],J$1,RM_PM_Quantity[Location],$D38,RM_PM_Quantity[Section],$C38,RM_PM_Quantity[RM Name],$E38)+IF($D38="MIND/Pre-Production",SUMIFS(RM_PM_Quantity[Quantity],RM_PM_Quantity[Date],J$1,RM_PM_Quantity[Location],"MIDC/Pre-Production",RM_PM_Quantity[Section],$C38,RM_PM_Quantity[RM Name],$E38),0)</f>
        <v>0</v>
      </c>
      <c r="K38" s="84">
        <f>SUMIFS(RM_PM_Quantity[Quantity],RM_PM_Quantity[Date],K$1,RM_PM_Quantity[Location],$D38,RM_PM_Quantity[Section],$C38,RM_PM_Quantity[RM Name],$E38)+IF($D38="MIND/Pre-Production",SUMIFS(RM_PM_Quantity[Quantity],RM_PM_Quantity[Date],K$1,RM_PM_Quantity[Location],"MIDC/Pre-Production",RM_PM_Quantity[Section],$C38,RM_PM_Quantity[RM Name],$E38),0)</f>
        <v>0</v>
      </c>
      <c r="L38" s="84">
        <f>SUMIFS(RM_PM_Quantity[Quantity],RM_PM_Quantity[Date],L$1,RM_PM_Quantity[Location],$D38,RM_PM_Quantity[Section],$C38,RM_PM_Quantity[RM Name],$E38)+IF($D38="MIND/Pre-Production",SUMIFS(RM_PM_Quantity[Quantity],RM_PM_Quantity[Date],L$1,RM_PM_Quantity[Location],"MIDC/Pre-Production",RM_PM_Quantity[Section],$C38,RM_PM_Quantity[RM Name],$E38),0)</f>
        <v>0</v>
      </c>
      <c r="M38" s="84">
        <f>SUMIFS(RM_PM_Quantity[Quantity],RM_PM_Quantity[Date],M$1,RM_PM_Quantity[Location],$D38,RM_PM_Quantity[Section],$C38,RM_PM_Quantity[RM Name],$E38)+IF($D38="MIND/Pre-Production",SUMIFS(RM_PM_Quantity[Quantity],RM_PM_Quantity[Date],M$1,RM_PM_Quantity[Location],"MIDC/Pre-Production",RM_PM_Quantity[Section],$C38,RM_PM_Quantity[RM Name],$E38),0)</f>
        <v>0</v>
      </c>
      <c r="N38" s="84">
        <f>SUMIFS(RM_PM_Quantity[Quantity],RM_PM_Quantity[Date],N$1,RM_PM_Quantity[Location],$D38,RM_PM_Quantity[Section],$C38,RM_PM_Quantity[RM Name],$E38)+IF($D38="MIND/Pre-Production",SUMIFS(RM_PM_Quantity[Quantity],RM_PM_Quantity[Date],N$1,RM_PM_Quantity[Location],"MIDC/Pre-Production",RM_PM_Quantity[Section],$C38,RM_PM_Quantity[RM Name],$E38),0)</f>
        <v>0</v>
      </c>
      <c r="O38" s="84">
        <f>SUMIFS(RM_PM_Quantity[Quantity],RM_PM_Quantity[Date],O$1,RM_PM_Quantity[Location],$D38,RM_PM_Quantity[Section],$C38,RM_PM_Quantity[RM Name],$E38)+IF($D38="MIND/Pre-Production",SUMIFS(RM_PM_Quantity[Quantity],RM_PM_Quantity[Date],O$1,RM_PM_Quantity[Location],"MIDC/Pre-Production",RM_PM_Quantity[Section],$C38,RM_PM_Quantity[RM Name],$E38),0)</f>
        <v>0</v>
      </c>
      <c r="P38" s="84">
        <f>SUMIFS(RM_PM_Quantity[Quantity],RM_PM_Quantity[Date],P$1,RM_PM_Quantity[Location],$D38,RM_PM_Quantity[Section],$C38,RM_PM_Quantity[RM Name],$E38)+IF($D38="MIND/Pre-Production",SUMIFS(RM_PM_Quantity[Quantity],RM_PM_Quantity[Date],P$1,RM_PM_Quantity[Location],"MIDC/Pre-Production",RM_PM_Quantity[Section],$C38,RM_PM_Quantity[RM Name],$E38),0)</f>
        <v>0</v>
      </c>
      <c r="Q38" s="84">
        <f>SUMIFS(RM_PM_Quantity[Quantity],RM_PM_Quantity[Date],Q$1,RM_PM_Quantity[Location],$D38,RM_PM_Quantity[Section],$C38,RM_PM_Quantity[RM Name],$E38)+IF($D38="MIND/Pre-Production",SUMIFS(RM_PM_Quantity[Quantity],RM_PM_Quantity[Date],Q$1,RM_PM_Quantity[Location],"MIDC/Pre-Production",RM_PM_Quantity[Section],$C38,RM_PM_Quantity[RM Name],$E38),0)</f>
        <v>0</v>
      </c>
      <c r="R38" s="84">
        <f>SUMIFS(RM_PM_Quantity[Quantity],RM_PM_Quantity[Date],R$1,RM_PM_Quantity[Location],$D38,RM_PM_Quantity[Section],$C38,RM_PM_Quantity[RM Name],$E38)+IF($D38="MIND/Pre-Production",SUMIFS(RM_PM_Quantity[Quantity],RM_PM_Quantity[Date],R$1,RM_PM_Quantity[Location],"MIDC/Pre-Production",RM_PM_Quantity[Section],$C38,RM_PM_Quantity[RM Name],$E38),0)</f>
        <v>0</v>
      </c>
      <c r="S38" s="84">
        <f>SUMIFS(RM_PM_Quantity[Quantity],RM_PM_Quantity[Date],S$1,RM_PM_Quantity[Location],$D38,RM_PM_Quantity[Section],$C38,RM_PM_Quantity[RM Name],$E38)+IF($D38="MIND/Pre-Production",SUMIFS(RM_PM_Quantity[Quantity],RM_PM_Quantity[Date],S$1,RM_PM_Quantity[Location],"MIDC/Pre-Production",RM_PM_Quantity[Section],$C38,RM_PM_Quantity[RM Name],$E38),0)</f>
        <v>0</v>
      </c>
      <c r="T38" s="84">
        <f>SUMIFS(RM_PM_Quantity[Quantity],RM_PM_Quantity[Date],T$1,RM_PM_Quantity[Location],$D38,RM_PM_Quantity[Section],$C38,RM_PM_Quantity[RM Name],$E38)+IF($D38="MIND/Pre-Production",SUMIFS(RM_PM_Quantity[Quantity],RM_PM_Quantity[Date],T$1,RM_PM_Quantity[Location],"MIDC/Pre-Production",RM_PM_Quantity[Section],$C38,RM_PM_Quantity[RM Name],$E38),0)</f>
        <v>0</v>
      </c>
      <c r="U38" s="84">
        <f>SUMIFS(RM_PM_Quantity[Quantity],RM_PM_Quantity[Date],U$1,RM_PM_Quantity[Location],$D38,RM_PM_Quantity[Section],$C38,RM_PM_Quantity[RM Name],$E38)+IF($D38="MIND/Pre-Production",SUMIFS(RM_PM_Quantity[Quantity],RM_PM_Quantity[Date],U$1,RM_PM_Quantity[Location],"MIDC/Pre-Production",RM_PM_Quantity[Section],$C38,RM_PM_Quantity[RM Name],$E38),0)</f>
        <v>0</v>
      </c>
      <c r="V38" s="84">
        <f>SUMIFS(RM_PM_Quantity[Quantity],RM_PM_Quantity[Date],V$1,RM_PM_Quantity[Location],$D38,RM_PM_Quantity[Section],$C38,RM_PM_Quantity[RM Name],$E38)+IF($D38="MIND/Pre-Production",SUMIFS(RM_PM_Quantity[Quantity],RM_PM_Quantity[Date],V$1,RM_PM_Quantity[Location],"MIDC/Pre-Production",RM_PM_Quantity[Section],$C38,RM_PM_Quantity[RM Name],$E38),0)</f>
        <v>0</v>
      </c>
      <c r="W38" s="84">
        <f>SUMIFS(RM_PM_Quantity[Quantity],RM_PM_Quantity[Date],W$1,RM_PM_Quantity[Location],$D38,RM_PM_Quantity[Section],$C38,RM_PM_Quantity[RM Name],$E38)+IF($D38="MIND/Pre-Production",SUMIFS(RM_PM_Quantity[Quantity],RM_PM_Quantity[Date],W$1,RM_PM_Quantity[Location],"MIDC/Pre-Production",RM_PM_Quantity[Section],$C38,RM_PM_Quantity[RM Name],$E38),0)</f>
        <v>0</v>
      </c>
      <c r="X38" s="84">
        <f>SUMIFS(RM_PM_Quantity[Quantity],RM_PM_Quantity[Date],X$1,RM_PM_Quantity[Location],$D38,RM_PM_Quantity[Section],$C38,RM_PM_Quantity[RM Name],$E38)+IF($D38="MIND/Pre-Production",SUMIFS(RM_PM_Quantity[Quantity],RM_PM_Quantity[Date],X$1,RM_PM_Quantity[Location],"MIDC/Pre-Production",RM_PM_Quantity[Section],$C38,RM_PM_Quantity[RM Name],$E38),0)</f>
        <v>0</v>
      </c>
      <c r="Y38" s="84">
        <f>SUMIFS(RM_PM_Quantity[Quantity],RM_PM_Quantity[Date],Y$1,RM_PM_Quantity[Location],$D38,RM_PM_Quantity[Section],$C38,RM_PM_Quantity[RM Name],$E38)+IF($D38="MIND/Pre-Production",SUMIFS(RM_PM_Quantity[Quantity],RM_PM_Quantity[Date],Y$1,RM_PM_Quantity[Location],"MIDC/Pre-Production",RM_PM_Quantity[Section],$C38,RM_PM_Quantity[RM Name],$E38),0)</f>
        <v>0</v>
      </c>
      <c r="Z38" s="84">
        <f>SUMIFS(RM_PM_Quantity[Quantity],RM_PM_Quantity[Date],Z$1,RM_PM_Quantity[Location],$D38,RM_PM_Quantity[Section],$C38,RM_PM_Quantity[RM Name],$E38)+IF($D38="MIND/Pre-Production",SUMIFS(RM_PM_Quantity[Quantity],RM_PM_Quantity[Date],Z$1,RM_PM_Quantity[Location],"MIDC/Pre-Production",RM_PM_Quantity[Section],$C38,RM_PM_Quantity[RM Name],$E38),0)</f>
        <v>0</v>
      </c>
      <c r="AA38" s="84">
        <f>SUMIFS(RM_PM_Quantity[Quantity],RM_PM_Quantity[Date],AA$1,RM_PM_Quantity[Location],$D38,RM_PM_Quantity[Section],$C38,RM_PM_Quantity[RM Name],$E38)+IF($D38="MIND/Pre-Production",SUMIFS(RM_PM_Quantity[Quantity],RM_PM_Quantity[Date],AA$1,RM_PM_Quantity[Location],"MIDC/Pre-Production",RM_PM_Quantity[Section],$C38,RM_PM_Quantity[RM Name],$E38),0)</f>
        <v>0</v>
      </c>
      <c r="AB38" s="84">
        <f>SUMIFS(RM_PM_Quantity[Quantity],RM_PM_Quantity[Date],AB$1,RM_PM_Quantity[Location],$D38,RM_PM_Quantity[Section],$C38,RM_PM_Quantity[RM Name],$E38)+IF($D38="MIND/Pre-Production",SUMIFS(RM_PM_Quantity[Quantity],RM_PM_Quantity[Date],AB$1,RM_PM_Quantity[Location],"MIDC/Pre-Production",RM_PM_Quantity[Section],$C38,RM_PM_Quantity[RM Name],$E38),0)</f>
        <v>0</v>
      </c>
      <c r="AC38" s="84">
        <f>SUMIFS(RM_PM_Quantity[Quantity],RM_PM_Quantity[Date],AC$1,RM_PM_Quantity[Location],$D38,RM_PM_Quantity[Section],$C38,RM_PM_Quantity[RM Name],$E38)+IF($D38="MIND/Pre-Production",SUMIFS(RM_PM_Quantity[Quantity],RM_PM_Quantity[Date],AC$1,RM_PM_Quantity[Location],"MIDC/Pre-Production",RM_PM_Quantity[Section],$C38,RM_PM_Quantity[RM Name],$E38),0)</f>
        <v>0</v>
      </c>
      <c r="AD38" s="84">
        <f>SUMIFS(RM_PM_Quantity[Quantity],RM_PM_Quantity[Date],AD$1,RM_PM_Quantity[Location],$D38,RM_PM_Quantity[Section],$C38,RM_PM_Quantity[RM Name],$E38)+IF($D38="MIND/Pre-Production",SUMIFS(RM_PM_Quantity[Quantity],RM_PM_Quantity[Date],AD$1,RM_PM_Quantity[Location],"MIDC/Pre-Production",RM_PM_Quantity[Section],$C38,RM_PM_Quantity[RM Name],$E38),0)</f>
        <v>0</v>
      </c>
      <c r="AE38" s="84">
        <f>SUMIFS(RM_PM_Quantity[Quantity],RM_PM_Quantity[Date],AE$1,RM_PM_Quantity[Location],$D38,RM_PM_Quantity[Section],$C38,RM_PM_Quantity[RM Name],$E38)+IF($D38="MIND/Pre-Production",SUMIFS(RM_PM_Quantity[Quantity],RM_PM_Quantity[Date],AE$1,RM_PM_Quantity[Location],"MIDC/Pre-Production",RM_PM_Quantity[Section],$C38,RM_PM_Quantity[RM Name],$E38),0)</f>
        <v>0</v>
      </c>
      <c r="AF38" s="84">
        <f>SUMIFS(RM_PM_Quantity[Quantity],RM_PM_Quantity[Date],AF$1,RM_PM_Quantity[Location],$D38,RM_PM_Quantity[Section],$C38,RM_PM_Quantity[RM Name],$E38)+IF($D38="MIND/Pre-Production",SUMIFS(RM_PM_Quantity[Quantity],RM_PM_Quantity[Date],AF$1,RM_PM_Quantity[Location],"MIDC/Pre-Production",RM_PM_Quantity[Section],$C38,RM_PM_Quantity[RM Name],$E38),0)</f>
        <v>0</v>
      </c>
      <c r="AG38" s="84">
        <f>SUMIFS(RM_PM_Quantity[Quantity],RM_PM_Quantity[Date],AG$1,RM_PM_Quantity[Location],$D38,RM_PM_Quantity[Section],$C38,RM_PM_Quantity[RM Name],$E38)+IF($D38="MIND/Pre-Production",SUMIFS(RM_PM_Quantity[Quantity],RM_PM_Quantity[Date],AG$1,RM_PM_Quantity[Location],"MIDC/Pre-Production",RM_PM_Quantity[Section],$C38,RM_PM_Quantity[RM Name],$E38),0)</f>
        <v>0</v>
      </c>
      <c r="AH38" s="84">
        <f>SUMIFS(RM_PM_Quantity[Quantity],RM_PM_Quantity[Date],AH$1,RM_PM_Quantity[Location],$D38,RM_PM_Quantity[Section],$C38,RM_PM_Quantity[RM Name],$E38)+IF($D38="MIND/Pre-Production",SUMIFS(RM_PM_Quantity[Quantity],RM_PM_Quantity[Date],AH$1,RM_PM_Quantity[Location],"MIDC/Pre-Production",RM_PM_Quantity[Section],$C38,RM_PM_Quantity[RM Name],$E38),0)</f>
        <v>0</v>
      </c>
      <c r="AI38" s="84">
        <f>SUMIFS(RM_PM_Quantity[Quantity],RM_PM_Quantity[Date],AI$1,RM_PM_Quantity[Location],$D38,RM_PM_Quantity[Section],$C38,RM_PM_Quantity[RM Name],$E38)+IF($D38="MIND/Pre-Production",SUMIFS(RM_PM_Quantity[Quantity],RM_PM_Quantity[Date],AI$1,RM_PM_Quantity[Location],"MIDC/Pre-Production",RM_PM_Quantity[Section],$C38,RM_PM_Quantity[RM Name],$E38),0)</f>
        <v>0</v>
      </c>
      <c r="AJ38" s="84">
        <f>SUMIFS(RM_PM_Quantity[Quantity],RM_PM_Quantity[Date],AJ$1,RM_PM_Quantity[Location],$D38,RM_PM_Quantity[Section],$C38,RM_PM_Quantity[RM Name],$E38)+IF($D38="MIND/Pre-Production",SUMIFS(RM_PM_Quantity[Quantity],RM_PM_Quantity[Date],AJ$1,RM_PM_Quantity[Location],"MIDC/Pre-Production",RM_PM_Quantity[Section],$C38,RM_PM_Quantity[RM Name],$E38),0)</f>
        <v>0</v>
      </c>
      <c r="AK38" s="84">
        <f>SUMIFS(RM_PM_Quantity[Quantity],RM_PM_Quantity[Date],AK$1,RM_PM_Quantity[Location],$D38,RM_PM_Quantity[Section],$C38,RM_PM_Quantity[RM Name],$E38)+IF($D38="MIND/Pre-Production",SUMIFS(RM_PM_Quantity[Quantity],RM_PM_Quantity[Date],AK$1,RM_PM_Quantity[Location],"MIDC/Pre-Production",RM_PM_Quantity[Section],$C38,RM_PM_Quantity[RM Name],$E38),0)</f>
        <v>0</v>
      </c>
      <c r="AL38" s="84">
        <f>SUMIFS(RM_PM_Quantity[Quantity],RM_PM_Quantity[Date],AL$1,RM_PM_Quantity[Location],$D38,RM_PM_Quantity[Section],$C38,RM_PM_Quantity[RM Name],$E38)+IF($D38="MIND/Pre-Production",SUMIFS(RM_PM_Quantity[Quantity],RM_PM_Quantity[Date],AL$1,RM_PM_Quantity[Location],"MIDC/Pre-Production",RM_PM_Quantity[Section],$C38,RM_PM_Quantity[RM Name],$E38),0)</f>
        <v>200</v>
      </c>
      <c r="AM38" s="84">
        <f>SUMIFS(RM_PM_Quantity[Quantity],RM_PM_Quantity[Date],AM$1,RM_PM_Quantity[Location],$D38,RM_PM_Quantity[Section],$C38,RM_PM_Quantity[RM Name],$E38)+IF($D38="MIND/Pre-Production",SUMIFS(RM_PM_Quantity[Quantity],RM_PM_Quantity[Date],AM$1,RM_PM_Quantity[Location],"MIDC/Pre-Production",RM_PM_Quantity[Section],$C38,RM_PM_Quantity[RM Name],$E38),0)</f>
        <v>300</v>
      </c>
      <c r="AN38" s="84">
        <f>SUMIFS(RM_PM_Quantity[Quantity],RM_PM_Quantity[Date],AN$1,RM_PM_Quantity[Location],$D38,RM_PM_Quantity[Section],$C38,RM_PM_Quantity[RM Name],$E38)+IF($D38="MIND/Pre-Production",SUMIFS(RM_PM_Quantity[Quantity],RM_PM_Quantity[Date],AN$1,RM_PM_Quantity[Location],"MIDC/Pre-Production",RM_PM_Quantity[Section],$C38,RM_PM_Quantity[RM Name],$E38),0)</f>
        <v>0</v>
      </c>
      <c r="AO38" s="84">
        <f>SUMIFS(RM_PM_Quantity[Quantity],RM_PM_Quantity[Date],AO$1,RM_PM_Quantity[Location],$D38,RM_PM_Quantity[Section],$C38,RM_PM_Quantity[RM Name],$E38)+IF($D38="MIND/Pre-Production",SUMIFS(RM_PM_Quantity[Quantity],RM_PM_Quantity[Date],AO$1,RM_PM_Quantity[Location],"MIDC/Pre-Production",RM_PM_Quantity[Section],$C38,RM_PM_Quantity[RM Name],$E38),0)</f>
        <v>0</v>
      </c>
      <c r="AP38" s="84">
        <f>SUMIFS(RM_PM_Quantity[Quantity],RM_PM_Quantity[Date],AP$1,RM_PM_Quantity[Location],$D38,RM_PM_Quantity[Section],$C38,RM_PM_Quantity[RM Name],$E38)+IF($D38="MIND/Pre-Production",SUMIFS(RM_PM_Quantity[Quantity],RM_PM_Quantity[Date],AP$1,RM_PM_Quantity[Location],"MIDC/Pre-Production",RM_PM_Quantity[Section],$C38,RM_PM_Quantity[RM Name],$E38),0)</f>
        <v>0</v>
      </c>
      <c r="AQ38" s="84">
        <f>SUMIFS(RM_PM_Quantity[Quantity],RM_PM_Quantity[Date],AQ$1,RM_PM_Quantity[Location],$D38,RM_PM_Quantity[Section],$C38,RM_PM_Quantity[RM Name],$E38)+IF($D38="MIND/Pre-Production",SUMIFS(RM_PM_Quantity[Quantity],RM_PM_Quantity[Date],AQ$1,RM_PM_Quantity[Location],"MIDC/Pre-Production",RM_PM_Quantity[Section],$C38,RM_PM_Quantity[RM Name],$E38),0)</f>
        <v>0</v>
      </c>
      <c r="AR38" s="84">
        <f>SUMIFS(RM_PM_Quantity[Quantity],RM_PM_Quantity[Date],AR$1,RM_PM_Quantity[Location],$D38,RM_PM_Quantity[Section],$C38,RM_PM_Quantity[RM Name],$E38)+IF($D38="MIND/Pre-Production",SUMIFS(RM_PM_Quantity[Quantity],RM_PM_Quantity[Date],AR$1,RM_PM_Quantity[Location],"MIDC/Pre-Production",RM_PM_Quantity[Section],$C38,RM_PM_Quantity[RM Name],$E38),0)</f>
        <v>0</v>
      </c>
      <c r="AS38" s="84">
        <f>SUMIFS(RM_PM_Quantity[Quantity],RM_PM_Quantity[Date],AS$1,RM_PM_Quantity[Location],$D38,RM_PM_Quantity[Section],$C38,RM_PM_Quantity[RM Name],$E38)+IF($D38="MIND/Pre-Production",SUMIFS(RM_PM_Quantity[Quantity],RM_PM_Quantity[Date],AS$1,RM_PM_Quantity[Location],"MIDC/Pre-Production",RM_PM_Quantity[Section],$C38,RM_PM_Quantity[RM Name],$E38),0)</f>
        <v>0</v>
      </c>
      <c r="AT38" s="84">
        <f>SUMIFS(RM_PM_Quantity[Quantity],RM_PM_Quantity[Date],AT$1,RM_PM_Quantity[Location],$D38,RM_PM_Quantity[Section],$C38,RM_PM_Quantity[RM Name],$E38)+IF($D38="MIND/Pre-Production",SUMIFS(RM_PM_Quantity[Quantity],RM_PM_Quantity[Date],AT$1,RM_PM_Quantity[Location],"MIDC/Pre-Production",RM_PM_Quantity[Section],$C38,RM_PM_Quantity[RM Name],$E38),0)</f>
        <v>0</v>
      </c>
      <c r="AU38" s="84">
        <f>SUMIFS(RM_PM_Quantity[Quantity],RM_PM_Quantity[Date],AU$1,RM_PM_Quantity[Location],$D38,RM_PM_Quantity[Section],$C38,RM_PM_Quantity[RM Name],$E38)+IF($D38="MIND/Pre-Production",SUMIFS(RM_PM_Quantity[Quantity],RM_PM_Quantity[Date],AU$1,RM_PM_Quantity[Location],"MIDC/Pre-Production",RM_PM_Quantity[Section],$C38,RM_PM_Quantity[RM Name],$E38),0)</f>
        <v>0</v>
      </c>
      <c r="AV38" s="84">
        <f>SUMIFS(RM_PM_Quantity[Quantity],RM_PM_Quantity[Date],AV$1,RM_PM_Quantity[Location],$D38,RM_PM_Quantity[Section],$C38,RM_PM_Quantity[RM Name],$E38)+IF($D38="MIND/Pre-Production",SUMIFS(RM_PM_Quantity[Quantity],RM_PM_Quantity[Date],AV$1,RM_PM_Quantity[Location],"MIDC/Pre-Production",RM_PM_Quantity[Section],$C38,RM_PM_Quantity[RM Name],$E38),0)</f>
        <v>0</v>
      </c>
      <c r="AW38" s="84">
        <f>SUMIFS(RM_PM_Quantity[Quantity],RM_PM_Quantity[Date],AW$1,RM_PM_Quantity[Location],$D38,RM_PM_Quantity[Section],$C38,RM_PM_Quantity[RM Name],$E38)+IF($D38="MIND/Pre-Production",SUMIFS(RM_PM_Quantity[Quantity],RM_PM_Quantity[Date],AW$1,RM_PM_Quantity[Location],"MIDC/Pre-Production",RM_PM_Quantity[Section],$C38,RM_PM_Quantity[RM Name],$E38),0)</f>
        <v>0</v>
      </c>
      <c r="AX38" s="84">
        <f>SUMIFS(RM_PM_Quantity[Quantity],RM_PM_Quantity[Date],AX$1,RM_PM_Quantity[Location],$D38,RM_PM_Quantity[Section],$C38,RM_PM_Quantity[RM Name],$E38)+IF($D38="MIND/Pre-Production",SUMIFS(RM_PM_Quantity[Quantity],RM_PM_Quantity[Date],AX$1,RM_PM_Quantity[Location],"MIDC/Pre-Production",RM_PM_Quantity[Section],$C38,RM_PM_Quantity[RM Name],$E38),0)</f>
        <v>0</v>
      </c>
      <c r="AY38" s="84">
        <f>SUMIFS(RM_PM_Quantity[Quantity],RM_PM_Quantity[Date],AY$1,RM_PM_Quantity[Location],$D38,RM_PM_Quantity[Section],$C38,RM_PM_Quantity[RM Name],$E38)+IF($D38="MIND/Pre-Production",SUMIFS(RM_PM_Quantity[Quantity],RM_PM_Quantity[Date],AY$1,RM_PM_Quantity[Location],"MIDC/Pre-Production",RM_PM_Quantity[Section],$C38,RM_PM_Quantity[RM Name],$E38),0)</f>
        <v>0</v>
      </c>
      <c r="AZ38" s="84">
        <f>SUMIFS(RM_PM_Quantity[Quantity],RM_PM_Quantity[Date],AZ$1,RM_PM_Quantity[Location],$D38,RM_PM_Quantity[Section],$C38,RM_PM_Quantity[RM Name],$E38)+IF($D38="MIND/Pre-Production",SUMIFS(RM_PM_Quantity[Quantity],RM_PM_Quantity[Date],AZ$1,RM_PM_Quantity[Location],"MIDC/Pre-Production",RM_PM_Quantity[Section],$C38,RM_PM_Quantity[RM Name],$E38),0)</f>
        <v>510</v>
      </c>
      <c r="BA38" s="84">
        <f>SUMIFS(RM_PM_Quantity[Quantity],RM_PM_Quantity[Date],BA$1,RM_PM_Quantity[Location],$D38,RM_PM_Quantity[Section],$C38,RM_PM_Quantity[RM Name],$E38)+IF($D38="MIND/Pre-Production",SUMIFS(RM_PM_Quantity[Quantity],RM_PM_Quantity[Date],BA$1,RM_PM_Quantity[Location],"MIDC/Pre-Production",RM_PM_Quantity[Section],$C38,RM_PM_Quantity[RM Name],$E38),0)</f>
        <v>0</v>
      </c>
      <c r="BB38" s="84">
        <f>SUMIFS(RM_PM_Quantity[Quantity],RM_PM_Quantity[Date],BB$1,RM_PM_Quantity[Location],$D38,RM_PM_Quantity[Section],$C38,RM_PM_Quantity[RM Name],$E38)+IF($D38="MIND/Pre-Production",SUMIFS(RM_PM_Quantity[Quantity],RM_PM_Quantity[Date],BB$1,RM_PM_Quantity[Location],"MIDC/Pre-Production",RM_PM_Quantity[Section],$C38,RM_PM_Quantity[RM Name],$E38),0)</f>
        <v>0</v>
      </c>
      <c r="BC38" s="84">
        <f>SUMIFS(RM_PM_Quantity[Quantity],RM_PM_Quantity[Date],BC$1,RM_PM_Quantity[Location],$D38,RM_PM_Quantity[Section],$C38,RM_PM_Quantity[RM Name],$E38)+IF($D38="MIND/Pre-Production",SUMIFS(RM_PM_Quantity[Quantity],RM_PM_Quantity[Date],BC$1,RM_PM_Quantity[Location],"MIDC/Pre-Production",RM_PM_Quantity[Section],$C38,RM_PM_Quantity[RM Name],$E38),0)</f>
        <v>0</v>
      </c>
      <c r="BD38" s="84">
        <f>SUMIFS(RM_PM_Quantity[Quantity],RM_PM_Quantity[Date],BD$1,RM_PM_Quantity[Location],$D38,RM_PM_Quantity[Section],$C38,RM_PM_Quantity[RM Name],$E38)+IF($D38="MIND/Pre-Production",SUMIFS(RM_PM_Quantity[Quantity],RM_PM_Quantity[Date],BD$1,RM_PM_Quantity[Location],"MIDC/Pre-Production",RM_PM_Quantity[Section],$C38,RM_PM_Quantity[RM Name],$E38),0)</f>
        <v>0</v>
      </c>
      <c r="BE38" s="84">
        <f>SUMIFS(RM_PM_Quantity[Quantity],RM_PM_Quantity[Date],BE$1,RM_PM_Quantity[Location],$D38,RM_PM_Quantity[Section],$C38,RM_PM_Quantity[RM Name],$E38)+IF($D38="MIND/Pre-Production",SUMIFS(RM_PM_Quantity[Quantity],RM_PM_Quantity[Date],BE$1,RM_PM_Quantity[Location],"MIDC/Pre-Production",RM_PM_Quantity[Section],$C38,RM_PM_Quantity[RM Name],$E38),0)</f>
        <v>0</v>
      </c>
      <c r="BF38" s="84">
        <f>SUMIFS(RM_PM_Quantity[Quantity],RM_PM_Quantity[Date],BF$1,RM_PM_Quantity[Location],$D38,RM_PM_Quantity[Section],$C38,RM_PM_Quantity[RM Name],$E38)+IF($D38="MIND/Pre-Production",SUMIFS(RM_PM_Quantity[Quantity],RM_PM_Quantity[Date],BF$1,RM_PM_Quantity[Location],"MIDC/Pre-Production",RM_PM_Quantity[Section],$C38,RM_PM_Quantity[RM Name],$E38),0)</f>
        <v>0</v>
      </c>
      <c r="BG38" s="84">
        <f>SUMIFS(RM_PM_Quantity[Quantity],RM_PM_Quantity[Date],BG$1,RM_PM_Quantity[Location],$D38,RM_PM_Quantity[Section],$C38,RM_PM_Quantity[RM Name],$E38)+IF($D38="MIND/Pre-Production",SUMIFS(RM_PM_Quantity[Quantity],RM_PM_Quantity[Date],BG$1,RM_PM_Quantity[Location],"MIDC/Pre-Production",RM_PM_Quantity[Section],$C38,RM_PM_Quantity[RM Name],$E38),0)</f>
        <v>0</v>
      </c>
      <c r="BH38" s="84">
        <f>SUMIFS(RM_PM_Quantity[Quantity],RM_PM_Quantity[Date],BH$1,RM_PM_Quantity[Location],$D38,RM_PM_Quantity[Section],$C38,RM_PM_Quantity[RM Name],$E38)+IF($D38="MIND/Pre-Production",SUMIFS(RM_PM_Quantity[Quantity],RM_PM_Quantity[Date],BH$1,RM_PM_Quantity[Location],"MIDC/Pre-Production",RM_PM_Quantity[Section],$C38,RM_PM_Quantity[RM Name],$E38),0)</f>
        <v>0</v>
      </c>
      <c r="BI38" s="84">
        <f>SUMIFS(RM_PM_Quantity[Quantity],RM_PM_Quantity[Date],BI$1,RM_PM_Quantity[Location],$D38,RM_PM_Quantity[Section],$C38,RM_PM_Quantity[RM Name],$E38)+IF($D38="MIND/Pre-Production",SUMIFS(RM_PM_Quantity[Quantity],RM_PM_Quantity[Date],BI$1,RM_PM_Quantity[Location],"MIDC/Pre-Production",RM_PM_Quantity[Section],$C38,RM_PM_Quantity[RM Name],$E38),0)</f>
        <v>0</v>
      </c>
      <c r="BJ38" s="84">
        <f>SUMIFS(RM_PM_Quantity[Quantity],RM_PM_Quantity[Date],BJ$1,RM_PM_Quantity[Location],$D38,RM_PM_Quantity[Section],$C38,RM_PM_Quantity[RM Name],$E38)+IF($D38="MIND/Pre-Production",SUMIFS(RM_PM_Quantity[Quantity],RM_PM_Quantity[Date],BJ$1,RM_PM_Quantity[Location],"MIDC/Pre-Production",RM_PM_Quantity[Section],$C38,RM_PM_Quantity[RM Name],$E38),0)</f>
        <v>0</v>
      </c>
      <c r="BK38" s="84">
        <f>SUMIFS(RM_PM_Quantity[Quantity],RM_PM_Quantity[Date],BK$1,RM_PM_Quantity[Location],$D38,RM_PM_Quantity[Section],$C38,RM_PM_Quantity[RM Name],$E38)+IF($D38="MIND/Pre-Production",SUMIFS(RM_PM_Quantity[Quantity],RM_PM_Quantity[Date],BK$1,RM_PM_Quantity[Location],"MIDC/Pre-Production",RM_PM_Quantity[Section],$C38,RM_PM_Quantity[RM Name],$E38),0)</f>
        <v>0</v>
      </c>
      <c r="BL38" s="84">
        <f>SUMIFS(RM_PM_Quantity[Quantity],RM_PM_Quantity[Date],BL$1,RM_PM_Quantity[Location],$D38,RM_PM_Quantity[Section],$C38,RM_PM_Quantity[RM Name],$E38)+IF($D38="MIND/Pre-Production",SUMIFS(RM_PM_Quantity[Quantity],RM_PM_Quantity[Date],BL$1,RM_PM_Quantity[Location],"MIDC/Pre-Production",RM_PM_Quantity[Section],$C38,RM_PM_Quantity[RM Name],$E38),0)</f>
        <v>0</v>
      </c>
      <c r="BM38" s="84">
        <f>SUMIFS(RM_PM_Quantity[Quantity],RM_PM_Quantity[Date],BM$1,RM_PM_Quantity[Location],$D38,RM_PM_Quantity[Section],$C38,RM_PM_Quantity[RM Name],$E38)+IF($D38="MIND/Pre-Production",SUMIFS(RM_PM_Quantity[Quantity],RM_PM_Quantity[Date],BM$1,RM_PM_Quantity[Location],"MIDC/Pre-Production",RM_PM_Quantity[Section],$C38,RM_PM_Quantity[RM Name],$E38),0)</f>
        <v>0</v>
      </c>
      <c r="BN38" s="84">
        <f>SUMIFS(RM_PM_Quantity[Quantity],RM_PM_Quantity[Date],BN$1,RM_PM_Quantity[Location],$D38,RM_PM_Quantity[Section],$C38,RM_PM_Quantity[RM Name],$E38)+IF($D38="MIND/Pre-Production",SUMIFS(RM_PM_Quantity[Quantity],RM_PM_Quantity[Date],BN$1,RM_PM_Quantity[Location],"MIDC/Pre-Production",RM_PM_Quantity[Section],$C38,RM_PM_Quantity[RM Name],$E38),0)</f>
        <v>0</v>
      </c>
      <c r="BO38" s="84">
        <f>SUMIFS(RM_PM_Quantity[Quantity],RM_PM_Quantity[Date],BO$1,RM_PM_Quantity[Location],$D38,RM_PM_Quantity[Section],$C38,RM_PM_Quantity[RM Name],$E38)+IF($D38="MIND/Pre-Production",SUMIFS(RM_PM_Quantity[Quantity],RM_PM_Quantity[Date],BO$1,RM_PM_Quantity[Location],"MIDC/Pre-Production",RM_PM_Quantity[Section],$C38,RM_PM_Quantity[RM Name],$E38),0)</f>
        <v>0</v>
      </c>
      <c r="BP38" s="84">
        <f>SUMIFS(RM_PM_Quantity[Quantity],RM_PM_Quantity[Date],BP$1,RM_PM_Quantity[Location],$D38,RM_PM_Quantity[Section],$C38,RM_PM_Quantity[RM Name],$E38)+IF($D38="MIND/Pre-Production",SUMIFS(RM_PM_Quantity[Quantity],RM_PM_Quantity[Date],BP$1,RM_PM_Quantity[Location],"MIDC/Pre-Production",RM_PM_Quantity[Section],$C38,RM_PM_Quantity[RM Name],$E38),0)</f>
        <v>0</v>
      </c>
      <c r="BQ38" s="84">
        <f>SUMIFS(RM_PM_Quantity[Quantity],RM_PM_Quantity[Date],BQ$1,RM_PM_Quantity[Location],$D38,RM_PM_Quantity[Section],$C38,RM_PM_Quantity[RM Name],$E38)+IF($D38="MIND/Pre-Production",SUMIFS(RM_PM_Quantity[Quantity],RM_PM_Quantity[Date],BQ$1,RM_PM_Quantity[Location],"MIDC/Pre-Production",RM_PM_Quantity[Section],$C38,RM_PM_Quantity[RM Name],$E38),0)</f>
        <v>0</v>
      </c>
      <c r="BR38" s="84">
        <f>SUMIFS(RM_PM_Quantity[Quantity],RM_PM_Quantity[Date],BR$1,RM_PM_Quantity[Location],$D38,RM_PM_Quantity[Section],$C38,RM_PM_Quantity[RM Name],$E38)+IF($D38="MIND/Pre-Production",SUMIFS(RM_PM_Quantity[Quantity],RM_PM_Quantity[Date],BR$1,RM_PM_Quantity[Location],"MIDC/Pre-Production",RM_PM_Quantity[Section],$C38,RM_PM_Quantity[RM Name],$E38),0)</f>
        <v>0</v>
      </c>
      <c r="BS38" s="84">
        <f>SUMIFS(RM_PM_Quantity[Quantity],RM_PM_Quantity[Date],BS$1,RM_PM_Quantity[Location],$D38,RM_PM_Quantity[Section],$C38,RM_PM_Quantity[RM Name],$E38)+IF($D38="MIND/Pre-Production",SUMIFS(RM_PM_Quantity[Quantity],RM_PM_Quantity[Date],BS$1,RM_PM_Quantity[Location],"MIDC/Pre-Production",RM_PM_Quantity[Section],$C38,RM_PM_Quantity[RM Name],$E38),0)</f>
        <v>0</v>
      </c>
      <c r="BT38" s="84">
        <f>SUMIFS(RM_PM_Quantity[ID],RM_PM_Quantity[Location],BT$1,RM_PM_Quantity[Section],$D38,RM_PM_Quantity[RM Name],$C38,RM_PM_Quantity[Quantity],$E38)+IF($D38="MIND/Pre-Production",SUMIFS(RM_PM_Quantity[ID],RM_PM_Quantity[Location],BT$1,RM_PM_Quantity[Section],"MIDC/Pre-Production",RM_PM_Quantity[RM Name],$C38,RM_PM_Quantity[Quantity],$E38),0)</f>
        <v>0</v>
      </c>
      <c r="BU38" s="84">
        <f>SUMIFS(RM_PM_Quantity[Name of Supervisor],RM_PM_Quantity[Section],BU$1,RM_PM_Quantity[RM Name],$D38,RM_PM_Quantity[Quantity],$C38,RM_PM_Quantity[ID],$E38)+IF($D38="MIND/Pre-Production",SUMIFS(RM_PM_Quantity[Name of Supervisor],RM_PM_Quantity[Section],BU$1,RM_PM_Quantity[RM Name],"MIDC/Pre-Production",RM_PM_Quantity[Quantity],$C38,RM_PM_Quantity[ID],$E38),0)</f>
        <v>0</v>
      </c>
      <c r="BV38" s="84">
        <f>SUMIFS(RM_PM_Quantity[Date],RM_PM_Quantity[RM Name],BV$1,RM_PM_Quantity[Quantity],$D38,RM_PM_Quantity[ID],$C38,RM_PM_Quantity[Name of Supervisor],$E38)+IF($D38="MIND/Pre-Production",SUMIFS(RM_PM_Quantity[Date],RM_PM_Quantity[RM Name],BV$1,RM_PM_Quantity[Quantity],"MIDC/Pre-Production",RM_PM_Quantity[ID],$C38,RM_PM_Quantity[Name of Supervisor],$E38),0)</f>
        <v>0</v>
      </c>
      <c r="BW38" s="84">
        <f>SUMIFS(RM_PM_Quantity[Location],RM_PM_Quantity[Quantity],BW$1,RM_PM_Quantity[ID],$D38,RM_PM_Quantity[Name of Supervisor],$C38,RM_PM_Quantity[Date],$E38)+IF($D38="MIND/Pre-Production",SUMIFS(RM_PM_Quantity[Location],RM_PM_Quantity[Quantity],BW$1,RM_PM_Quantity[ID],"MIDC/Pre-Production",RM_PM_Quantity[Name of Supervisor],$C38,RM_PM_Quantity[Date],$E38),0)</f>
        <v>0</v>
      </c>
      <c r="BX38" s="84">
        <f>SUMIFS(RM_PM_Quantity[Section],RM_PM_Quantity[ID],BX$1,RM_PM_Quantity[Name of Supervisor],$D38,RM_PM_Quantity[Date],$C38,RM_PM_Quantity[Location],$E38)+IF($D38="MIND/Pre-Production",SUMIFS(RM_PM_Quantity[Section],RM_PM_Quantity[ID],BX$1,RM_PM_Quantity[Name of Supervisor],"MIDC/Pre-Production",RM_PM_Quantity[Date],$C38,RM_PM_Quantity[Location],$E38),0)</f>
        <v>0</v>
      </c>
      <c r="BY38" s="84">
        <f>SUMIFS(RM_PM_Quantity[RM Name],RM_PM_Quantity[Name of Supervisor],BY$1,RM_PM_Quantity[Date],$D38,RM_PM_Quantity[Location],$C38,RM_PM_Quantity[Section],$E38)+IF($D38="MIND/Pre-Production",SUMIFS(RM_PM_Quantity[RM Name],RM_PM_Quantity[Name of Supervisor],BY$1,RM_PM_Quantity[Date],"MIDC/Pre-Production",RM_PM_Quantity[Location],$C38,RM_PM_Quantity[Section],$E38),0)</f>
        <v>0</v>
      </c>
    </row>
    <row r="39" spans="1:77" ht="45.75" customHeight="1">
      <c r="A39" s="79">
        <v>38</v>
      </c>
      <c r="B39" s="79" t="s">
        <v>98</v>
      </c>
      <c r="C39" s="88" t="s">
        <v>125</v>
      </c>
      <c r="D39" s="81" t="s">
        <v>54</v>
      </c>
      <c r="E39" s="82" t="s">
        <v>99</v>
      </c>
      <c r="F39" s="83">
        <f>IFERROR(_xlfn.XLOOKUP(B39,'[1]RM Tracker'!B:B,'[1]RM Tracker'!E:E),"0")</f>
        <v>16433</v>
      </c>
      <c r="G39" s="85">
        <f t="shared" si="2"/>
        <v>0</v>
      </c>
      <c r="H39" s="85">
        <f t="shared" si="3"/>
        <v>-16433</v>
      </c>
      <c r="I39" s="91">
        <f t="shared" si="4"/>
        <v>0</v>
      </c>
      <c r="J39" s="84">
        <f>SUMIFS(RM_PM_Quantity[Quantity],RM_PM_Quantity[Date],J$1,RM_PM_Quantity[Location],$D39,RM_PM_Quantity[Section],$C39,RM_PM_Quantity[RM Name],$E39)+IF($D39="MIND/Pre-Production",SUMIFS(RM_PM_Quantity[Quantity],RM_PM_Quantity[Date],J$1,RM_PM_Quantity[Location],"MIDC/Pre-Production",RM_PM_Quantity[Section],$C39,RM_PM_Quantity[RM Name],$E39),0)</f>
        <v>2500</v>
      </c>
      <c r="K39" s="84">
        <f>SUMIFS(RM_PM_Quantity[Quantity],RM_PM_Quantity[Date],K$1,RM_PM_Quantity[Location],$D39,RM_PM_Quantity[Section],$C39,RM_PM_Quantity[RM Name],$E39)+IF($D39="MIND/Pre-Production",SUMIFS(RM_PM_Quantity[Quantity],RM_PM_Quantity[Date],K$1,RM_PM_Quantity[Location],"MIDC/Pre-Production",RM_PM_Quantity[Section],$C39,RM_PM_Quantity[RM Name],$E39),0)</f>
        <v>0</v>
      </c>
      <c r="L39" s="84">
        <f>SUMIFS(RM_PM_Quantity[Quantity],RM_PM_Quantity[Date],L$1,RM_PM_Quantity[Location],$D39,RM_PM_Quantity[Section],$C39,RM_PM_Quantity[RM Name],$E39)+IF($D39="MIND/Pre-Production",SUMIFS(RM_PM_Quantity[Quantity],RM_PM_Quantity[Date],L$1,RM_PM_Quantity[Location],"MIDC/Pre-Production",RM_PM_Quantity[Section],$C39,RM_PM_Quantity[RM Name],$E39),0)</f>
        <v>0</v>
      </c>
      <c r="M39" s="84">
        <f>SUMIFS(RM_PM_Quantity[Quantity],RM_PM_Quantity[Date],M$1,RM_PM_Quantity[Location],$D39,RM_PM_Quantity[Section],$C39,RM_PM_Quantity[RM Name],$E39)+IF($D39="MIND/Pre-Production",SUMIFS(RM_PM_Quantity[Quantity],RM_PM_Quantity[Date],M$1,RM_PM_Quantity[Location],"MIDC/Pre-Production",RM_PM_Quantity[Section],$C39,RM_PM_Quantity[RM Name],$E39),0)</f>
        <v>0</v>
      </c>
      <c r="N39" s="84">
        <f>SUMIFS(RM_PM_Quantity[Quantity],RM_PM_Quantity[Date],N$1,RM_PM_Quantity[Location],$D39,RM_PM_Quantity[Section],$C39,RM_PM_Quantity[RM Name],$E39)+IF($D39="MIND/Pre-Production",SUMIFS(RM_PM_Quantity[Quantity],RM_PM_Quantity[Date],N$1,RM_PM_Quantity[Location],"MIDC/Pre-Production",RM_PM_Quantity[Section],$C39,RM_PM_Quantity[RM Name],$E39),0)</f>
        <v>0</v>
      </c>
      <c r="O39" s="84">
        <f>SUMIFS(RM_PM_Quantity[Quantity],RM_PM_Quantity[Date],O$1,RM_PM_Quantity[Location],$D39,RM_PM_Quantity[Section],$C39,RM_PM_Quantity[RM Name],$E39)+IF($D39="MIND/Pre-Production",SUMIFS(RM_PM_Quantity[Quantity],RM_PM_Quantity[Date],O$1,RM_PM_Quantity[Location],"MIDC/Pre-Production",RM_PM_Quantity[Section],$C39,RM_PM_Quantity[RM Name],$E39),0)</f>
        <v>0</v>
      </c>
      <c r="P39" s="84">
        <f>SUMIFS(RM_PM_Quantity[Quantity],RM_PM_Quantity[Date],P$1,RM_PM_Quantity[Location],$D39,RM_PM_Quantity[Section],$C39,RM_PM_Quantity[RM Name],$E39)+IF($D39="MIND/Pre-Production",SUMIFS(RM_PM_Quantity[Quantity],RM_PM_Quantity[Date],P$1,RM_PM_Quantity[Location],"MIDC/Pre-Production",RM_PM_Quantity[Section],$C39,RM_PM_Quantity[RM Name],$E39),0)</f>
        <v>0</v>
      </c>
      <c r="Q39" s="84">
        <f>SUMIFS(RM_PM_Quantity[Quantity],RM_PM_Quantity[Date],Q$1,RM_PM_Quantity[Location],$D39,RM_PM_Quantity[Section],$C39,RM_PM_Quantity[RM Name],$E39)+IF($D39="MIND/Pre-Production",SUMIFS(RM_PM_Quantity[Quantity],RM_PM_Quantity[Date],Q$1,RM_PM_Quantity[Location],"MIDC/Pre-Production",RM_PM_Quantity[Section],$C39,RM_PM_Quantity[RM Name],$E39),0)</f>
        <v>0</v>
      </c>
      <c r="R39" s="84">
        <f>SUMIFS(RM_PM_Quantity[Quantity],RM_PM_Quantity[Date],R$1,RM_PM_Quantity[Location],$D39,RM_PM_Quantity[Section],$C39,RM_PM_Quantity[RM Name],$E39)+IF($D39="MIND/Pre-Production",SUMIFS(RM_PM_Quantity[Quantity],RM_PM_Quantity[Date],R$1,RM_PM_Quantity[Location],"MIDC/Pre-Production",RM_PM_Quantity[Section],$C39,RM_PM_Quantity[RM Name],$E39),0)</f>
        <v>0</v>
      </c>
      <c r="S39" s="84">
        <f>SUMIFS(RM_PM_Quantity[Quantity],RM_PM_Quantity[Date],S$1,RM_PM_Quantity[Location],$D39,RM_PM_Quantity[Section],$C39,RM_PM_Quantity[RM Name],$E39)+IF($D39="MIND/Pre-Production",SUMIFS(RM_PM_Quantity[Quantity],RM_PM_Quantity[Date],S$1,RM_PM_Quantity[Location],"MIDC/Pre-Production",RM_PM_Quantity[Section],$C39,RM_PM_Quantity[RM Name],$E39),0)</f>
        <v>0</v>
      </c>
      <c r="T39" s="84">
        <f>SUMIFS(RM_PM_Quantity[Quantity],RM_PM_Quantity[Date],T$1,RM_PM_Quantity[Location],$D39,RM_PM_Quantity[Section],$C39,RM_PM_Quantity[RM Name],$E39)+IF($D39="MIND/Pre-Production",SUMIFS(RM_PM_Quantity[Quantity],RM_PM_Quantity[Date],T$1,RM_PM_Quantity[Location],"MIDC/Pre-Production",RM_PM_Quantity[Section],$C39,RM_PM_Quantity[RM Name],$E39),0)</f>
        <v>2000</v>
      </c>
      <c r="U39" s="84">
        <f>SUMIFS(RM_PM_Quantity[Quantity],RM_PM_Quantity[Date],U$1,RM_PM_Quantity[Location],$D39,RM_PM_Quantity[Section],$C39,RM_PM_Quantity[RM Name],$E39)+IF($D39="MIND/Pre-Production",SUMIFS(RM_PM_Quantity[Quantity],RM_PM_Quantity[Date],U$1,RM_PM_Quantity[Location],"MIDC/Pre-Production",RM_PM_Quantity[Section],$C39,RM_PM_Quantity[RM Name],$E39),0)</f>
        <v>0</v>
      </c>
      <c r="V39" s="84">
        <f>SUMIFS(RM_PM_Quantity[Quantity],RM_PM_Quantity[Date],V$1,RM_PM_Quantity[Location],$D39,RM_PM_Quantity[Section],$C39,RM_PM_Quantity[RM Name],$E39)+IF($D39="MIND/Pre-Production",SUMIFS(RM_PM_Quantity[Quantity],RM_PM_Quantity[Date],V$1,RM_PM_Quantity[Location],"MIDC/Pre-Production",RM_PM_Quantity[Section],$C39,RM_PM_Quantity[RM Name],$E39),0)</f>
        <v>0</v>
      </c>
      <c r="W39" s="84">
        <f>SUMIFS(RM_PM_Quantity[Quantity],RM_PM_Quantity[Date],W$1,RM_PM_Quantity[Location],$D39,RM_PM_Quantity[Section],$C39,RM_PM_Quantity[RM Name],$E39)+IF($D39="MIND/Pre-Production",SUMIFS(RM_PM_Quantity[Quantity],RM_PM_Quantity[Date],W$1,RM_PM_Quantity[Location],"MIDC/Pre-Production",RM_PM_Quantity[Section],$C39,RM_PM_Quantity[RM Name],$E39),0)</f>
        <v>0</v>
      </c>
      <c r="X39" s="84">
        <f>SUMIFS(RM_PM_Quantity[Quantity],RM_PM_Quantity[Date],X$1,RM_PM_Quantity[Location],$D39,RM_PM_Quantity[Section],$C39,RM_PM_Quantity[RM Name],$E39)+IF($D39="MIND/Pre-Production",SUMIFS(RM_PM_Quantity[Quantity],RM_PM_Quantity[Date],X$1,RM_PM_Quantity[Location],"MIDC/Pre-Production",RM_PM_Quantity[Section],$C39,RM_PM_Quantity[RM Name],$E39),0)</f>
        <v>0</v>
      </c>
      <c r="Y39" s="84">
        <f>SUMIFS(RM_PM_Quantity[Quantity],RM_PM_Quantity[Date],Y$1,RM_PM_Quantity[Location],$D39,RM_PM_Quantity[Section],$C39,RM_PM_Quantity[RM Name],$E39)+IF($D39="MIND/Pre-Production",SUMIFS(RM_PM_Quantity[Quantity],RM_PM_Quantity[Date],Y$1,RM_PM_Quantity[Location],"MIDC/Pre-Production",RM_PM_Quantity[Section],$C39,RM_PM_Quantity[RM Name],$E39),0)</f>
        <v>5000</v>
      </c>
      <c r="Z39" s="84">
        <f>SUMIFS(RM_PM_Quantity[Quantity],RM_PM_Quantity[Date],Z$1,RM_PM_Quantity[Location],$D39,RM_PM_Quantity[Section],$C39,RM_PM_Quantity[RM Name],$E39)+IF($D39="MIND/Pre-Production",SUMIFS(RM_PM_Quantity[Quantity],RM_PM_Quantity[Date],Z$1,RM_PM_Quantity[Location],"MIDC/Pre-Production",RM_PM_Quantity[Section],$C39,RM_PM_Quantity[RM Name],$E39),0)</f>
        <v>0</v>
      </c>
      <c r="AA39" s="84">
        <f>SUMIFS(RM_PM_Quantity[Quantity],RM_PM_Quantity[Date],AA$1,RM_PM_Quantity[Location],$D39,RM_PM_Quantity[Section],$C39,RM_PM_Quantity[RM Name],$E39)+IF($D39="MIND/Pre-Production",SUMIFS(RM_PM_Quantity[Quantity],RM_PM_Quantity[Date],AA$1,RM_PM_Quantity[Location],"MIDC/Pre-Production",RM_PM_Quantity[Section],$C39,RM_PM_Quantity[RM Name],$E39),0)</f>
        <v>0</v>
      </c>
      <c r="AB39" s="84">
        <f>SUMIFS(RM_PM_Quantity[Quantity],RM_PM_Quantity[Date],AB$1,RM_PM_Quantity[Location],$D39,RM_PM_Quantity[Section],$C39,RM_PM_Quantity[RM Name],$E39)+IF($D39="MIND/Pre-Production",SUMIFS(RM_PM_Quantity[Quantity],RM_PM_Quantity[Date],AB$1,RM_PM_Quantity[Location],"MIDC/Pre-Production",RM_PM_Quantity[Section],$C39,RM_PM_Quantity[RM Name],$E39),0)</f>
        <v>0</v>
      </c>
      <c r="AC39" s="84">
        <f>SUMIFS(RM_PM_Quantity[Quantity],RM_PM_Quantity[Date],AC$1,RM_PM_Quantity[Location],$D39,RM_PM_Quantity[Section],$C39,RM_PM_Quantity[RM Name],$E39)+IF($D39="MIND/Pre-Production",SUMIFS(RM_PM_Quantity[Quantity],RM_PM_Quantity[Date],AC$1,RM_PM_Quantity[Location],"MIDC/Pre-Production",RM_PM_Quantity[Section],$C39,RM_PM_Quantity[RM Name],$E39),0)</f>
        <v>0</v>
      </c>
      <c r="AD39" s="84">
        <f>SUMIFS(RM_PM_Quantity[Quantity],RM_PM_Quantity[Date],AD$1,RM_PM_Quantity[Location],$D39,RM_PM_Quantity[Section],$C39,RM_PM_Quantity[RM Name],$E39)+IF($D39="MIND/Pre-Production",SUMIFS(RM_PM_Quantity[Quantity],RM_PM_Quantity[Date],AD$1,RM_PM_Quantity[Location],"MIDC/Pre-Production",RM_PM_Quantity[Section],$C39,RM_PM_Quantity[RM Name],$E39),0)</f>
        <v>0</v>
      </c>
      <c r="AE39" s="84">
        <f>SUMIFS(RM_PM_Quantity[Quantity],RM_PM_Quantity[Date],AE$1,RM_PM_Quantity[Location],$D39,RM_PM_Quantity[Section],$C39,RM_PM_Quantity[RM Name],$E39)+IF($D39="MIND/Pre-Production",SUMIFS(RM_PM_Quantity[Quantity],RM_PM_Quantity[Date],AE$1,RM_PM_Quantity[Location],"MIDC/Pre-Production",RM_PM_Quantity[Section],$C39,RM_PM_Quantity[RM Name],$E39),0)</f>
        <v>0</v>
      </c>
      <c r="AF39" s="84">
        <f>SUMIFS(RM_PM_Quantity[Quantity],RM_PM_Quantity[Date],AF$1,RM_PM_Quantity[Location],$D39,RM_PM_Quantity[Section],$C39,RM_PM_Quantity[RM Name],$E39)+IF($D39="MIND/Pre-Production",SUMIFS(RM_PM_Quantity[Quantity],RM_PM_Quantity[Date],AF$1,RM_PM_Quantity[Location],"MIDC/Pre-Production",RM_PM_Quantity[Section],$C39,RM_PM_Quantity[RM Name],$E39),0)</f>
        <v>5000</v>
      </c>
      <c r="AG39" s="84">
        <f>SUMIFS(RM_PM_Quantity[Quantity],RM_PM_Quantity[Date],AG$1,RM_PM_Quantity[Location],$D39,RM_PM_Quantity[Section],$C39,RM_PM_Quantity[RM Name],$E39)+IF($D39="MIND/Pre-Production",SUMIFS(RM_PM_Quantity[Quantity],RM_PM_Quantity[Date],AG$1,RM_PM_Quantity[Location],"MIDC/Pre-Production",RM_PM_Quantity[Section],$C39,RM_PM_Quantity[RM Name],$E39),0)</f>
        <v>0</v>
      </c>
      <c r="AH39" s="84">
        <f>SUMIFS(RM_PM_Quantity[Quantity],RM_PM_Quantity[Date],AH$1,RM_PM_Quantity[Location],$D39,RM_PM_Quantity[Section],$C39,RM_PM_Quantity[RM Name],$E39)+IF($D39="MIND/Pre-Production",SUMIFS(RM_PM_Quantity[Quantity],RM_PM_Quantity[Date],AH$1,RM_PM_Quantity[Location],"MIDC/Pre-Production",RM_PM_Quantity[Section],$C39,RM_PM_Quantity[RM Name],$E39),0)</f>
        <v>3400</v>
      </c>
      <c r="AI39" s="84">
        <f>SUMIFS(RM_PM_Quantity[Quantity],RM_PM_Quantity[Date],AI$1,RM_PM_Quantity[Location],$D39,RM_PM_Quantity[Section],$C39,RM_PM_Quantity[RM Name],$E39)+IF($D39="MIND/Pre-Production",SUMIFS(RM_PM_Quantity[Quantity],RM_PM_Quantity[Date],AI$1,RM_PM_Quantity[Location],"MIDC/Pre-Production",RM_PM_Quantity[Section],$C39,RM_PM_Quantity[RM Name],$E39),0)</f>
        <v>0</v>
      </c>
      <c r="AJ39" s="84">
        <f>SUMIFS(RM_PM_Quantity[Quantity],RM_PM_Quantity[Date],AJ$1,RM_PM_Quantity[Location],$D39,RM_PM_Quantity[Section],$C39,RM_PM_Quantity[RM Name],$E39)+IF($D39="MIND/Pre-Production",SUMIFS(RM_PM_Quantity[Quantity],RM_PM_Quantity[Date],AJ$1,RM_PM_Quantity[Location],"MIDC/Pre-Production",RM_PM_Quantity[Section],$C39,RM_PM_Quantity[RM Name],$E39),0)</f>
        <v>5000</v>
      </c>
      <c r="AK39" s="84">
        <f>SUMIFS(RM_PM_Quantity[Quantity],RM_PM_Quantity[Date],AK$1,RM_PM_Quantity[Location],$D39,RM_PM_Quantity[Section],$C39,RM_PM_Quantity[RM Name],$E39)+IF($D39="MIND/Pre-Production",SUMIFS(RM_PM_Quantity[Quantity],RM_PM_Quantity[Date],AK$1,RM_PM_Quantity[Location],"MIDC/Pre-Production",RM_PM_Quantity[Section],$C39,RM_PM_Quantity[RM Name],$E39),0)</f>
        <v>0</v>
      </c>
      <c r="AL39" s="84">
        <f>SUMIFS(RM_PM_Quantity[Quantity],RM_PM_Quantity[Date],AL$1,RM_PM_Quantity[Location],$D39,RM_PM_Quantity[Section],$C39,RM_PM_Quantity[RM Name],$E39)+IF($D39="MIND/Pre-Production",SUMIFS(RM_PM_Quantity[Quantity],RM_PM_Quantity[Date],AL$1,RM_PM_Quantity[Location],"MIDC/Pre-Production",RM_PM_Quantity[Section],$C39,RM_PM_Quantity[RM Name],$E39),0)</f>
        <v>2000</v>
      </c>
      <c r="AM39" s="84">
        <f>SUMIFS(RM_PM_Quantity[Quantity],RM_PM_Quantity[Date],AM$1,RM_PM_Quantity[Location],$D39,RM_PM_Quantity[Section],$C39,RM_PM_Quantity[RM Name],$E39)+IF($D39="MIND/Pre-Production",SUMIFS(RM_PM_Quantity[Quantity],RM_PM_Quantity[Date],AM$1,RM_PM_Quantity[Location],"MIDC/Pre-Production",RM_PM_Quantity[Section],$C39,RM_PM_Quantity[RM Name],$E39),0)</f>
        <v>3100</v>
      </c>
      <c r="AN39" s="84">
        <f>SUMIFS(RM_PM_Quantity[Quantity],RM_PM_Quantity[Date],AN$1,RM_PM_Quantity[Location],$D39,RM_PM_Quantity[Section],$C39,RM_PM_Quantity[RM Name],$E39)+IF($D39="MIND/Pre-Production",SUMIFS(RM_PM_Quantity[Quantity],RM_PM_Quantity[Date],AN$1,RM_PM_Quantity[Location],"MIDC/Pre-Production",RM_PM_Quantity[Section],$C39,RM_PM_Quantity[RM Name],$E39),0)</f>
        <v>0</v>
      </c>
      <c r="AO39" s="84">
        <f>SUMIFS(RM_PM_Quantity[Quantity],RM_PM_Quantity[Date],AO$1,RM_PM_Quantity[Location],$D39,RM_PM_Quantity[Section],$C39,RM_PM_Quantity[RM Name],$E39)+IF($D39="MIND/Pre-Production",SUMIFS(RM_PM_Quantity[Quantity],RM_PM_Quantity[Date],AO$1,RM_PM_Quantity[Location],"MIDC/Pre-Production",RM_PM_Quantity[Section],$C39,RM_PM_Quantity[RM Name],$E39),0)</f>
        <v>0</v>
      </c>
      <c r="AP39" s="84">
        <f>SUMIFS(RM_PM_Quantity[Quantity],RM_PM_Quantity[Date],AP$1,RM_PM_Quantity[Location],$D39,RM_PM_Quantity[Section],$C39,RM_PM_Quantity[RM Name],$E39)+IF($D39="MIND/Pre-Production",SUMIFS(RM_PM_Quantity[Quantity],RM_PM_Quantity[Date],AP$1,RM_PM_Quantity[Location],"MIDC/Pre-Production",RM_PM_Quantity[Section],$C39,RM_PM_Quantity[RM Name],$E39),0)</f>
        <v>0</v>
      </c>
      <c r="AQ39" s="84">
        <f>SUMIFS(RM_PM_Quantity[Quantity],RM_PM_Quantity[Date],AQ$1,RM_PM_Quantity[Location],$D39,RM_PM_Quantity[Section],$C39,RM_PM_Quantity[RM Name],$E39)+IF($D39="MIND/Pre-Production",SUMIFS(RM_PM_Quantity[Quantity],RM_PM_Quantity[Date],AQ$1,RM_PM_Quantity[Location],"MIDC/Pre-Production",RM_PM_Quantity[Section],$C39,RM_PM_Quantity[RM Name],$E39),0)</f>
        <v>0</v>
      </c>
      <c r="AR39" s="84">
        <f>SUMIFS(RM_PM_Quantity[Quantity],RM_PM_Quantity[Date],AR$1,RM_PM_Quantity[Location],$D39,RM_PM_Quantity[Section],$C39,RM_PM_Quantity[RM Name],$E39)+IF($D39="MIND/Pre-Production",SUMIFS(RM_PM_Quantity[Quantity],RM_PM_Quantity[Date],AR$1,RM_PM_Quantity[Location],"MIDC/Pre-Production",RM_PM_Quantity[Section],$C39,RM_PM_Quantity[RM Name],$E39),0)</f>
        <v>0</v>
      </c>
      <c r="AS39" s="84">
        <f>SUMIFS(RM_PM_Quantity[Quantity],RM_PM_Quantity[Date],AS$1,RM_PM_Quantity[Location],$D39,RM_PM_Quantity[Section],$C39,RM_PM_Quantity[RM Name],$E39)+IF($D39="MIND/Pre-Production",SUMIFS(RM_PM_Quantity[Quantity],RM_PM_Quantity[Date],AS$1,RM_PM_Quantity[Location],"MIDC/Pre-Production",RM_PM_Quantity[Section],$C39,RM_PM_Quantity[RM Name],$E39),0)</f>
        <v>6600</v>
      </c>
      <c r="AT39" s="84">
        <f>SUMIFS(RM_PM_Quantity[Quantity],RM_PM_Quantity[Date],AT$1,RM_PM_Quantity[Location],$D39,RM_PM_Quantity[Section],$C39,RM_PM_Quantity[RM Name],$E39)+IF($D39="MIND/Pre-Production",SUMIFS(RM_PM_Quantity[Quantity],RM_PM_Quantity[Date],AT$1,RM_PM_Quantity[Location],"MIDC/Pre-Production",RM_PM_Quantity[Section],$C39,RM_PM_Quantity[RM Name],$E39),0)</f>
        <v>0</v>
      </c>
      <c r="AU39" s="84">
        <f>SUMIFS(RM_PM_Quantity[Quantity],RM_PM_Quantity[Date],AU$1,RM_PM_Quantity[Location],$D39,RM_PM_Quantity[Section],$C39,RM_PM_Quantity[RM Name],$E39)+IF($D39="MIND/Pre-Production",SUMIFS(RM_PM_Quantity[Quantity],RM_PM_Quantity[Date],AU$1,RM_PM_Quantity[Location],"MIDC/Pre-Production",RM_PM_Quantity[Section],$C39,RM_PM_Quantity[RM Name],$E39),0)</f>
        <v>0</v>
      </c>
      <c r="AV39" s="84">
        <f>SUMIFS(RM_PM_Quantity[Quantity],RM_PM_Quantity[Date],AV$1,RM_PM_Quantity[Location],$D39,RM_PM_Quantity[Section],$C39,RM_PM_Quantity[RM Name],$E39)+IF($D39="MIND/Pre-Production",SUMIFS(RM_PM_Quantity[Quantity],RM_PM_Quantity[Date],AV$1,RM_PM_Quantity[Location],"MIDC/Pre-Production",RM_PM_Quantity[Section],$C39,RM_PM_Quantity[RM Name],$E39),0)</f>
        <v>0</v>
      </c>
      <c r="AW39" s="84">
        <f>SUMIFS(RM_PM_Quantity[Quantity],RM_PM_Quantity[Date],AW$1,RM_PM_Quantity[Location],$D39,RM_PM_Quantity[Section],$C39,RM_PM_Quantity[RM Name],$E39)+IF($D39="MIND/Pre-Production",SUMIFS(RM_PM_Quantity[Quantity],RM_PM_Quantity[Date],AW$1,RM_PM_Quantity[Location],"MIDC/Pre-Production",RM_PM_Quantity[Section],$C39,RM_PM_Quantity[RM Name],$E39),0)</f>
        <v>0</v>
      </c>
      <c r="AX39" s="84">
        <f>SUMIFS(RM_PM_Quantity[Quantity],RM_PM_Quantity[Date],AX$1,RM_PM_Quantity[Location],$D39,RM_PM_Quantity[Section],$C39,RM_PM_Quantity[RM Name],$E39)+IF($D39="MIND/Pre-Production",SUMIFS(RM_PM_Quantity[Quantity],RM_PM_Quantity[Date],AX$1,RM_PM_Quantity[Location],"MIDC/Pre-Production",RM_PM_Quantity[Section],$C39,RM_PM_Quantity[RM Name],$E39),0)</f>
        <v>0</v>
      </c>
      <c r="AY39" s="84">
        <f>SUMIFS(RM_PM_Quantity[Quantity],RM_PM_Quantity[Date],AY$1,RM_PM_Quantity[Location],$D39,RM_PM_Quantity[Section],$C39,RM_PM_Quantity[RM Name],$E39)+IF($D39="MIND/Pre-Production",SUMIFS(RM_PM_Quantity[Quantity],RM_PM_Quantity[Date],AY$1,RM_PM_Quantity[Location],"MIDC/Pre-Production",RM_PM_Quantity[Section],$C39,RM_PM_Quantity[RM Name],$E39),0)</f>
        <v>0</v>
      </c>
      <c r="AZ39" s="84">
        <f>SUMIFS(RM_PM_Quantity[Quantity],RM_PM_Quantity[Date],AZ$1,RM_PM_Quantity[Location],$D39,RM_PM_Quantity[Section],$C39,RM_PM_Quantity[RM Name],$E39)+IF($D39="MIND/Pre-Production",SUMIFS(RM_PM_Quantity[Quantity],RM_PM_Quantity[Date],AZ$1,RM_PM_Quantity[Location],"MIDC/Pre-Production",RM_PM_Quantity[Section],$C39,RM_PM_Quantity[RM Name],$E39),0)</f>
        <v>0</v>
      </c>
      <c r="BA39" s="84">
        <f>SUMIFS(RM_PM_Quantity[Quantity],RM_PM_Quantity[Date],BA$1,RM_PM_Quantity[Location],$D39,RM_PM_Quantity[Section],$C39,RM_PM_Quantity[RM Name],$E39)+IF($D39="MIND/Pre-Production",SUMIFS(RM_PM_Quantity[Quantity],RM_PM_Quantity[Date],BA$1,RM_PM_Quantity[Location],"MIDC/Pre-Production",RM_PM_Quantity[Section],$C39,RM_PM_Quantity[RM Name],$E39),0)</f>
        <v>0</v>
      </c>
      <c r="BB39" s="84">
        <f>SUMIFS(RM_PM_Quantity[Quantity],RM_PM_Quantity[Date],BB$1,RM_PM_Quantity[Location],$D39,RM_PM_Quantity[Section],$C39,RM_PM_Quantity[RM Name],$E39)+IF($D39="MIND/Pre-Production",SUMIFS(RM_PM_Quantity[Quantity],RM_PM_Quantity[Date],BB$1,RM_PM_Quantity[Location],"MIDC/Pre-Production",RM_PM_Quantity[Section],$C39,RM_PM_Quantity[RM Name],$E39),0)</f>
        <v>0</v>
      </c>
      <c r="BC39" s="84">
        <f>SUMIFS(RM_PM_Quantity[Quantity],RM_PM_Quantity[Date],BC$1,RM_PM_Quantity[Location],$D39,RM_PM_Quantity[Section],$C39,RM_PM_Quantity[RM Name],$E39)+IF($D39="MIND/Pre-Production",SUMIFS(RM_PM_Quantity[Quantity],RM_PM_Quantity[Date],BC$1,RM_PM_Quantity[Location],"MIDC/Pre-Production",RM_PM_Quantity[Section],$C39,RM_PM_Quantity[RM Name],$E39),0)</f>
        <v>0</v>
      </c>
      <c r="BD39" s="84">
        <f>SUMIFS(RM_PM_Quantity[Quantity],RM_PM_Quantity[Date],BD$1,RM_PM_Quantity[Location],$D39,RM_PM_Quantity[Section],$C39,RM_PM_Quantity[RM Name],$E39)+IF($D39="MIND/Pre-Production",SUMIFS(RM_PM_Quantity[Quantity],RM_PM_Quantity[Date],BD$1,RM_PM_Quantity[Location],"MIDC/Pre-Production",RM_PM_Quantity[Section],$C39,RM_PM_Quantity[RM Name],$E39),0)</f>
        <v>0</v>
      </c>
      <c r="BE39" s="84">
        <f>SUMIFS(RM_PM_Quantity[Quantity],RM_PM_Quantity[Date],BE$1,RM_PM_Quantity[Location],$D39,RM_PM_Quantity[Section],$C39,RM_PM_Quantity[RM Name],$E39)+IF($D39="MIND/Pre-Production",SUMIFS(RM_PM_Quantity[Quantity],RM_PM_Quantity[Date],BE$1,RM_PM_Quantity[Location],"MIDC/Pre-Production",RM_PM_Quantity[Section],$C39,RM_PM_Quantity[RM Name],$E39),0)</f>
        <v>0</v>
      </c>
      <c r="BF39" s="84">
        <f>SUMIFS(RM_PM_Quantity[Quantity],RM_PM_Quantity[Date],BF$1,RM_PM_Quantity[Location],$D39,RM_PM_Quantity[Section],$C39,RM_PM_Quantity[RM Name],$E39)+IF($D39="MIND/Pre-Production",SUMIFS(RM_PM_Quantity[Quantity],RM_PM_Quantity[Date],BF$1,RM_PM_Quantity[Location],"MIDC/Pre-Production",RM_PM_Quantity[Section],$C39,RM_PM_Quantity[RM Name],$E39),0)</f>
        <v>0</v>
      </c>
      <c r="BG39" s="84">
        <f>SUMIFS(RM_PM_Quantity[Quantity],RM_PM_Quantity[Date],BG$1,RM_PM_Quantity[Location],$D39,RM_PM_Quantity[Section],$C39,RM_PM_Quantity[RM Name],$E39)+IF($D39="MIND/Pre-Production",SUMIFS(RM_PM_Quantity[Quantity],RM_PM_Quantity[Date],BG$1,RM_PM_Quantity[Location],"MIDC/Pre-Production",RM_PM_Quantity[Section],$C39,RM_PM_Quantity[RM Name],$E39),0)</f>
        <v>0</v>
      </c>
      <c r="BH39" s="84">
        <f>SUMIFS(RM_PM_Quantity[Quantity],RM_PM_Quantity[Date],BH$1,RM_PM_Quantity[Location],$D39,RM_PM_Quantity[Section],$C39,RM_PM_Quantity[RM Name],$E39)+IF($D39="MIND/Pre-Production",SUMIFS(RM_PM_Quantity[Quantity],RM_PM_Quantity[Date],BH$1,RM_PM_Quantity[Location],"MIDC/Pre-Production",RM_PM_Quantity[Section],$C39,RM_PM_Quantity[RM Name],$E39),0)</f>
        <v>0</v>
      </c>
      <c r="BI39" s="84">
        <f>SUMIFS(RM_PM_Quantity[Quantity],RM_PM_Quantity[Date],BI$1,RM_PM_Quantity[Location],$D39,RM_PM_Quantity[Section],$C39,RM_PM_Quantity[RM Name],$E39)+IF($D39="MIND/Pre-Production",SUMIFS(RM_PM_Quantity[Quantity],RM_PM_Quantity[Date],BI$1,RM_PM_Quantity[Location],"MIDC/Pre-Production",RM_PM_Quantity[Section],$C39,RM_PM_Quantity[RM Name],$E39),0)</f>
        <v>0</v>
      </c>
      <c r="BJ39" s="84">
        <f>SUMIFS(RM_PM_Quantity[Quantity],RM_PM_Quantity[Date],BJ$1,RM_PM_Quantity[Location],$D39,RM_PM_Quantity[Section],$C39,RM_PM_Quantity[RM Name],$E39)+IF($D39="MIND/Pre-Production",SUMIFS(RM_PM_Quantity[Quantity],RM_PM_Quantity[Date],BJ$1,RM_PM_Quantity[Location],"MIDC/Pre-Production",RM_PM_Quantity[Section],$C39,RM_PM_Quantity[RM Name],$E39),0)</f>
        <v>0</v>
      </c>
      <c r="BK39" s="84">
        <f>SUMIFS(RM_PM_Quantity[Quantity],RM_PM_Quantity[Date],BK$1,RM_PM_Quantity[Location],$D39,RM_PM_Quantity[Section],$C39,RM_PM_Quantity[RM Name],$E39)+IF($D39="MIND/Pre-Production",SUMIFS(RM_PM_Quantity[Quantity],RM_PM_Quantity[Date],BK$1,RM_PM_Quantity[Location],"MIDC/Pre-Production",RM_PM_Quantity[Section],$C39,RM_PM_Quantity[RM Name],$E39),0)</f>
        <v>0</v>
      </c>
      <c r="BL39" s="84">
        <f>SUMIFS(RM_PM_Quantity[Quantity],RM_PM_Quantity[Date],BL$1,RM_PM_Quantity[Location],$D39,RM_PM_Quantity[Section],$C39,RM_PM_Quantity[RM Name],$E39)+IF($D39="MIND/Pre-Production",SUMIFS(RM_PM_Quantity[Quantity],RM_PM_Quantity[Date],BL$1,RM_PM_Quantity[Location],"MIDC/Pre-Production",RM_PM_Quantity[Section],$C39,RM_PM_Quantity[RM Name],$E39),0)</f>
        <v>0</v>
      </c>
      <c r="BM39" s="84">
        <f>SUMIFS(RM_PM_Quantity[Quantity],RM_PM_Quantity[Date],BM$1,RM_PM_Quantity[Location],$D39,RM_PM_Quantity[Section],$C39,RM_PM_Quantity[RM Name],$E39)+IF($D39="MIND/Pre-Production",SUMIFS(RM_PM_Quantity[Quantity],RM_PM_Quantity[Date],BM$1,RM_PM_Quantity[Location],"MIDC/Pre-Production",RM_PM_Quantity[Section],$C39,RM_PM_Quantity[RM Name],$E39),0)</f>
        <v>0</v>
      </c>
      <c r="BN39" s="84">
        <f>SUMIFS(RM_PM_Quantity[Quantity],RM_PM_Quantity[Date],BN$1,RM_PM_Quantity[Location],$D39,RM_PM_Quantity[Section],$C39,RM_PM_Quantity[RM Name],$E39)+IF($D39="MIND/Pre-Production",SUMIFS(RM_PM_Quantity[Quantity],RM_PM_Quantity[Date],BN$1,RM_PM_Quantity[Location],"MIDC/Pre-Production",RM_PM_Quantity[Section],$C39,RM_PM_Quantity[RM Name],$E39),0)</f>
        <v>0</v>
      </c>
      <c r="BO39" s="84">
        <f>SUMIFS(RM_PM_Quantity[Quantity],RM_PM_Quantity[Date],BO$1,RM_PM_Quantity[Location],$D39,RM_PM_Quantity[Section],$C39,RM_PM_Quantity[RM Name],$E39)+IF($D39="MIND/Pre-Production",SUMIFS(RM_PM_Quantity[Quantity],RM_PM_Quantity[Date],BO$1,RM_PM_Quantity[Location],"MIDC/Pre-Production",RM_PM_Quantity[Section],$C39,RM_PM_Quantity[RM Name],$E39),0)</f>
        <v>0</v>
      </c>
      <c r="BP39" s="84">
        <f>SUMIFS(RM_PM_Quantity[Quantity],RM_PM_Quantity[Date],BP$1,RM_PM_Quantity[Location],$D39,RM_PM_Quantity[Section],$C39,RM_PM_Quantity[RM Name],$E39)+IF($D39="MIND/Pre-Production",SUMIFS(RM_PM_Quantity[Quantity],RM_PM_Quantity[Date],BP$1,RM_PM_Quantity[Location],"MIDC/Pre-Production",RM_PM_Quantity[Section],$C39,RM_PM_Quantity[RM Name],$E39),0)</f>
        <v>0</v>
      </c>
      <c r="BQ39" s="84">
        <f>SUMIFS(RM_PM_Quantity[Quantity],RM_PM_Quantity[Date],BQ$1,RM_PM_Quantity[Location],$D39,RM_PM_Quantity[Section],$C39,RM_PM_Quantity[RM Name],$E39)+IF($D39="MIND/Pre-Production",SUMIFS(RM_PM_Quantity[Quantity],RM_PM_Quantity[Date],BQ$1,RM_PM_Quantity[Location],"MIDC/Pre-Production",RM_PM_Quantity[Section],$C39,RM_PM_Quantity[RM Name],$E39),0)</f>
        <v>0</v>
      </c>
      <c r="BR39" s="84">
        <f>SUMIFS(RM_PM_Quantity[Quantity],RM_PM_Quantity[Date],BR$1,RM_PM_Quantity[Location],$D39,RM_PM_Quantity[Section],$C39,RM_PM_Quantity[RM Name],$E39)+IF($D39="MIND/Pre-Production",SUMIFS(RM_PM_Quantity[Quantity],RM_PM_Quantity[Date],BR$1,RM_PM_Quantity[Location],"MIDC/Pre-Production",RM_PM_Quantity[Section],$C39,RM_PM_Quantity[RM Name],$E39),0)</f>
        <v>0</v>
      </c>
      <c r="BS39" s="84">
        <f>SUMIFS(RM_PM_Quantity[Quantity],RM_PM_Quantity[Date],BS$1,RM_PM_Quantity[Location],$D39,RM_PM_Quantity[Section],$C39,RM_PM_Quantity[RM Name],$E39)+IF($D39="MIND/Pre-Production",SUMIFS(RM_PM_Quantity[Quantity],RM_PM_Quantity[Date],BS$1,RM_PM_Quantity[Location],"MIDC/Pre-Production",RM_PM_Quantity[Section],$C39,RM_PM_Quantity[RM Name],$E39),0)</f>
        <v>0</v>
      </c>
      <c r="BT39" s="84">
        <f>SUMIFS(RM_PM_Quantity[ID],RM_PM_Quantity[Location],BT$1,RM_PM_Quantity[Section],$D39,RM_PM_Quantity[RM Name],$C39,RM_PM_Quantity[Quantity],$E39)+IF($D39="MIND/Pre-Production",SUMIFS(RM_PM_Quantity[ID],RM_PM_Quantity[Location],BT$1,RM_PM_Quantity[Section],"MIDC/Pre-Production",RM_PM_Quantity[RM Name],$C39,RM_PM_Quantity[Quantity],$E39),0)</f>
        <v>0</v>
      </c>
      <c r="BU39" s="84">
        <f>SUMIFS(RM_PM_Quantity[Name of Supervisor],RM_PM_Quantity[Section],BU$1,RM_PM_Quantity[RM Name],$D39,RM_PM_Quantity[Quantity],$C39,RM_PM_Quantity[ID],$E39)+IF($D39="MIND/Pre-Production",SUMIFS(RM_PM_Quantity[Name of Supervisor],RM_PM_Quantity[Section],BU$1,RM_PM_Quantity[RM Name],"MIDC/Pre-Production",RM_PM_Quantity[Quantity],$C39,RM_PM_Quantity[ID],$E39),0)</f>
        <v>0</v>
      </c>
      <c r="BV39" s="84">
        <f>SUMIFS(RM_PM_Quantity[Date],RM_PM_Quantity[RM Name],BV$1,RM_PM_Quantity[Quantity],$D39,RM_PM_Quantity[ID],$C39,RM_PM_Quantity[Name of Supervisor],$E39)+IF($D39="MIND/Pre-Production",SUMIFS(RM_PM_Quantity[Date],RM_PM_Quantity[RM Name],BV$1,RM_PM_Quantity[Quantity],"MIDC/Pre-Production",RM_PM_Quantity[ID],$C39,RM_PM_Quantity[Name of Supervisor],$E39),0)</f>
        <v>0</v>
      </c>
      <c r="BW39" s="84">
        <f>SUMIFS(RM_PM_Quantity[Location],RM_PM_Quantity[Quantity],BW$1,RM_PM_Quantity[ID],$D39,RM_PM_Quantity[Name of Supervisor],$C39,RM_PM_Quantity[Date],$E39)+IF($D39="MIND/Pre-Production",SUMIFS(RM_PM_Quantity[Location],RM_PM_Quantity[Quantity],BW$1,RM_PM_Quantity[ID],"MIDC/Pre-Production",RM_PM_Quantity[Name of Supervisor],$C39,RM_PM_Quantity[Date],$E39),0)</f>
        <v>0</v>
      </c>
      <c r="BX39" s="84">
        <f>SUMIFS(RM_PM_Quantity[Section],RM_PM_Quantity[ID],BX$1,RM_PM_Quantity[Name of Supervisor],$D39,RM_PM_Quantity[Date],$C39,RM_PM_Quantity[Location],$E39)+IF($D39="MIND/Pre-Production",SUMIFS(RM_PM_Quantity[Section],RM_PM_Quantity[ID],BX$1,RM_PM_Quantity[Name of Supervisor],"MIDC/Pre-Production",RM_PM_Quantity[Date],$C39,RM_PM_Quantity[Location],$E39),0)</f>
        <v>0</v>
      </c>
      <c r="BY39" s="84">
        <f>SUMIFS(RM_PM_Quantity[RM Name],RM_PM_Quantity[Name of Supervisor],BY$1,RM_PM_Quantity[Date],$D39,RM_PM_Quantity[Location],$C39,RM_PM_Quantity[Section],$E39)+IF($D39="MIND/Pre-Production",SUMIFS(RM_PM_Quantity[RM Name],RM_PM_Quantity[Name of Supervisor],BY$1,RM_PM_Quantity[Date],"MIDC/Pre-Production",RM_PM_Quantity[Location],$C39,RM_PM_Quantity[Section],$E39),0)</f>
        <v>0</v>
      </c>
    </row>
    <row r="40" spans="1:77" ht="45.75" customHeight="1">
      <c r="A40" s="79">
        <v>39</v>
      </c>
      <c r="B40" s="79" t="s">
        <v>84</v>
      </c>
      <c r="C40" s="88" t="s">
        <v>125</v>
      </c>
      <c r="D40" s="81" t="s">
        <v>54</v>
      </c>
      <c r="E40" s="82" t="s">
        <v>93</v>
      </c>
      <c r="F40" s="83" t="str">
        <f>IFERROR(_xlfn.XLOOKUP(B40,'[1]RM Tracker'!B:B,'[1]RM Tracker'!E:E),"0")</f>
        <v>0</v>
      </c>
      <c r="G40" s="85">
        <f t="shared" si="2"/>
        <v>35050</v>
      </c>
      <c r="H40" s="85">
        <f t="shared" si="3"/>
        <v>35050</v>
      </c>
      <c r="I40" s="91">
        <f t="shared" si="4"/>
        <v>0</v>
      </c>
      <c r="J40" s="84">
        <f>SUMIFS(RM_PM_Quantity[Quantity],RM_PM_Quantity[Date],J$1,RM_PM_Quantity[Location],$D40,RM_PM_Quantity[Section],$C40,RM_PM_Quantity[RM Name],$E40)+IF($D40="MIND/Pre-Production",SUMIFS(RM_PM_Quantity[Quantity],RM_PM_Quantity[Date],J$1,RM_PM_Quantity[Location],"MIDC/Pre-Production",RM_PM_Quantity[Section],$C40,RM_PM_Quantity[RM Name],$E40),0)</f>
        <v>0</v>
      </c>
      <c r="K40" s="84">
        <f>SUMIFS(RM_PM_Quantity[Quantity],RM_PM_Quantity[Date],K$1,RM_PM_Quantity[Location],$D40,RM_PM_Quantity[Section],$C40,RM_PM_Quantity[RM Name],$E40)+IF($D40="MIND/Pre-Production",SUMIFS(RM_PM_Quantity[Quantity],RM_PM_Quantity[Date],K$1,RM_PM_Quantity[Location],"MIDC/Pre-Production",RM_PM_Quantity[Section],$C40,RM_PM_Quantity[RM Name],$E40),0)</f>
        <v>8100</v>
      </c>
      <c r="L40" s="84">
        <f>SUMIFS(RM_PM_Quantity[Quantity],RM_PM_Quantity[Date],L$1,RM_PM_Quantity[Location],$D40,RM_PM_Quantity[Section],$C40,RM_PM_Quantity[RM Name],$E40)+IF($D40="MIND/Pre-Production",SUMIFS(RM_PM_Quantity[Quantity],RM_PM_Quantity[Date],L$1,RM_PM_Quantity[Location],"MIDC/Pre-Production",RM_PM_Quantity[Section],$C40,RM_PM_Quantity[RM Name],$E40),0)</f>
        <v>0</v>
      </c>
      <c r="M40" s="84">
        <f>SUMIFS(RM_PM_Quantity[Quantity],RM_PM_Quantity[Date],M$1,RM_PM_Quantity[Location],$D40,RM_PM_Quantity[Section],$C40,RM_PM_Quantity[RM Name],$E40)+IF($D40="MIND/Pre-Production",SUMIFS(RM_PM_Quantity[Quantity],RM_PM_Quantity[Date],M$1,RM_PM_Quantity[Location],"MIDC/Pre-Production",RM_PM_Quantity[Section],$C40,RM_PM_Quantity[RM Name],$E40),0)</f>
        <v>0</v>
      </c>
      <c r="N40" s="84">
        <f>SUMIFS(RM_PM_Quantity[Quantity],RM_PM_Quantity[Date],N$1,RM_PM_Quantity[Location],$D40,RM_PM_Quantity[Section],$C40,RM_PM_Quantity[RM Name],$E40)+IF($D40="MIND/Pre-Production",SUMIFS(RM_PM_Quantity[Quantity],RM_PM_Quantity[Date],N$1,RM_PM_Quantity[Location],"MIDC/Pre-Production",RM_PM_Quantity[Section],$C40,RM_PM_Quantity[RM Name],$E40),0)</f>
        <v>0</v>
      </c>
      <c r="O40" s="84">
        <f>SUMIFS(RM_PM_Quantity[Quantity],RM_PM_Quantity[Date],O$1,RM_PM_Quantity[Location],$D40,RM_PM_Quantity[Section],$C40,RM_PM_Quantity[RM Name],$E40)+IF($D40="MIND/Pre-Production",SUMIFS(RM_PM_Quantity[Quantity],RM_PM_Quantity[Date],O$1,RM_PM_Quantity[Location],"MIDC/Pre-Production",RM_PM_Quantity[Section],$C40,RM_PM_Quantity[RM Name],$E40),0)</f>
        <v>0</v>
      </c>
      <c r="P40" s="84">
        <f>SUMIFS(RM_PM_Quantity[Quantity],RM_PM_Quantity[Date],P$1,RM_PM_Quantity[Location],$D40,RM_PM_Quantity[Section],$C40,RM_PM_Quantity[RM Name],$E40)+IF($D40="MIND/Pre-Production",SUMIFS(RM_PM_Quantity[Quantity],RM_PM_Quantity[Date],P$1,RM_PM_Quantity[Location],"MIDC/Pre-Production",RM_PM_Quantity[Section],$C40,RM_PM_Quantity[RM Name],$E40),0)</f>
        <v>0</v>
      </c>
      <c r="Q40" s="84">
        <f>SUMIFS(RM_PM_Quantity[Quantity],RM_PM_Quantity[Date],Q$1,RM_PM_Quantity[Location],$D40,RM_PM_Quantity[Section],$C40,RM_PM_Quantity[RM Name],$E40)+IF($D40="MIND/Pre-Production",SUMIFS(RM_PM_Quantity[Quantity],RM_PM_Quantity[Date],Q$1,RM_PM_Quantity[Location],"MIDC/Pre-Production",RM_PM_Quantity[Section],$C40,RM_PM_Quantity[RM Name],$E40),0)</f>
        <v>0</v>
      </c>
      <c r="R40" s="84">
        <f>SUMIFS(RM_PM_Quantity[Quantity],RM_PM_Quantity[Date],R$1,RM_PM_Quantity[Location],$D40,RM_PM_Quantity[Section],$C40,RM_PM_Quantity[RM Name],$E40)+IF($D40="MIND/Pre-Production",SUMIFS(RM_PM_Quantity[Quantity],RM_PM_Quantity[Date],R$1,RM_PM_Quantity[Location],"MIDC/Pre-Production",RM_PM_Quantity[Section],$C40,RM_PM_Quantity[RM Name],$E40),0)</f>
        <v>0</v>
      </c>
      <c r="S40" s="84">
        <f>SUMIFS(RM_PM_Quantity[Quantity],RM_PM_Quantity[Date],S$1,RM_PM_Quantity[Location],$D40,RM_PM_Quantity[Section],$C40,RM_PM_Quantity[RM Name],$E40)+IF($D40="MIND/Pre-Production",SUMIFS(RM_PM_Quantity[Quantity],RM_PM_Quantity[Date],S$1,RM_PM_Quantity[Location],"MIDC/Pre-Production",RM_PM_Quantity[Section],$C40,RM_PM_Quantity[RM Name],$E40),0)</f>
        <v>0</v>
      </c>
      <c r="T40" s="84">
        <f>SUMIFS(RM_PM_Quantity[Quantity],RM_PM_Quantity[Date],T$1,RM_PM_Quantity[Location],$D40,RM_PM_Quantity[Section],$C40,RM_PM_Quantity[RM Name],$E40)+IF($D40="MIND/Pre-Production",SUMIFS(RM_PM_Quantity[Quantity],RM_PM_Quantity[Date],T$1,RM_PM_Quantity[Location],"MIDC/Pre-Production",RM_PM_Quantity[Section],$C40,RM_PM_Quantity[RM Name],$E40),0)</f>
        <v>0</v>
      </c>
      <c r="U40" s="84">
        <f>SUMIFS(RM_PM_Quantity[Quantity],RM_PM_Quantity[Date],U$1,RM_PM_Quantity[Location],$D40,RM_PM_Quantity[Section],$C40,RM_PM_Quantity[RM Name],$E40)+IF($D40="MIND/Pre-Production",SUMIFS(RM_PM_Quantity[Quantity],RM_PM_Quantity[Date],U$1,RM_PM_Quantity[Location],"MIDC/Pre-Production",RM_PM_Quantity[Section],$C40,RM_PM_Quantity[RM Name],$E40),0)</f>
        <v>0</v>
      </c>
      <c r="V40" s="84">
        <f>SUMIFS(RM_PM_Quantity[Quantity],RM_PM_Quantity[Date],V$1,RM_PM_Quantity[Location],$D40,RM_PM_Quantity[Section],$C40,RM_PM_Quantity[RM Name],$E40)+IF($D40="MIND/Pre-Production",SUMIFS(RM_PM_Quantity[Quantity],RM_PM_Quantity[Date],V$1,RM_PM_Quantity[Location],"MIDC/Pre-Production",RM_PM_Quantity[Section],$C40,RM_PM_Quantity[RM Name],$E40),0)</f>
        <v>45500</v>
      </c>
      <c r="W40" s="84">
        <f>SUMIFS(RM_PM_Quantity[Quantity],RM_PM_Quantity[Date],W$1,RM_PM_Quantity[Location],$D40,RM_PM_Quantity[Section],$C40,RM_PM_Quantity[RM Name],$E40)+IF($D40="MIND/Pre-Production",SUMIFS(RM_PM_Quantity[Quantity],RM_PM_Quantity[Date],W$1,RM_PM_Quantity[Location],"MIDC/Pre-Production",RM_PM_Quantity[Section],$C40,RM_PM_Quantity[RM Name],$E40),0)</f>
        <v>0</v>
      </c>
      <c r="X40" s="84">
        <f>SUMIFS(RM_PM_Quantity[Quantity],RM_PM_Quantity[Date],X$1,RM_PM_Quantity[Location],$D40,RM_PM_Quantity[Section],$C40,RM_PM_Quantity[RM Name],$E40)+IF($D40="MIND/Pre-Production",SUMIFS(RM_PM_Quantity[Quantity],RM_PM_Quantity[Date],X$1,RM_PM_Quantity[Location],"MIDC/Pre-Production",RM_PM_Quantity[Section],$C40,RM_PM_Quantity[RM Name],$E40),0)</f>
        <v>0</v>
      </c>
      <c r="Y40" s="84">
        <f>SUMIFS(RM_PM_Quantity[Quantity],RM_PM_Quantity[Date],Y$1,RM_PM_Quantity[Location],$D40,RM_PM_Quantity[Section],$C40,RM_PM_Quantity[RM Name],$E40)+IF($D40="MIND/Pre-Production",SUMIFS(RM_PM_Quantity[Quantity],RM_PM_Quantity[Date],Y$1,RM_PM_Quantity[Location],"MIDC/Pre-Production",RM_PM_Quantity[Section],$C40,RM_PM_Quantity[RM Name],$E40),0)</f>
        <v>0</v>
      </c>
      <c r="Z40" s="84">
        <f>SUMIFS(RM_PM_Quantity[Quantity],RM_PM_Quantity[Date],Z$1,RM_PM_Quantity[Location],$D40,RM_PM_Quantity[Section],$C40,RM_PM_Quantity[RM Name],$E40)+IF($D40="MIND/Pre-Production",SUMIFS(RM_PM_Quantity[Quantity],RM_PM_Quantity[Date],Z$1,RM_PM_Quantity[Location],"MIDC/Pre-Production",RM_PM_Quantity[Section],$C40,RM_PM_Quantity[RM Name],$E40),0)</f>
        <v>0</v>
      </c>
      <c r="AA40" s="84">
        <f>SUMIFS(RM_PM_Quantity[Quantity],RM_PM_Quantity[Date],AA$1,RM_PM_Quantity[Location],$D40,RM_PM_Quantity[Section],$C40,RM_PM_Quantity[RM Name],$E40)+IF($D40="MIND/Pre-Production",SUMIFS(RM_PM_Quantity[Quantity],RM_PM_Quantity[Date],AA$1,RM_PM_Quantity[Location],"MIDC/Pre-Production",RM_PM_Quantity[Section],$C40,RM_PM_Quantity[RM Name],$E40),0)</f>
        <v>0</v>
      </c>
      <c r="AB40" s="84">
        <f>SUMIFS(RM_PM_Quantity[Quantity],RM_PM_Quantity[Date],AB$1,RM_PM_Quantity[Location],$D40,RM_PM_Quantity[Section],$C40,RM_PM_Quantity[RM Name],$E40)+IF($D40="MIND/Pre-Production",SUMIFS(RM_PM_Quantity[Quantity],RM_PM_Quantity[Date],AB$1,RM_PM_Quantity[Location],"MIDC/Pre-Production",RM_PM_Quantity[Section],$C40,RM_PM_Quantity[RM Name],$E40),0)</f>
        <v>0</v>
      </c>
      <c r="AC40" s="84">
        <f>SUMIFS(RM_PM_Quantity[Quantity],RM_PM_Quantity[Date],AC$1,RM_PM_Quantity[Location],$D40,RM_PM_Quantity[Section],$C40,RM_PM_Quantity[RM Name],$E40)+IF($D40="MIND/Pre-Production",SUMIFS(RM_PM_Quantity[Quantity],RM_PM_Quantity[Date],AC$1,RM_PM_Quantity[Location],"MIDC/Pre-Production",RM_PM_Quantity[Section],$C40,RM_PM_Quantity[RM Name],$E40),0)</f>
        <v>0</v>
      </c>
      <c r="AD40" s="84">
        <f>SUMIFS(RM_PM_Quantity[Quantity],RM_PM_Quantity[Date],AD$1,RM_PM_Quantity[Location],$D40,RM_PM_Quantity[Section],$C40,RM_PM_Quantity[RM Name],$E40)+IF($D40="MIND/Pre-Production",SUMIFS(RM_PM_Quantity[Quantity],RM_PM_Quantity[Date],AD$1,RM_PM_Quantity[Location],"MIDC/Pre-Production",RM_PM_Quantity[Section],$C40,RM_PM_Quantity[RM Name],$E40),0)</f>
        <v>0</v>
      </c>
      <c r="AE40" s="84">
        <f>SUMIFS(RM_PM_Quantity[Quantity],RM_PM_Quantity[Date],AE$1,RM_PM_Quantity[Location],$D40,RM_PM_Quantity[Section],$C40,RM_PM_Quantity[RM Name],$E40)+IF($D40="MIND/Pre-Production",SUMIFS(RM_PM_Quantity[Quantity],RM_PM_Quantity[Date],AE$1,RM_PM_Quantity[Location],"MIDC/Pre-Production",RM_PM_Quantity[Section],$C40,RM_PM_Quantity[RM Name],$E40),0)</f>
        <v>0</v>
      </c>
      <c r="AF40" s="84">
        <f>SUMIFS(RM_PM_Quantity[Quantity],RM_PM_Quantity[Date],AF$1,RM_PM_Quantity[Location],$D40,RM_PM_Quantity[Section],$C40,RM_PM_Quantity[RM Name],$E40)+IF($D40="MIND/Pre-Production",SUMIFS(RM_PM_Quantity[Quantity],RM_PM_Quantity[Date],AF$1,RM_PM_Quantity[Location],"MIDC/Pre-Production",RM_PM_Quantity[Section],$C40,RM_PM_Quantity[RM Name],$E40),0)</f>
        <v>0</v>
      </c>
      <c r="AG40" s="84">
        <f>SUMIFS(RM_PM_Quantity[Quantity],RM_PM_Quantity[Date],AG$1,RM_PM_Quantity[Location],$D40,RM_PM_Quantity[Section],$C40,RM_PM_Quantity[RM Name],$E40)+IF($D40="MIND/Pre-Production",SUMIFS(RM_PM_Quantity[Quantity],RM_PM_Quantity[Date],AG$1,RM_PM_Quantity[Location],"MIDC/Pre-Production",RM_PM_Quantity[Section],$C40,RM_PM_Quantity[RM Name],$E40),0)</f>
        <v>0</v>
      </c>
      <c r="AH40" s="84">
        <f>SUMIFS(RM_PM_Quantity[Quantity],RM_PM_Quantity[Date],AH$1,RM_PM_Quantity[Location],$D40,RM_PM_Quantity[Section],$C40,RM_PM_Quantity[RM Name],$E40)+IF($D40="MIND/Pre-Production",SUMIFS(RM_PM_Quantity[Quantity],RM_PM_Quantity[Date],AH$1,RM_PM_Quantity[Location],"MIDC/Pre-Production",RM_PM_Quantity[Section],$C40,RM_PM_Quantity[RM Name],$E40),0)</f>
        <v>0</v>
      </c>
      <c r="AI40" s="84">
        <f>SUMIFS(RM_PM_Quantity[Quantity],RM_PM_Quantity[Date],AI$1,RM_PM_Quantity[Location],$D40,RM_PM_Quantity[Section],$C40,RM_PM_Quantity[RM Name],$E40)+IF($D40="MIND/Pre-Production",SUMIFS(RM_PM_Quantity[Quantity],RM_PM_Quantity[Date],AI$1,RM_PM_Quantity[Location],"MIDC/Pre-Production",RM_PM_Quantity[Section],$C40,RM_PM_Quantity[RM Name],$E40),0)</f>
        <v>0</v>
      </c>
      <c r="AJ40" s="84">
        <f>SUMIFS(RM_PM_Quantity[Quantity],RM_PM_Quantity[Date],AJ$1,RM_PM_Quantity[Location],$D40,RM_PM_Quantity[Section],$C40,RM_PM_Quantity[RM Name],$E40)+IF($D40="MIND/Pre-Production",SUMIFS(RM_PM_Quantity[Quantity],RM_PM_Quantity[Date],AJ$1,RM_PM_Quantity[Location],"MIDC/Pre-Production",RM_PM_Quantity[Section],$C40,RM_PM_Quantity[RM Name],$E40),0)</f>
        <v>0</v>
      </c>
      <c r="AK40" s="84">
        <f>SUMIFS(RM_PM_Quantity[Quantity],RM_PM_Quantity[Date],AK$1,RM_PM_Quantity[Location],$D40,RM_PM_Quantity[Section],$C40,RM_PM_Quantity[RM Name],$E40)+IF($D40="MIND/Pre-Production",SUMIFS(RM_PM_Quantity[Quantity],RM_PM_Quantity[Date],AK$1,RM_PM_Quantity[Location],"MIDC/Pre-Production",RM_PM_Quantity[Section],$C40,RM_PM_Quantity[RM Name],$E40),0)</f>
        <v>0</v>
      </c>
      <c r="AL40" s="84">
        <f>SUMIFS(RM_PM_Quantity[Quantity],RM_PM_Quantity[Date],AL$1,RM_PM_Quantity[Location],$D40,RM_PM_Quantity[Section],$C40,RM_PM_Quantity[RM Name],$E40)+IF($D40="MIND/Pre-Production",SUMIFS(RM_PM_Quantity[Quantity],RM_PM_Quantity[Date],AL$1,RM_PM_Quantity[Location],"MIDC/Pre-Production",RM_PM_Quantity[Section],$C40,RM_PM_Quantity[RM Name],$E40),0)</f>
        <v>15034</v>
      </c>
      <c r="AM40" s="84">
        <f>SUMIFS(RM_PM_Quantity[Quantity],RM_PM_Quantity[Date],AM$1,RM_PM_Quantity[Location],$D40,RM_PM_Quantity[Section],$C40,RM_PM_Quantity[RM Name],$E40)+IF($D40="MIND/Pre-Production",SUMIFS(RM_PM_Quantity[Quantity],RM_PM_Quantity[Date],AM$1,RM_PM_Quantity[Location],"MIDC/Pre-Production",RM_PM_Quantity[Section],$C40,RM_PM_Quantity[RM Name],$E40),0)</f>
        <v>0</v>
      </c>
      <c r="AN40" s="84">
        <f>SUMIFS(RM_PM_Quantity[Quantity],RM_PM_Quantity[Date],AN$1,RM_PM_Quantity[Location],$D40,RM_PM_Quantity[Section],$C40,RM_PM_Quantity[RM Name],$E40)+IF($D40="MIND/Pre-Production",SUMIFS(RM_PM_Quantity[Quantity],RM_PM_Quantity[Date],AN$1,RM_PM_Quantity[Location],"MIDC/Pre-Production",RM_PM_Quantity[Section],$C40,RM_PM_Quantity[RM Name],$E40),0)</f>
        <v>20422</v>
      </c>
      <c r="AO40" s="84">
        <f>SUMIFS(RM_PM_Quantity[Quantity],RM_PM_Quantity[Date],AO$1,RM_PM_Quantity[Location],$D40,RM_PM_Quantity[Section],$C40,RM_PM_Quantity[RM Name],$E40)+IF($D40="MIND/Pre-Production",SUMIFS(RM_PM_Quantity[Quantity],RM_PM_Quantity[Date],AO$1,RM_PM_Quantity[Location],"MIDC/Pre-Production",RM_PM_Quantity[Section],$C40,RM_PM_Quantity[RM Name],$E40),0)</f>
        <v>0</v>
      </c>
      <c r="AP40" s="84">
        <f>SUMIFS(RM_PM_Quantity[Quantity],RM_PM_Quantity[Date],AP$1,RM_PM_Quantity[Location],$D40,RM_PM_Quantity[Section],$C40,RM_PM_Quantity[RM Name],$E40)+IF($D40="MIND/Pre-Production",SUMIFS(RM_PM_Quantity[Quantity],RM_PM_Quantity[Date],AP$1,RM_PM_Quantity[Location],"MIDC/Pre-Production",RM_PM_Quantity[Section],$C40,RM_PM_Quantity[RM Name],$E40),0)</f>
        <v>23000</v>
      </c>
      <c r="AQ40" s="84">
        <f>SUMIFS(RM_PM_Quantity[Quantity],RM_PM_Quantity[Date],AQ$1,RM_PM_Quantity[Location],$D40,RM_PM_Quantity[Section],$C40,RM_PM_Quantity[RM Name],$E40)+IF($D40="MIND/Pre-Production",SUMIFS(RM_PM_Quantity[Quantity],RM_PM_Quantity[Date],AQ$1,RM_PM_Quantity[Location],"MIDC/Pre-Production",RM_PM_Quantity[Section],$C40,RM_PM_Quantity[RM Name],$E40),0)</f>
        <v>0</v>
      </c>
      <c r="AR40" s="84">
        <f>SUMIFS(RM_PM_Quantity[Quantity],RM_PM_Quantity[Date],AR$1,RM_PM_Quantity[Location],$D40,RM_PM_Quantity[Section],$C40,RM_PM_Quantity[RM Name],$E40)+IF($D40="MIND/Pre-Production",SUMIFS(RM_PM_Quantity[Quantity],RM_PM_Quantity[Date],AR$1,RM_PM_Quantity[Location],"MIDC/Pre-Production",RM_PM_Quantity[Section],$C40,RM_PM_Quantity[RM Name],$E40),0)</f>
        <v>6550</v>
      </c>
      <c r="AS40" s="84">
        <f>SUMIFS(RM_PM_Quantity[Quantity],RM_PM_Quantity[Date],AS$1,RM_PM_Quantity[Location],$D40,RM_PM_Quantity[Section],$C40,RM_PM_Quantity[RM Name],$E40)+IF($D40="MIND/Pre-Production",SUMIFS(RM_PM_Quantity[Quantity],RM_PM_Quantity[Date],AS$1,RM_PM_Quantity[Location],"MIDC/Pre-Production",RM_PM_Quantity[Section],$C40,RM_PM_Quantity[RM Name],$E40),0)</f>
        <v>0</v>
      </c>
      <c r="AT40" s="84">
        <f>SUMIFS(RM_PM_Quantity[Quantity],RM_PM_Quantity[Date],AT$1,RM_PM_Quantity[Location],$D40,RM_PM_Quantity[Section],$C40,RM_PM_Quantity[RM Name],$E40)+IF($D40="MIND/Pre-Production",SUMIFS(RM_PM_Quantity[Quantity],RM_PM_Quantity[Date],AT$1,RM_PM_Quantity[Location],"MIDC/Pre-Production",RM_PM_Quantity[Section],$C40,RM_PM_Quantity[RM Name],$E40),0)</f>
        <v>0</v>
      </c>
      <c r="AU40" s="84">
        <f>SUMIFS(RM_PM_Quantity[Quantity],RM_PM_Quantity[Date],AU$1,RM_PM_Quantity[Location],$D40,RM_PM_Quantity[Section],$C40,RM_PM_Quantity[RM Name],$E40)+IF($D40="MIND/Pre-Production",SUMIFS(RM_PM_Quantity[Quantity],RM_PM_Quantity[Date],AU$1,RM_PM_Quantity[Location],"MIDC/Pre-Production",RM_PM_Quantity[Section],$C40,RM_PM_Quantity[RM Name],$E40),0)</f>
        <v>0</v>
      </c>
      <c r="AV40" s="84">
        <f>SUMIFS(RM_PM_Quantity[Quantity],RM_PM_Quantity[Date],AV$1,RM_PM_Quantity[Location],$D40,RM_PM_Quantity[Section],$C40,RM_PM_Quantity[RM Name],$E40)+IF($D40="MIND/Pre-Production",SUMIFS(RM_PM_Quantity[Quantity],RM_PM_Quantity[Date],AV$1,RM_PM_Quantity[Location],"MIDC/Pre-Production",RM_PM_Quantity[Section],$C40,RM_PM_Quantity[RM Name],$E40),0)</f>
        <v>0</v>
      </c>
      <c r="AW40" s="84">
        <f>SUMIFS(RM_PM_Quantity[Quantity],RM_PM_Quantity[Date],AW$1,RM_PM_Quantity[Location],$D40,RM_PM_Quantity[Section],$C40,RM_PM_Quantity[RM Name],$E40)+IF($D40="MIND/Pre-Production",SUMIFS(RM_PM_Quantity[Quantity],RM_PM_Quantity[Date],AW$1,RM_PM_Quantity[Location],"MIDC/Pre-Production",RM_PM_Quantity[Section],$C40,RM_PM_Quantity[RM Name],$E40),0)</f>
        <v>0</v>
      </c>
      <c r="AX40" s="84">
        <f>SUMIFS(RM_PM_Quantity[Quantity],RM_PM_Quantity[Date],AX$1,RM_PM_Quantity[Location],$D40,RM_PM_Quantity[Section],$C40,RM_PM_Quantity[RM Name],$E40)+IF($D40="MIND/Pre-Production",SUMIFS(RM_PM_Quantity[Quantity],RM_PM_Quantity[Date],AX$1,RM_PM_Quantity[Location],"MIDC/Pre-Production",RM_PM_Quantity[Section],$C40,RM_PM_Quantity[RM Name],$E40),0)</f>
        <v>0</v>
      </c>
      <c r="AY40" s="84">
        <f>SUMIFS(RM_PM_Quantity[Quantity],RM_PM_Quantity[Date],AY$1,RM_PM_Quantity[Location],$D40,RM_PM_Quantity[Section],$C40,RM_PM_Quantity[RM Name],$E40)+IF($D40="MIND/Pre-Production",SUMIFS(RM_PM_Quantity[Quantity],RM_PM_Quantity[Date],AY$1,RM_PM_Quantity[Location],"MIDC/Pre-Production",RM_PM_Quantity[Section],$C40,RM_PM_Quantity[RM Name],$E40),0)</f>
        <v>0</v>
      </c>
      <c r="AZ40" s="84">
        <f>SUMIFS(RM_PM_Quantity[Quantity],RM_PM_Quantity[Date],AZ$1,RM_PM_Quantity[Location],$D40,RM_PM_Quantity[Section],$C40,RM_PM_Quantity[RM Name],$E40)+IF($D40="MIND/Pre-Production",SUMIFS(RM_PM_Quantity[Quantity],RM_PM_Quantity[Date],AZ$1,RM_PM_Quantity[Location],"MIDC/Pre-Production",RM_PM_Quantity[Section],$C40,RM_PM_Quantity[RM Name],$E40),0)</f>
        <v>5000</v>
      </c>
      <c r="BA40" s="84">
        <f>SUMIFS(RM_PM_Quantity[Quantity],RM_PM_Quantity[Date],BA$1,RM_PM_Quantity[Location],$D40,RM_PM_Quantity[Section],$C40,RM_PM_Quantity[RM Name],$E40)+IF($D40="MIND/Pre-Production",SUMIFS(RM_PM_Quantity[Quantity],RM_PM_Quantity[Date],BA$1,RM_PM_Quantity[Location],"MIDC/Pre-Production",RM_PM_Quantity[Section],$C40,RM_PM_Quantity[RM Name],$E40),0)</f>
        <v>10050</v>
      </c>
      <c r="BB40" s="84">
        <f>SUMIFS(RM_PM_Quantity[Quantity],RM_PM_Quantity[Date],BB$1,RM_PM_Quantity[Location],$D40,RM_PM_Quantity[Section],$C40,RM_PM_Quantity[RM Name],$E40)+IF($D40="MIND/Pre-Production",SUMIFS(RM_PM_Quantity[Quantity],RM_PM_Quantity[Date],BB$1,RM_PM_Quantity[Location],"MIDC/Pre-Production",RM_PM_Quantity[Section],$C40,RM_PM_Quantity[RM Name],$E40),0)</f>
        <v>10000</v>
      </c>
      <c r="BC40" s="84">
        <f>SUMIFS(RM_PM_Quantity[Quantity],RM_PM_Quantity[Date],BC$1,RM_PM_Quantity[Location],$D40,RM_PM_Quantity[Section],$C40,RM_PM_Quantity[RM Name],$E40)+IF($D40="MIND/Pre-Production",SUMIFS(RM_PM_Quantity[Quantity],RM_PM_Quantity[Date],BC$1,RM_PM_Quantity[Location],"MIDC/Pre-Production",RM_PM_Quantity[Section],$C40,RM_PM_Quantity[RM Name],$E40),0)</f>
        <v>0</v>
      </c>
      <c r="BD40" s="84">
        <f>SUMIFS(RM_PM_Quantity[Quantity],RM_PM_Quantity[Date],BD$1,RM_PM_Quantity[Location],$D40,RM_PM_Quantity[Section],$C40,RM_PM_Quantity[RM Name],$E40)+IF($D40="MIND/Pre-Production",SUMIFS(RM_PM_Quantity[Quantity],RM_PM_Quantity[Date],BD$1,RM_PM_Quantity[Location],"MIDC/Pre-Production",RM_PM_Quantity[Section],$C40,RM_PM_Quantity[RM Name],$E40),0)</f>
        <v>10000</v>
      </c>
      <c r="BE40" s="84">
        <f>SUMIFS(RM_PM_Quantity[Quantity],RM_PM_Quantity[Date],BE$1,RM_PM_Quantity[Location],$D40,RM_PM_Quantity[Section],$C40,RM_PM_Quantity[RM Name],$E40)+IF($D40="MIND/Pre-Production",SUMIFS(RM_PM_Quantity[Quantity],RM_PM_Quantity[Date],BE$1,RM_PM_Quantity[Location],"MIDC/Pre-Production",RM_PM_Quantity[Section],$C40,RM_PM_Quantity[RM Name],$E40),0)</f>
        <v>0</v>
      </c>
      <c r="BF40" s="84">
        <f>SUMIFS(RM_PM_Quantity[Quantity],RM_PM_Quantity[Date],BF$1,RM_PM_Quantity[Location],$D40,RM_PM_Quantity[Section],$C40,RM_PM_Quantity[RM Name],$E40)+IF($D40="MIND/Pre-Production",SUMIFS(RM_PM_Quantity[Quantity],RM_PM_Quantity[Date],BF$1,RM_PM_Quantity[Location],"MIDC/Pre-Production",RM_PM_Quantity[Section],$C40,RM_PM_Quantity[RM Name],$E40),0)</f>
        <v>0</v>
      </c>
      <c r="BG40" s="84">
        <f>SUMIFS(RM_PM_Quantity[Quantity],RM_PM_Quantity[Date],BG$1,RM_PM_Quantity[Location],$D40,RM_PM_Quantity[Section],$C40,RM_PM_Quantity[RM Name],$E40)+IF($D40="MIND/Pre-Production",SUMIFS(RM_PM_Quantity[Quantity],RM_PM_Quantity[Date],BG$1,RM_PM_Quantity[Location],"MIDC/Pre-Production",RM_PM_Quantity[Section],$C40,RM_PM_Quantity[RM Name],$E40),0)</f>
        <v>0</v>
      </c>
      <c r="BH40" s="84">
        <f>SUMIFS(RM_PM_Quantity[Quantity],RM_PM_Quantity[Date],BH$1,RM_PM_Quantity[Location],$D40,RM_PM_Quantity[Section],$C40,RM_PM_Quantity[RM Name],$E40)+IF($D40="MIND/Pre-Production",SUMIFS(RM_PM_Quantity[Quantity],RM_PM_Quantity[Date],BH$1,RM_PM_Quantity[Location],"MIDC/Pre-Production",RM_PM_Quantity[Section],$C40,RM_PM_Quantity[RM Name],$E40),0)</f>
        <v>0</v>
      </c>
      <c r="BI40" s="84">
        <f>SUMIFS(RM_PM_Quantity[Quantity],RM_PM_Quantity[Date],BI$1,RM_PM_Quantity[Location],$D40,RM_PM_Quantity[Section],$C40,RM_PM_Quantity[RM Name],$E40)+IF($D40="MIND/Pre-Production",SUMIFS(RM_PM_Quantity[Quantity],RM_PM_Quantity[Date],BI$1,RM_PM_Quantity[Location],"MIDC/Pre-Production",RM_PM_Quantity[Section],$C40,RM_PM_Quantity[RM Name],$E40),0)</f>
        <v>0</v>
      </c>
      <c r="BJ40" s="84">
        <f>SUMIFS(RM_PM_Quantity[Quantity],RM_PM_Quantity[Date],BJ$1,RM_PM_Quantity[Location],$D40,RM_PM_Quantity[Section],$C40,RM_PM_Quantity[RM Name],$E40)+IF($D40="MIND/Pre-Production",SUMIFS(RM_PM_Quantity[Quantity],RM_PM_Quantity[Date],BJ$1,RM_PM_Quantity[Location],"MIDC/Pre-Production",RM_PM_Quantity[Section],$C40,RM_PM_Quantity[RM Name],$E40),0)</f>
        <v>0</v>
      </c>
      <c r="BK40" s="84">
        <f>SUMIFS(RM_PM_Quantity[Quantity],RM_PM_Quantity[Date],BK$1,RM_PM_Quantity[Location],$D40,RM_PM_Quantity[Section],$C40,RM_PM_Quantity[RM Name],$E40)+IF($D40="MIND/Pre-Production",SUMIFS(RM_PM_Quantity[Quantity],RM_PM_Quantity[Date],BK$1,RM_PM_Quantity[Location],"MIDC/Pre-Production",RM_PM_Quantity[Section],$C40,RM_PM_Quantity[RM Name],$E40),0)</f>
        <v>0</v>
      </c>
      <c r="BL40" s="84">
        <f>SUMIFS(RM_PM_Quantity[Quantity],RM_PM_Quantity[Date],BL$1,RM_PM_Quantity[Location],$D40,RM_PM_Quantity[Section],$C40,RM_PM_Quantity[RM Name],$E40)+IF($D40="MIND/Pre-Production",SUMIFS(RM_PM_Quantity[Quantity],RM_PM_Quantity[Date],BL$1,RM_PM_Quantity[Location],"MIDC/Pre-Production",RM_PM_Quantity[Section],$C40,RM_PM_Quantity[RM Name],$E40),0)</f>
        <v>0</v>
      </c>
      <c r="BM40" s="84">
        <f>SUMIFS(RM_PM_Quantity[Quantity],RM_PM_Quantity[Date],BM$1,RM_PM_Quantity[Location],$D40,RM_PM_Quantity[Section],$C40,RM_PM_Quantity[RM Name],$E40)+IF($D40="MIND/Pre-Production",SUMIFS(RM_PM_Quantity[Quantity],RM_PM_Quantity[Date],BM$1,RM_PM_Quantity[Location],"MIDC/Pre-Production",RM_PM_Quantity[Section],$C40,RM_PM_Quantity[RM Name],$E40),0)</f>
        <v>0</v>
      </c>
      <c r="BN40" s="84">
        <f>SUMIFS(RM_PM_Quantity[Quantity],RM_PM_Quantity[Date],BN$1,RM_PM_Quantity[Location],$D40,RM_PM_Quantity[Section],$C40,RM_PM_Quantity[RM Name],$E40)+IF($D40="MIND/Pre-Production",SUMIFS(RM_PM_Quantity[Quantity],RM_PM_Quantity[Date],BN$1,RM_PM_Quantity[Location],"MIDC/Pre-Production",RM_PM_Quantity[Section],$C40,RM_PM_Quantity[RM Name],$E40),0)</f>
        <v>0</v>
      </c>
      <c r="BO40" s="84">
        <f>SUMIFS(RM_PM_Quantity[Quantity],RM_PM_Quantity[Date],BO$1,RM_PM_Quantity[Location],$D40,RM_PM_Quantity[Section],$C40,RM_PM_Quantity[RM Name],$E40)+IF($D40="MIND/Pre-Production",SUMIFS(RM_PM_Quantity[Quantity],RM_PM_Quantity[Date],BO$1,RM_PM_Quantity[Location],"MIDC/Pre-Production",RM_PM_Quantity[Section],$C40,RM_PM_Quantity[RM Name],$E40),0)</f>
        <v>0</v>
      </c>
      <c r="BP40" s="84">
        <f>SUMIFS(RM_PM_Quantity[Quantity],RM_PM_Quantity[Date],BP$1,RM_PM_Quantity[Location],$D40,RM_PM_Quantity[Section],$C40,RM_PM_Quantity[RM Name],$E40)+IF($D40="MIND/Pre-Production",SUMIFS(RM_PM_Quantity[Quantity],RM_PM_Quantity[Date],BP$1,RM_PM_Quantity[Location],"MIDC/Pre-Production",RM_PM_Quantity[Section],$C40,RM_PM_Quantity[RM Name],$E40),0)</f>
        <v>0</v>
      </c>
      <c r="BQ40" s="84">
        <f>SUMIFS(RM_PM_Quantity[Quantity],RM_PM_Quantity[Date],BQ$1,RM_PM_Quantity[Location],$D40,RM_PM_Quantity[Section],$C40,RM_PM_Quantity[RM Name],$E40)+IF($D40="MIND/Pre-Production",SUMIFS(RM_PM_Quantity[Quantity],RM_PM_Quantity[Date],BQ$1,RM_PM_Quantity[Location],"MIDC/Pre-Production",RM_PM_Quantity[Section],$C40,RM_PM_Quantity[RM Name],$E40),0)</f>
        <v>0</v>
      </c>
      <c r="BR40" s="84">
        <f>SUMIFS(RM_PM_Quantity[Quantity],RM_PM_Quantity[Date],BR$1,RM_PM_Quantity[Location],$D40,RM_PM_Quantity[Section],$C40,RM_PM_Quantity[RM Name],$E40)+IF($D40="MIND/Pre-Production",SUMIFS(RM_PM_Quantity[Quantity],RM_PM_Quantity[Date],BR$1,RM_PM_Quantity[Location],"MIDC/Pre-Production",RM_PM_Quantity[Section],$C40,RM_PM_Quantity[RM Name],$E40),0)</f>
        <v>0</v>
      </c>
      <c r="BS40" s="84">
        <f>SUMIFS(RM_PM_Quantity[Quantity],RM_PM_Quantity[Date],BS$1,RM_PM_Quantity[Location],$D40,RM_PM_Quantity[Section],$C40,RM_PM_Quantity[RM Name],$E40)+IF($D40="MIND/Pre-Production",SUMIFS(RM_PM_Quantity[Quantity],RM_PM_Quantity[Date],BS$1,RM_PM_Quantity[Location],"MIDC/Pre-Production",RM_PM_Quantity[Section],$C40,RM_PM_Quantity[RM Name],$E40),0)</f>
        <v>0</v>
      </c>
      <c r="BT40" s="84">
        <f>SUMIFS(RM_PM_Quantity[ID],RM_PM_Quantity[Location],BT$1,RM_PM_Quantity[Section],$D40,RM_PM_Quantity[RM Name],$C40,RM_PM_Quantity[Quantity],$E40)+IF($D40="MIND/Pre-Production",SUMIFS(RM_PM_Quantity[ID],RM_PM_Quantity[Location],BT$1,RM_PM_Quantity[Section],"MIDC/Pre-Production",RM_PM_Quantity[RM Name],$C40,RM_PM_Quantity[Quantity],$E40),0)</f>
        <v>0</v>
      </c>
      <c r="BU40" s="84">
        <f>SUMIFS(RM_PM_Quantity[Name of Supervisor],RM_PM_Quantity[Section],BU$1,RM_PM_Quantity[RM Name],$D40,RM_PM_Quantity[Quantity],$C40,RM_PM_Quantity[ID],$E40)+IF($D40="MIND/Pre-Production",SUMIFS(RM_PM_Quantity[Name of Supervisor],RM_PM_Quantity[Section],BU$1,RM_PM_Quantity[RM Name],"MIDC/Pre-Production",RM_PM_Quantity[Quantity],$C40,RM_PM_Quantity[ID],$E40),0)</f>
        <v>0</v>
      </c>
      <c r="BV40" s="84">
        <f>SUMIFS(RM_PM_Quantity[Date],RM_PM_Quantity[RM Name],BV$1,RM_PM_Quantity[Quantity],$D40,RM_PM_Quantity[ID],$C40,RM_PM_Quantity[Name of Supervisor],$E40)+IF($D40="MIND/Pre-Production",SUMIFS(RM_PM_Quantity[Date],RM_PM_Quantity[RM Name],BV$1,RM_PM_Quantity[Quantity],"MIDC/Pre-Production",RM_PM_Quantity[ID],$C40,RM_PM_Quantity[Name of Supervisor],$E40),0)</f>
        <v>0</v>
      </c>
      <c r="BW40" s="84">
        <f>SUMIFS(RM_PM_Quantity[Location],RM_PM_Quantity[Quantity],BW$1,RM_PM_Quantity[ID],$D40,RM_PM_Quantity[Name of Supervisor],$C40,RM_PM_Quantity[Date],$E40)+IF($D40="MIND/Pre-Production",SUMIFS(RM_PM_Quantity[Location],RM_PM_Quantity[Quantity],BW$1,RM_PM_Quantity[ID],"MIDC/Pre-Production",RM_PM_Quantity[Name of Supervisor],$C40,RM_PM_Quantity[Date],$E40),0)</f>
        <v>0</v>
      </c>
      <c r="BX40" s="84">
        <f>SUMIFS(RM_PM_Quantity[Section],RM_PM_Quantity[ID],BX$1,RM_PM_Quantity[Name of Supervisor],$D40,RM_PM_Quantity[Date],$C40,RM_PM_Quantity[Location],$E40)+IF($D40="MIND/Pre-Production",SUMIFS(RM_PM_Quantity[Section],RM_PM_Quantity[ID],BX$1,RM_PM_Quantity[Name of Supervisor],"MIDC/Pre-Production",RM_PM_Quantity[Date],$C40,RM_PM_Quantity[Location],$E40),0)</f>
        <v>0</v>
      </c>
      <c r="BY40" s="84">
        <f>SUMIFS(RM_PM_Quantity[RM Name],RM_PM_Quantity[Name of Supervisor],BY$1,RM_PM_Quantity[Date],$D40,RM_PM_Quantity[Location],$C40,RM_PM_Quantity[Section],$E40)+IF($D40="MIND/Pre-Production",SUMIFS(RM_PM_Quantity[RM Name],RM_PM_Quantity[Name of Supervisor],BY$1,RM_PM_Quantity[Date],"MIDC/Pre-Production",RM_PM_Quantity[Location],$C40,RM_PM_Quantity[Section],$E40),0)</f>
        <v>0</v>
      </c>
    </row>
    <row r="41" spans="1:77" ht="45.75" customHeight="1">
      <c r="A41" s="79">
        <v>40</v>
      </c>
      <c r="B41" s="87" t="s">
        <v>105</v>
      </c>
      <c r="C41" s="88" t="s">
        <v>125</v>
      </c>
      <c r="D41" s="81" t="s">
        <v>54</v>
      </c>
      <c r="E41" s="82" t="s">
        <v>104</v>
      </c>
      <c r="F41" s="83">
        <f>IFERROR(_xlfn.XLOOKUP(B41,'[1]RM Tracker'!B:B,'[1]RM Tracker'!E:E),"0")</f>
        <v>47199.96</v>
      </c>
      <c r="G41" s="85">
        <f t="shared" si="2"/>
        <v>7750</v>
      </c>
      <c r="H41" s="85">
        <f t="shared" si="3"/>
        <v>-39449.96</v>
      </c>
      <c r="I41" s="91">
        <f t="shared" si="4"/>
        <v>0.16419505440258847</v>
      </c>
      <c r="J41" s="84">
        <f>SUMIFS(RM_PM_Quantity[Quantity],RM_PM_Quantity[Date],J$1,RM_PM_Quantity[Location],$D41,RM_PM_Quantity[Section],$C41,RM_PM_Quantity[RM Name],$E41)+IF($D41="MIND/Pre-Production",SUMIFS(RM_PM_Quantity[Quantity],RM_PM_Quantity[Date],J$1,RM_PM_Quantity[Location],"MIDC/Pre-Production",RM_PM_Quantity[Section],$C41,RM_PM_Quantity[RM Name],$E41),0)</f>
        <v>3000</v>
      </c>
      <c r="K41" s="84">
        <f>SUMIFS(RM_PM_Quantity[Quantity],RM_PM_Quantity[Date],K$1,RM_PM_Quantity[Location],$D41,RM_PM_Quantity[Section],$C41,RM_PM_Quantity[RM Name],$E41)+IF($D41="MIND/Pre-Production",SUMIFS(RM_PM_Quantity[Quantity],RM_PM_Quantity[Date],K$1,RM_PM_Quantity[Location],"MIDC/Pre-Production",RM_PM_Quantity[Section],$C41,RM_PM_Quantity[RM Name],$E41),0)</f>
        <v>0</v>
      </c>
      <c r="L41" s="84">
        <f>SUMIFS(RM_PM_Quantity[Quantity],RM_PM_Quantity[Date],L$1,RM_PM_Quantity[Location],$D41,RM_PM_Quantity[Section],$C41,RM_PM_Quantity[RM Name],$E41)+IF($D41="MIND/Pre-Production",SUMIFS(RM_PM_Quantity[Quantity],RM_PM_Quantity[Date],L$1,RM_PM_Quantity[Location],"MIDC/Pre-Production",RM_PM_Quantity[Section],$C41,RM_PM_Quantity[RM Name],$E41),0)</f>
        <v>0</v>
      </c>
      <c r="M41" s="84">
        <f>SUMIFS(RM_PM_Quantity[Quantity],RM_PM_Quantity[Date],M$1,RM_PM_Quantity[Location],$D41,RM_PM_Quantity[Section],$C41,RM_PM_Quantity[RM Name],$E41)+IF($D41="MIND/Pre-Production",SUMIFS(RM_PM_Quantity[Quantity],RM_PM_Quantity[Date],M$1,RM_PM_Quantity[Location],"MIDC/Pre-Production",RM_PM_Quantity[Section],$C41,RM_PM_Quantity[RM Name],$E41),0)</f>
        <v>0</v>
      </c>
      <c r="N41" s="84">
        <f>SUMIFS(RM_PM_Quantity[Quantity],RM_PM_Quantity[Date],N$1,RM_PM_Quantity[Location],$D41,RM_PM_Quantity[Section],$C41,RM_PM_Quantity[RM Name],$E41)+IF($D41="MIND/Pre-Production",SUMIFS(RM_PM_Quantity[Quantity],RM_PM_Quantity[Date],N$1,RM_PM_Quantity[Location],"MIDC/Pre-Production",RM_PM_Quantity[Section],$C41,RM_PM_Quantity[RM Name],$E41),0)</f>
        <v>0</v>
      </c>
      <c r="O41" s="84">
        <f>SUMIFS(RM_PM_Quantity[Quantity],RM_PM_Quantity[Date],O$1,RM_PM_Quantity[Location],$D41,RM_PM_Quantity[Section],$C41,RM_PM_Quantity[RM Name],$E41)+IF($D41="MIND/Pre-Production",SUMIFS(RM_PM_Quantity[Quantity],RM_PM_Quantity[Date],O$1,RM_PM_Quantity[Location],"MIDC/Pre-Production",RM_PM_Quantity[Section],$C41,RM_PM_Quantity[RM Name],$E41),0)</f>
        <v>0</v>
      </c>
      <c r="P41" s="84">
        <f>SUMIFS(RM_PM_Quantity[Quantity],RM_PM_Quantity[Date],P$1,RM_PM_Quantity[Location],$D41,RM_PM_Quantity[Section],$C41,RM_PM_Quantity[RM Name],$E41)+IF($D41="MIND/Pre-Production",SUMIFS(RM_PM_Quantity[Quantity],RM_PM_Quantity[Date],P$1,RM_PM_Quantity[Location],"MIDC/Pre-Production",RM_PM_Quantity[Section],$C41,RM_PM_Quantity[RM Name],$E41),0)</f>
        <v>0</v>
      </c>
      <c r="Q41" s="84">
        <f>SUMIFS(RM_PM_Quantity[Quantity],RM_PM_Quantity[Date],Q$1,RM_PM_Quantity[Location],$D41,RM_PM_Quantity[Section],$C41,RM_PM_Quantity[RM Name],$E41)+IF($D41="MIND/Pre-Production",SUMIFS(RM_PM_Quantity[Quantity],RM_PM_Quantity[Date],Q$1,RM_PM_Quantity[Location],"MIDC/Pre-Production",RM_PM_Quantity[Section],$C41,RM_PM_Quantity[RM Name],$E41),0)</f>
        <v>0</v>
      </c>
      <c r="R41" s="84">
        <f>SUMIFS(RM_PM_Quantity[Quantity],RM_PM_Quantity[Date],R$1,RM_PM_Quantity[Location],$D41,RM_PM_Quantity[Section],$C41,RM_PM_Quantity[RM Name],$E41)+IF($D41="MIND/Pre-Production",SUMIFS(RM_PM_Quantity[Quantity],RM_PM_Quantity[Date],R$1,RM_PM_Quantity[Location],"MIDC/Pre-Production",RM_PM_Quantity[Section],$C41,RM_PM_Quantity[RM Name],$E41),0)</f>
        <v>0</v>
      </c>
      <c r="S41" s="84">
        <f>SUMIFS(RM_PM_Quantity[Quantity],RM_PM_Quantity[Date],S$1,RM_PM_Quantity[Location],$D41,RM_PM_Quantity[Section],$C41,RM_PM_Quantity[RM Name],$E41)+IF($D41="MIND/Pre-Production",SUMIFS(RM_PM_Quantity[Quantity],RM_PM_Quantity[Date],S$1,RM_PM_Quantity[Location],"MIDC/Pre-Production",RM_PM_Quantity[Section],$C41,RM_PM_Quantity[RM Name],$E41),0)</f>
        <v>0</v>
      </c>
      <c r="T41" s="84">
        <f>SUMIFS(RM_PM_Quantity[Quantity],RM_PM_Quantity[Date],T$1,RM_PM_Quantity[Location],$D41,RM_PM_Quantity[Section],$C41,RM_PM_Quantity[RM Name],$E41)+IF($D41="MIND/Pre-Production",SUMIFS(RM_PM_Quantity[Quantity],RM_PM_Quantity[Date],T$1,RM_PM_Quantity[Location],"MIDC/Pre-Production",RM_PM_Quantity[Section],$C41,RM_PM_Quantity[RM Name],$E41),0)</f>
        <v>0</v>
      </c>
      <c r="U41" s="84">
        <f>SUMIFS(RM_PM_Quantity[Quantity],RM_PM_Quantity[Date],U$1,RM_PM_Quantity[Location],$D41,RM_PM_Quantity[Section],$C41,RM_PM_Quantity[RM Name],$E41)+IF($D41="MIND/Pre-Production",SUMIFS(RM_PM_Quantity[Quantity],RM_PM_Quantity[Date],U$1,RM_PM_Quantity[Location],"MIDC/Pre-Production",RM_PM_Quantity[Section],$C41,RM_PM_Quantity[RM Name],$E41),0)</f>
        <v>2000</v>
      </c>
      <c r="V41" s="84">
        <f>SUMIFS(RM_PM_Quantity[Quantity],RM_PM_Quantity[Date],V$1,RM_PM_Quantity[Location],$D41,RM_PM_Quantity[Section],$C41,RM_PM_Quantity[RM Name],$E41)+IF($D41="MIND/Pre-Production",SUMIFS(RM_PM_Quantity[Quantity],RM_PM_Quantity[Date],V$1,RM_PM_Quantity[Location],"MIDC/Pre-Production",RM_PM_Quantity[Section],$C41,RM_PM_Quantity[RM Name],$E41),0)</f>
        <v>0</v>
      </c>
      <c r="W41" s="84">
        <f>SUMIFS(RM_PM_Quantity[Quantity],RM_PM_Quantity[Date],W$1,RM_PM_Quantity[Location],$D41,RM_PM_Quantity[Section],$C41,RM_PM_Quantity[RM Name],$E41)+IF($D41="MIND/Pre-Production",SUMIFS(RM_PM_Quantity[Quantity],RM_PM_Quantity[Date],W$1,RM_PM_Quantity[Location],"MIDC/Pre-Production",RM_PM_Quantity[Section],$C41,RM_PM_Quantity[RM Name],$E41),0)</f>
        <v>0</v>
      </c>
      <c r="X41" s="84">
        <f>SUMIFS(RM_PM_Quantity[Quantity],RM_PM_Quantity[Date],X$1,RM_PM_Quantity[Location],$D41,RM_PM_Quantity[Section],$C41,RM_PM_Quantity[RM Name],$E41)+IF($D41="MIND/Pre-Production",SUMIFS(RM_PM_Quantity[Quantity],RM_PM_Quantity[Date],X$1,RM_PM_Quantity[Location],"MIDC/Pre-Production",RM_PM_Quantity[Section],$C41,RM_PM_Quantity[RM Name],$E41),0)</f>
        <v>0</v>
      </c>
      <c r="Y41" s="84">
        <f>SUMIFS(RM_PM_Quantity[Quantity],RM_PM_Quantity[Date],Y$1,RM_PM_Quantity[Location],$D41,RM_PM_Quantity[Section],$C41,RM_PM_Quantity[RM Name],$E41)+IF($D41="MIND/Pre-Production",SUMIFS(RM_PM_Quantity[Quantity],RM_PM_Quantity[Date],Y$1,RM_PM_Quantity[Location],"MIDC/Pre-Production",RM_PM_Quantity[Section],$C41,RM_PM_Quantity[RM Name],$E41),0)</f>
        <v>5000</v>
      </c>
      <c r="Z41" s="84">
        <f>SUMIFS(RM_PM_Quantity[Quantity],RM_PM_Quantity[Date],Z$1,RM_PM_Quantity[Location],$D41,RM_PM_Quantity[Section],$C41,RM_PM_Quantity[RM Name],$E41)+IF($D41="MIND/Pre-Production",SUMIFS(RM_PM_Quantity[Quantity],RM_PM_Quantity[Date],Z$1,RM_PM_Quantity[Location],"MIDC/Pre-Production",RM_PM_Quantity[Section],$C41,RM_PM_Quantity[RM Name],$E41),0)</f>
        <v>0</v>
      </c>
      <c r="AA41" s="84">
        <f>SUMIFS(RM_PM_Quantity[Quantity],RM_PM_Quantity[Date],AA$1,RM_PM_Quantity[Location],$D41,RM_PM_Quantity[Section],$C41,RM_PM_Quantity[RM Name],$E41)+IF($D41="MIND/Pre-Production",SUMIFS(RM_PM_Quantity[Quantity],RM_PM_Quantity[Date],AA$1,RM_PM_Quantity[Location],"MIDC/Pre-Production",RM_PM_Quantity[Section],$C41,RM_PM_Quantity[RM Name],$E41),0)</f>
        <v>2750</v>
      </c>
      <c r="AB41" s="84">
        <f>SUMIFS(RM_PM_Quantity[Quantity],RM_PM_Quantity[Date],AB$1,RM_PM_Quantity[Location],$D41,RM_PM_Quantity[Section],$C41,RM_PM_Quantity[RM Name],$E41)+IF($D41="MIND/Pre-Production",SUMIFS(RM_PM_Quantity[Quantity],RM_PM_Quantity[Date],AB$1,RM_PM_Quantity[Location],"MIDC/Pre-Production",RM_PM_Quantity[Section],$C41,RM_PM_Quantity[RM Name],$E41),0)</f>
        <v>0</v>
      </c>
      <c r="AC41" s="84">
        <f>SUMIFS(RM_PM_Quantity[Quantity],RM_PM_Quantity[Date],AC$1,RM_PM_Quantity[Location],$D41,RM_PM_Quantity[Section],$C41,RM_PM_Quantity[RM Name],$E41)+IF($D41="MIND/Pre-Production",SUMIFS(RM_PM_Quantity[Quantity],RM_PM_Quantity[Date],AC$1,RM_PM_Quantity[Location],"MIDC/Pre-Production",RM_PM_Quantity[Section],$C41,RM_PM_Quantity[RM Name],$E41),0)</f>
        <v>0</v>
      </c>
      <c r="AD41" s="84">
        <f>SUMIFS(RM_PM_Quantity[Quantity],RM_PM_Quantity[Date],AD$1,RM_PM_Quantity[Location],$D41,RM_PM_Quantity[Section],$C41,RM_PM_Quantity[RM Name],$E41)+IF($D41="MIND/Pre-Production",SUMIFS(RM_PM_Quantity[Quantity],RM_PM_Quantity[Date],AD$1,RM_PM_Quantity[Location],"MIDC/Pre-Production",RM_PM_Quantity[Section],$C41,RM_PM_Quantity[RM Name],$E41),0)</f>
        <v>4300</v>
      </c>
      <c r="AE41" s="84">
        <f>SUMIFS(RM_PM_Quantity[Quantity],RM_PM_Quantity[Date],AE$1,RM_PM_Quantity[Location],$D41,RM_PM_Quantity[Section],$C41,RM_PM_Quantity[RM Name],$E41)+IF($D41="MIND/Pre-Production",SUMIFS(RM_PM_Quantity[Quantity],RM_PM_Quantity[Date],AE$1,RM_PM_Quantity[Location],"MIDC/Pre-Production",RM_PM_Quantity[Section],$C41,RM_PM_Quantity[RM Name],$E41),0)</f>
        <v>0</v>
      </c>
      <c r="AF41" s="84">
        <f>SUMIFS(RM_PM_Quantity[Quantity],RM_PM_Quantity[Date],AF$1,RM_PM_Quantity[Location],$D41,RM_PM_Quantity[Section],$C41,RM_PM_Quantity[RM Name],$E41)+IF($D41="MIND/Pre-Production",SUMIFS(RM_PM_Quantity[Quantity],RM_PM_Quantity[Date],AF$1,RM_PM_Quantity[Location],"MIDC/Pre-Production",RM_PM_Quantity[Section],$C41,RM_PM_Quantity[RM Name],$E41),0)</f>
        <v>0</v>
      </c>
      <c r="AG41" s="84">
        <f>SUMIFS(RM_PM_Quantity[Quantity],RM_PM_Quantity[Date],AG$1,RM_PM_Quantity[Location],$D41,RM_PM_Quantity[Section],$C41,RM_PM_Quantity[RM Name],$E41)+IF($D41="MIND/Pre-Production",SUMIFS(RM_PM_Quantity[Quantity],RM_PM_Quantity[Date],AG$1,RM_PM_Quantity[Location],"MIDC/Pre-Production",RM_PM_Quantity[Section],$C41,RM_PM_Quantity[RM Name],$E41),0)</f>
        <v>0</v>
      </c>
      <c r="AH41" s="84">
        <f>SUMIFS(RM_PM_Quantity[Quantity],RM_PM_Quantity[Date],AH$1,RM_PM_Quantity[Location],$D41,RM_PM_Quantity[Section],$C41,RM_PM_Quantity[RM Name],$E41)+IF($D41="MIND/Pre-Production",SUMIFS(RM_PM_Quantity[Quantity],RM_PM_Quantity[Date],AH$1,RM_PM_Quantity[Location],"MIDC/Pre-Production",RM_PM_Quantity[Section],$C41,RM_PM_Quantity[RM Name],$E41),0)</f>
        <v>0</v>
      </c>
      <c r="AI41" s="84">
        <f>SUMIFS(RM_PM_Quantity[Quantity],RM_PM_Quantity[Date],AI$1,RM_PM_Quantity[Location],$D41,RM_PM_Quantity[Section],$C41,RM_PM_Quantity[RM Name],$E41)+IF($D41="MIND/Pre-Production",SUMIFS(RM_PM_Quantity[Quantity],RM_PM_Quantity[Date],AI$1,RM_PM_Quantity[Location],"MIDC/Pre-Production",RM_PM_Quantity[Section],$C41,RM_PM_Quantity[RM Name],$E41),0)</f>
        <v>0</v>
      </c>
      <c r="AJ41" s="84">
        <f>SUMIFS(RM_PM_Quantity[Quantity],RM_PM_Quantity[Date],AJ$1,RM_PM_Quantity[Location],$D41,RM_PM_Quantity[Section],$C41,RM_PM_Quantity[RM Name],$E41)+IF($D41="MIND/Pre-Production",SUMIFS(RM_PM_Quantity[Quantity],RM_PM_Quantity[Date],AJ$1,RM_PM_Quantity[Location],"MIDC/Pre-Production",RM_PM_Quantity[Section],$C41,RM_PM_Quantity[RM Name],$E41),0)</f>
        <v>5000</v>
      </c>
      <c r="AK41" s="84">
        <f>SUMIFS(RM_PM_Quantity[Quantity],RM_PM_Quantity[Date],AK$1,RM_PM_Quantity[Location],$D41,RM_PM_Quantity[Section],$C41,RM_PM_Quantity[RM Name],$E41)+IF($D41="MIND/Pre-Production",SUMIFS(RM_PM_Quantity[Quantity],RM_PM_Quantity[Date],AK$1,RM_PM_Quantity[Location],"MIDC/Pre-Production",RM_PM_Quantity[Section],$C41,RM_PM_Quantity[RM Name],$E41),0)</f>
        <v>0</v>
      </c>
      <c r="AL41" s="84">
        <f>SUMIFS(RM_PM_Quantity[Quantity],RM_PM_Quantity[Date],AL$1,RM_PM_Quantity[Location],$D41,RM_PM_Quantity[Section],$C41,RM_PM_Quantity[RM Name],$E41)+IF($D41="MIND/Pre-Production",SUMIFS(RM_PM_Quantity[Quantity],RM_PM_Quantity[Date],AL$1,RM_PM_Quantity[Location],"MIDC/Pre-Production",RM_PM_Quantity[Section],$C41,RM_PM_Quantity[RM Name],$E41),0)</f>
        <v>2000</v>
      </c>
      <c r="AM41" s="84">
        <f>SUMIFS(RM_PM_Quantity[Quantity],RM_PM_Quantity[Date],AM$1,RM_PM_Quantity[Location],$D41,RM_PM_Quantity[Section],$C41,RM_PM_Quantity[RM Name],$E41)+IF($D41="MIND/Pre-Production",SUMIFS(RM_PM_Quantity[Quantity],RM_PM_Quantity[Date],AM$1,RM_PM_Quantity[Location],"MIDC/Pre-Production",RM_PM_Quantity[Section],$C41,RM_PM_Quantity[RM Name],$E41),0)</f>
        <v>4150</v>
      </c>
      <c r="AN41" s="84">
        <f>SUMIFS(RM_PM_Quantity[Quantity],RM_PM_Quantity[Date],AN$1,RM_PM_Quantity[Location],$D41,RM_PM_Quantity[Section],$C41,RM_PM_Quantity[RM Name],$E41)+IF($D41="MIND/Pre-Production",SUMIFS(RM_PM_Quantity[Quantity],RM_PM_Quantity[Date],AN$1,RM_PM_Quantity[Location],"MIDC/Pre-Production",RM_PM_Quantity[Section],$C41,RM_PM_Quantity[RM Name],$E41),0)</f>
        <v>0</v>
      </c>
      <c r="AO41" s="84">
        <f>SUMIFS(RM_PM_Quantity[Quantity],RM_PM_Quantity[Date],AO$1,RM_PM_Quantity[Location],$D41,RM_PM_Quantity[Section],$C41,RM_PM_Quantity[RM Name],$E41)+IF($D41="MIND/Pre-Production",SUMIFS(RM_PM_Quantity[Quantity],RM_PM_Quantity[Date],AO$1,RM_PM_Quantity[Location],"MIDC/Pre-Production",RM_PM_Quantity[Section],$C41,RM_PM_Quantity[RM Name],$E41),0)</f>
        <v>0</v>
      </c>
      <c r="AP41" s="84">
        <f>SUMIFS(RM_PM_Quantity[Quantity],RM_PM_Quantity[Date],AP$1,RM_PM_Quantity[Location],$D41,RM_PM_Quantity[Section],$C41,RM_PM_Quantity[RM Name],$E41)+IF($D41="MIND/Pre-Production",SUMIFS(RM_PM_Quantity[Quantity],RM_PM_Quantity[Date],AP$1,RM_PM_Quantity[Location],"MIDC/Pre-Production",RM_PM_Quantity[Section],$C41,RM_PM_Quantity[RM Name],$E41),0)</f>
        <v>0</v>
      </c>
      <c r="AQ41" s="84">
        <f>SUMIFS(RM_PM_Quantity[Quantity],RM_PM_Quantity[Date],AQ$1,RM_PM_Quantity[Location],$D41,RM_PM_Quantity[Section],$C41,RM_PM_Quantity[RM Name],$E41)+IF($D41="MIND/Pre-Production",SUMIFS(RM_PM_Quantity[Quantity],RM_PM_Quantity[Date],AQ$1,RM_PM_Quantity[Location],"MIDC/Pre-Production",RM_PM_Quantity[Section],$C41,RM_PM_Quantity[RM Name],$E41),0)</f>
        <v>0</v>
      </c>
      <c r="AR41" s="84">
        <f>SUMIFS(RM_PM_Quantity[Quantity],RM_PM_Quantity[Date],AR$1,RM_PM_Quantity[Location],$D41,RM_PM_Quantity[Section],$C41,RM_PM_Quantity[RM Name],$E41)+IF($D41="MIND/Pre-Production",SUMIFS(RM_PM_Quantity[Quantity],RM_PM_Quantity[Date],AR$1,RM_PM_Quantity[Location],"MIDC/Pre-Production",RM_PM_Quantity[Section],$C41,RM_PM_Quantity[RM Name],$E41),0)</f>
        <v>0</v>
      </c>
      <c r="AS41" s="84">
        <f>SUMIFS(RM_PM_Quantity[Quantity],RM_PM_Quantity[Date],AS$1,RM_PM_Quantity[Location],$D41,RM_PM_Quantity[Section],$C41,RM_PM_Quantity[RM Name],$E41)+IF($D41="MIND/Pre-Production",SUMIFS(RM_PM_Quantity[Quantity],RM_PM_Quantity[Date],AS$1,RM_PM_Quantity[Location],"MIDC/Pre-Production",RM_PM_Quantity[Section],$C41,RM_PM_Quantity[RM Name],$E41),0)</f>
        <v>5000</v>
      </c>
      <c r="AT41" s="84">
        <f>SUMIFS(RM_PM_Quantity[Quantity],RM_PM_Quantity[Date],AT$1,RM_PM_Quantity[Location],$D41,RM_PM_Quantity[Section],$C41,RM_PM_Quantity[RM Name],$E41)+IF($D41="MIND/Pre-Production",SUMIFS(RM_PM_Quantity[Quantity],RM_PM_Quantity[Date],AT$1,RM_PM_Quantity[Location],"MIDC/Pre-Production",RM_PM_Quantity[Section],$C41,RM_PM_Quantity[RM Name],$E41),0)</f>
        <v>0</v>
      </c>
      <c r="AU41" s="84">
        <f>SUMIFS(RM_PM_Quantity[Quantity],RM_PM_Quantity[Date],AU$1,RM_PM_Quantity[Location],$D41,RM_PM_Quantity[Section],$C41,RM_PM_Quantity[RM Name],$E41)+IF($D41="MIND/Pre-Production",SUMIFS(RM_PM_Quantity[Quantity],RM_PM_Quantity[Date],AU$1,RM_PM_Quantity[Location],"MIDC/Pre-Production",RM_PM_Quantity[Section],$C41,RM_PM_Quantity[RM Name],$E41),0)</f>
        <v>0</v>
      </c>
      <c r="AV41" s="84">
        <f>SUMIFS(RM_PM_Quantity[Quantity],RM_PM_Quantity[Date],AV$1,RM_PM_Quantity[Location],$D41,RM_PM_Quantity[Section],$C41,RM_PM_Quantity[RM Name],$E41)+IF($D41="MIND/Pre-Production",SUMIFS(RM_PM_Quantity[Quantity],RM_PM_Quantity[Date],AV$1,RM_PM_Quantity[Location],"MIDC/Pre-Production",RM_PM_Quantity[Section],$C41,RM_PM_Quantity[RM Name],$E41),0)</f>
        <v>0</v>
      </c>
      <c r="AW41" s="84">
        <f>SUMIFS(RM_PM_Quantity[Quantity],RM_PM_Quantity[Date],AW$1,RM_PM_Quantity[Location],$D41,RM_PM_Quantity[Section],$C41,RM_PM_Quantity[RM Name],$E41)+IF($D41="MIND/Pre-Production",SUMIFS(RM_PM_Quantity[Quantity],RM_PM_Quantity[Date],AW$1,RM_PM_Quantity[Location],"MIDC/Pre-Production",RM_PM_Quantity[Section],$C41,RM_PM_Quantity[RM Name],$E41),0)</f>
        <v>0</v>
      </c>
      <c r="AX41" s="84">
        <f>SUMIFS(RM_PM_Quantity[Quantity],RM_PM_Quantity[Date],AX$1,RM_PM_Quantity[Location],$D41,RM_PM_Quantity[Section],$C41,RM_PM_Quantity[RM Name],$E41)+IF($D41="MIND/Pre-Production",SUMIFS(RM_PM_Quantity[Quantity],RM_PM_Quantity[Date],AX$1,RM_PM_Quantity[Location],"MIDC/Pre-Production",RM_PM_Quantity[Section],$C41,RM_PM_Quantity[RM Name],$E41),0)</f>
        <v>2750</v>
      </c>
      <c r="AY41" s="84">
        <f>SUMIFS(RM_PM_Quantity[Quantity],RM_PM_Quantity[Date],AY$1,RM_PM_Quantity[Location],$D41,RM_PM_Quantity[Section],$C41,RM_PM_Quantity[RM Name],$E41)+IF($D41="MIND/Pre-Production",SUMIFS(RM_PM_Quantity[Quantity],RM_PM_Quantity[Date],AY$1,RM_PM_Quantity[Location],"MIDC/Pre-Production",RM_PM_Quantity[Section],$C41,RM_PM_Quantity[RM Name],$E41),0)</f>
        <v>0</v>
      </c>
      <c r="AZ41" s="84">
        <f>SUMIFS(RM_PM_Quantity[Quantity],RM_PM_Quantity[Date],AZ$1,RM_PM_Quantity[Location],$D41,RM_PM_Quantity[Section],$C41,RM_PM_Quantity[RM Name],$E41)+IF($D41="MIND/Pre-Production",SUMIFS(RM_PM_Quantity[Quantity],RM_PM_Quantity[Date],AZ$1,RM_PM_Quantity[Location],"MIDC/Pre-Production",RM_PM_Quantity[Section],$C41,RM_PM_Quantity[RM Name],$E41),0)</f>
        <v>5000</v>
      </c>
      <c r="BA41" s="84">
        <f>SUMIFS(RM_PM_Quantity[Quantity],RM_PM_Quantity[Date],BA$1,RM_PM_Quantity[Location],$D41,RM_PM_Quantity[Section],$C41,RM_PM_Quantity[RM Name],$E41)+IF($D41="MIND/Pre-Production",SUMIFS(RM_PM_Quantity[Quantity],RM_PM_Quantity[Date],BA$1,RM_PM_Quantity[Location],"MIDC/Pre-Production",RM_PM_Quantity[Section],$C41,RM_PM_Quantity[RM Name],$E41),0)</f>
        <v>0</v>
      </c>
      <c r="BB41" s="84">
        <f>SUMIFS(RM_PM_Quantity[Quantity],RM_PM_Quantity[Date],BB$1,RM_PM_Quantity[Location],$D41,RM_PM_Quantity[Section],$C41,RM_PM_Quantity[RM Name],$E41)+IF($D41="MIND/Pre-Production",SUMIFS(RM_PM_Quantity[Quantity],RM_PM_Quantity[Date],BB$1,RM_PM_Quantity[Location],"MIDC/Pre-Production",RM_PM_Quantity[Section],$C41,RM_PM_Quantity[RM Name],$E41),0)</f>
        <v>0</v>
      </c>
      <c r="BC41" s="84">
        <f>SUMIFS(RM_PM_Quantity[Quantity],RM_PM_Quantity[Date],BC$1,RM_PM_Quantity[Location],$D41,RM_PM_Quantity[Section],$C41,RM_PM_Quantity[RM Name],$E41)+IF($D41="MIND/Pre-Production",SUMIFS(RM_PM_Quantity[Quantity],RM_PM_Quantity[Date],BC$1,RM_PM_Quantity[Location],"MIDC/Pre-Production",RM_PM_Quantity[Section],$C41,RM_PM_Quantity[RM Name],$E41),0)</f>
        <v>0</v>
      </c>
      <c r="BD41" s="84">
        <f>SUMIFS(RM_PM_Quantity[Quantity],RM_PM_Quantity[Date],BD$1,RM_PM_Quantity[Location],$D41,RM_PM_Quantity[Section],$C41,RM_PM_Quantity[RM Name],$E41)+IF($D41="MIND/Pre-Production",SUMIFS(RM_PM_Quantity[Quantity],RM_PM_Quantity[Date],BD$1,RM_PM_Quantity[Location],"MIDC/Pre-Production",RM_PM_Quantity[Section],$C41,RM_PM_Quantity[RM Name],$E41),0)</f>
        <v>0</v>
      </c>
      <c r="BE41" s="84">
        <f>SUMIFS(RM_PM_Quantity[Quantity],RM_PM_Quantity[Date],BE$1,RM_PM_Quantity[Location],$D41,RM_PM_Quantity[Section],$C41,RM_PM_Quantity[RM Name],$E41)+IF($D41="MIND/Pre-Production",SUMIFS(RM_PM_Quantity[Quantity],RM_PM_Quantity[Date],BE$1,RM_PM_Quantity[Location],"MIDC/Pre-Production",RM_PM_Quantity[Section],$C41,RM_PM_Quantity[RM Name],$E41),0)</f>
        <v>0</v>
      </c>
      <c r="BF41" s="84">
        <f>SUMIFS(RM_PM_Quantity[Quantity],RM_PM_Quantity[Date],BF$1,RM_PM_Quantity[Location],$D41,RM_PM_Quantity[Section],$C41,RM_PM_Quantity[RM Name],$E41)+IF($D41="MIND/Pre-Production",SUMIFS(RM_PM_Quantity[Quantity],RM_PM_Quantity[Date],BF$1,RM_PM_Quantity[Location],"MIDC/Pre-Production",RM_PM_Quantity[Section],$C41,RM_PM_Quantity[RM Name],$E41),0)</f>
        <v>0</v>
      </c>
      <c r="BG41" s="84">
        <f>SUMIFS(RM_PM_Quantity[Quantity],RM_PM_Quantity[Date],BG$1,RM_PM_Quantity[Location],$D41,RM_PM_Quantity[Section],$C41,RM_PM_Quantity[RM Name],$E41)+IF($D41="MIND/Pre-Production",SUMIFS(RM_PM_Quantity[Quantity],RM_PM_Quantity[Date],BG$1,RM_PM_Quantity[Location],"MIDC/Pre-Production",RM_PM_Quantity[Section],$C41,RM_PM_Quantity[RM Name],$E41),0)</f>
        <v>0</v>
      </c>
      <c r="BH41" s="84">
        <f>SUMIFS(RM_PM_Quantity[Quantity],RM_PM_Quantity[Date],BH$1,RM_PM_Quantity[Location],$D41,RM_PM_Quantity[Section],$C41,RM_PM_Quantity[RM Name],$E41)+IF($D41="MIND/Pre-Production",SUMIFS(RM_PM_Quantity[Quantity],RM_PM_Quantity[Date],BH$1,RM_PM_Quantity[Location],"MIDC/Pre-Production",RM_PM_Quantity[Section],$C41,RM_PM_Quantity[RM Name],$E41),0)</f>
        <v>0</v>
      </c>
      <c r="BI41" s="84">
        <f>SUMIFS(RM_PM_Quantity[Quantity],RM_PM_Quantity[Date],BI$1,RM_PM_Quantity[Location],$D41,RM_PM_Quantity[Section],$C41,RM_PM_Quantity[RM Name],$E41)+IF($D41="MIND/Pre-Production",SUMIFS(RM_PM_Quantity[Quantity],RM_PM_Quantity[Date],BI$1,RM_PM_Quantity[Location],"MIDC/Pre-Production",RM_PM_Quantity[Section],$C41,RM_PM_Quantity[RM Name],$E41),0)</f>
        <v>0</v>
      </c>
      <c r="BJ41" s="84">
        <f>SUMIFS(RM_PM_Quantity[Quantity],RM_PM_Quantity[Date],BJ$1,RM_PM_Quantity[Location],$D41,RM_PM_Quantity[Section],$C41,RM_PM_Quantity[RM Name],$E41)+IF($D41="MIND/Pre-Production",SUMIFS(RM_PM_Quantity[Quantity],RM_PM_Quantity[Date],BJ$1,RM_PM_Quantity[Location],"MIDC/Pre-Production",RM_PM_Quantity[Section],$C41,RM_PM_Quantity[RM Name],$E41),0)</f>
        <v>0</v>
      </c>
      <c r="BK41" s="84">
        <f>SUMIFS(RM_PM_Quantity[Quantity],RM_PM_Quantity[Date],BK$1,RM_PM_Quantity[Location],$D41,RM_PM_Quantity[Section],$C41,RM_PM_Quantity[RM Name],$E41)+IF($D41="MIND/Pre-Production",SUMIFS(RM_PM_Quantity[Quantity],RM_PM_Quantity[Date],BK$1,RM_PM_Quantity[Location],"MIDC/Pre-Production",RM_PM_Quantity[Section],$C41,RM_PM_Quantity[RM Name],$E41),0)</f>
        <v>0</v>
      </c>
      <c r="BL41" s="84">
        <f>SUMIFS(RM_PM_Quantity[Quantity],RM_PM_Quantity[Date],BL$1,RM_PM_Quantity[Location],$D41,RM_PM_Quantity[Section],$C41,RM_PM_Quantity[RM Name],$E41)+IF($D41="MIND/Pre-Production",SUMIFS(RM_PM_Quantity[Quantity],RM_PM_Quantity[Date],BL$1,RM_PM_Quantity[Location],"MIDC/Pre-Production",RM_PM_Quantity[Section],$C41,RM_PM_Quantity[RM Name],$E41),0)</f>
        <v>0</v>
      </c>
      <c r="BM41" s="84">
        <f>SUMIFS(RM_PM_Quantity[Quantity],RM_PM_Quantity[Date],BM$1,RM_PM_Quantity[Location],$D41,RM_PM_Quantity[Section],$C41,RM_PM_Quantity[RM Name],$E41)+IF($D41="MIND/Pre-Production",SUMIFS(RM_PM_Quantity[Quantity],RM_PM_Quantity[Date],BM$1,RM_PM_Quantity[Location],"MIDC/Pre-Production",RM_PM_Quantity[Section],$C41,RM_PM_Quantity[RM Name],$E41),0)</f>
        <v>0</v>
      </c>
      <c r="BN41" s="84">
        <f>SUMIFS(RM_PM_Quantity[Quantity],RM_PM_Quantity[Date],BN$1,RM_PM_Quantity[Location],$D41,RM_PM_Quantity[Section],$C41,RM_PM_Quantity[RM Name],$E41)+IF($D41="MIND/Pre-Production",SUMIFS(RM_PM_Quantity[Quantity],RM_PM_Quantity[Date],BN$1,RM_PM_Quantity[Location],"MIDC/Pre-Production",RM_PM_Quantity[Section],$C41,RM_PM_Quantity[RM Name],$E41),0)</f>
        <v>0</v>
      </c>
      <c r="BO41" s="84">
        <f>SUMIFS(RM_PM_Quantity[Quantity],RM_PM_Quantity[Date],BO$1,RM_PM_Quantity[Location],$D41,RM_PM_Quantity[Section],$C41,RM_PM_Quantity[RM Name],$E41)+IF($D41="MIND/Pre-Production",SUMIFS(RM_PM_Quantity[Quantity],RM_PM_Quantity[Date],BO$1,RM_PM_Quantity[Location],"MIDC/Pre-Production",RM_PM_Quantity[Section],$C41,RM_PM_Quantity[RM Name],$E41),0)</f>
        <v>0</v>
      </c>
      <c r="BP41" s="84">
        <f>SUMIFS(RM_PM_Quantity[Quantity],RM_PM_Quantity[Date],BP$1,RM_PM_Quantity[Location],$D41,RM_PM_Quantity[Section],$C41,RM_PM_Quantity[RM Name],$E41)+IF($D41="MIND/Pre-Production",SUMIFS(RM_PM_Quantity[Quantity],RM_PM_Quantity[Date],BP$1,RM_PM_Quantity[Location],"MIDC/Pre-Production",RM_PM_Quantity[Section],$C41,RM_PM_Quantity[RM Name],$E41),0)</f>
        <v>0</v>
      </c>
      <c r="BQ41" s="84">
        <f>SUMIFS(RM_PM_Quantity[Quantity],RM_PM_Quantity[Date],BQ$1,RM_PM_Quantity[Location],$D41,RM_PM_Quantity[Section],$C41,RM_PM_Quantity[RM Name],$E41)+IF($D41="MIND/Pre-Production",SUMIFS(RM_PM_Quantity[Quantity],RM_PM_Quantity[Date],BQ$1,RM_PM_Quantity[Location],"MIDC/Pre-Production",RM_PM_Quantity[Section],$C41,RM_PM_Quantity[RM Name],$E41),0)</f>
        <v>0</v>
      </c>
      <c r="BR41" s="84">
        <f>SUMIFS(RM_PM_Quantity[Quantity],RM_PM_Quantity[Date],BR$1,RM_PM_Quantity[Location],$D41,RM_PM_Quantity[Section],$C41,RM_PM_Quantity[RM Name],$E41)+IF($D41="MIND/Pre-Production",SUMIFS(RM_PM_Quantity[Quantity],RM_PM_Quantity[Date],BR$1,RM_PM_Quantity[Location],"MIDC/Pre-Production",RM_PM_Quantity[Section],$C41,RM_PM_Quantity[RM Name],$E41),0)</f>
        <v>0</v>
      </c>
      <c r="BS41" s="84">
        <f>SUMIFS(RM_PM_Quantity[Quantity],RM_PM_Quantity[Date],BS$1,RM_PM_Quantity[Location],$D41,RM_PM_Quantity[Section],$C41,RM_PM_Quantity[RM Name],$E41)+IF($D41="MIND/Pre-Production",SUMIFS(RM_PM_Quantity[Quantity],RM_PM_Quantity[Date],BS$1,RM_PM_Quantity[Location],"MIDC/Pre-Production",RM_PM_Quantity[Section],$C41,RM_PM_Quantity[RM Name],$E41),0)</f>
        <v>0</v>
      </c>
      <c r="BT41" s="84">
        <f>SUMIFS(RM_PM_Quantity[ID],RM_PM_Quantity[Location],BT$1,RM_PM_Quantity[Section],$D41,RM_PM_Quantity[RM Name],$C41,RM_PM_Quantity[Quantity],$E41)+IF($D41="MIND/Pre-Production",SUMIFS(RM_PM_Quantity[ID],RM_PM_Quantity[Location],BT$1,RM_PM_Quantity[Section],"MIDC/Pre-Production",RM_PM_Quantity[RM Name],$C41,RM_PM_Quantity[Quantity],$E41),0)</f>
        <v>0</v>
      </c>
      <c r="BU41" s="84">
        <f>SUMIFS(RM_PM_Quantity[Name of Supervisor],RM_PM_Quantity[Section],BU$1,RM_PM_Quantity[RM Name],$D41,RM_PM_Quantity[Quantity],$C41,RM_PM_Quantity[ID],$E41)+IF($D41="MIND/Pre-Production",SUMIFS(RM_PM_Quantity[Name of Supervisor],RM_PM_Quantity[Section],BU$1,RM_PM_Quantity[RM Name],"MIDC/Pre-Production",RM_PM_Quantity[Quantity],$C41,RM_PM_Quantity[ID],$E41),0)</f>
        <v>0</v>
      </c>
      <c r="BV41" s="84">
        <f>SUMIFS(RM_PM_Quantity[Date],RM_PM_Quantity[RM Name],BV$1,RM_PM_Quantity[Quantity],$D41,RM_PM_Quantity[ID],$C41,RM_PM_Quantity[Name of Supervisor],$E41)+IF($D41="MIND/Pre-Production",SUMIFS(RM_PM_Quantity[Date],RM_PM_Quantity[RM Name],BV$1,RM_PM_Quantity[Quantity],"MIDC/Pre-Production",RM_PM_Quantity[ID],$C41,RM_PM_Quantity[Name of Supervisor],$E41),0)</f>
        <v>0</v>
      </c>
      <c r="BW41" s="84">
        <f>SUMIFS(RM_PM_Quantity[Location],RM_PM_Quantity[Quantity],BW$1,RM_PM_Quantity[ID],$D41,RM_PM_Quantity[Name of Supervisor],$C41,RM_PM_Quantity[Date],$E41)+IF($D41="MIND/Pre-Production",SUMIFS(RM_PM_Quantity[Location],RM_PM_Quantity[Quantity],BW$1,RM_PM_Quantity[ID],"MIDC/Pre-Production",RM_PM_Quantity[Name of Supervisor],$C41,RM_PM_Quantity[Date],$E41),0)</f>
        <v>0</v>
      </c>
      <c r="BX41" s="84">
        <f>SUMIFS(RM_PM_Quantity[Section],RM_PM_Quantity[ID],BX$1,RM_PM_Quantity[Name of Supervisor],$D41,RM_PM_Quantity[Date],$C41,RM_PM_Quantity[Location],$E41)+IF($D41="MIND/Pre-Production",SUMIFS(RM_PM_Quantity[Section],RM_PM_Quantity[ID],BX$1,RM_PM_Quantity[Name of Supervisor],"MIDC/Pre-Production",RM_PM_Quantity[Date],$C41,RM_PM_Quantity[Location],$E41),0)</f>
        <v>0</v>
      </c>
      <c r="BY41" s="84">
        <f>SUMIFS(RM_PM_Quantity[RM Name],RM_PM_Quantity[Name of Supervisor],BY$1,RM_PM_Quantity[Date],$D41,RM_PM_Quantity[Location],$C41,RM_PM_Quantity[Section],$E41)+IF($D41="MIND/Pre-Production",SUMIFS(RM_PM_Quantity[RM Name],RM_PM_Quantity[Name of Supervisor],BY$1,RM_PM_Quantity[Date],"MIDC/Pre-Production",RM_PM_Quantity[Location],$C41,RM_PM_Quantity[Section],$E41),0)</f>
        <v>0</v>
      </c>
    </row>
    <row r="42" spans="1:77" ht="45.75" customHeight="1">
      <c r="A42" s="79">
        <v>41</v>
      </c>
      <c r="B42" s="79" t="s">
        <v>129</v>
      </c>
      <c r="C42" s="88" t="s">
        <v>125</v>
      </c>
      <c r="D42" s="81" t="s">
        <v>54</v>
      </c>
      <c r="E42" s="82" t="s">
        <v>130</v>
      </c>
      <c r="F42" s="83">
        <f>IFERROR(_xlfn.XLOOKUP(B42,'[1]RM Tracker'!B:B,'[1]RM Tracker'!E:E),"0")</f>
        <v>2952.65</v>
      </c>
      <c r="G42" s="85">
        <f t="shared" si="2"/>
        <v>510</v>
      </c>
      <c r="H42" s="85">
        <f t="shared" si="3"/>
        <v>-2442.65</v>
      </c>
      <c r="I42" s="91">
        <f t="shared" si="4"/>
        <v>0.17272619511286472</v>
      </c>
      <c r="J42" s="84">
        <f>SUMIFS(RM_PM_Quantity[Quantity],RM_PM_Quantity[Date],J$1,RM_PM_Quantity[Location],$D42,RM_PM_Quantity[Section],$C42,RM_PM_Quantity[RM Name],$E42)+IF($D42="MIND/Pre-Production",SUMIFS(RM_PM_Quantity[Quantity],RM_PM_Quantity[Date],J$1,RM_PM_Quantity[Location],"MIDC/Pre-Production",RM_PM_Quantity[Section],$C42,RM_PM_Quantity[RM Name],$E42),0)</f>
        <v>0</v>
      </c>
      <c r="K42" s="84">
        <f>SUMIFS(RM_PM_Quantity[Quantity],RM_PM_Quantity[Date],K$1,RM_PM_Quantity[Location],$D42,RM_PM_Quantity[Section],$C42,RM_PM_Quantity[RM Name],$E42)+IF($D42="MIND/Pre-Production",SUMIFS(RM_PM_Quantity[Quantity],RM_PM_Quantity[Date],K$1,RM_PM_Quantity[Location],"MIDC/Pre-Production",RM_PM_Quantity[Section],$C42,RM_PM_Quantity[RM Name],$E42),0)</f>
        <v>0</v>
      </c>
      <c r="L42" s="84">
        <f>SUMIFS(RM_PM_Quantity[Quantity],RM_PM_Quantity[Date],L$1,RM_PM_Quantity[Location],$D42,RM_PM_Quantity[Section],$C42,RM_PM_Quantity[RM Name],$E42)+IF($D42="MIND/Pre-Production",SUMIFS(RM_PM_Quantity[Quantity],RM_PM_Quantity[Date],L$1,RM_PM_Quantity[Location],"MIDC/Pre-Production",RM_PM_Quantity[Section],$C42,RM_PM_Quantity[RM Name],$E42),0)</f>
        <v>0</v>
      </c>
      <c r="M42" s="84">
        <f>SUMIFS(RM_PM_Quantity[Quantity],RM_PM_Quantity[Date],M$1,RM_PM_Quantity[Location],$D42,RM_PM_Quantity[Section],$C42,RM_PM_Quantity[RM Name],$E42)+IF($D42="MIND/Pre-Production",SUMIFS(RM_PM_Quantity[Quantity],RM_PM_Quantity[Date],M$1,RM_PM_Quantity[Location],"MIDC/Pre-Production",RM_PM_Quantity[Section],$C42,RM_PM_Quantity[RM Name],$E42),0)</f>
        <v>0</v>
      </c>
      <c r="N42" s="84">
        <f>SUMIFS(RM_PM_Quantity[Quantity],RM_PM_Quantity[Date],N$1,RM_PM_Quantity[Location],$D42,RM_PM_Quantity[Section],$C42,RM_PM_Quantity[RM Name],$E42)+IF($D42="MIND/Pre-Production",SUMIFS(RM_PM_Quantity[Quantity],RM_PM_Quantity[Date],N$1,RM_PM_Quantity[Location],"MIDC/Pre-Production",RM_PM_Quantity[Section],$C42,RM_PM_Quantity[RM Name],$E42),0)</f>
        <v>0</v>
      </c>
      <c r="O42" s="84">
        <f>SUMIFS(RM_PM_Quantity[Quantity],RM_PM_Quantity[Date],O$1,RM_PM_Quantity[Location],$D42,RM_PM_Quantity[Section],$C42,RM_PM_Quantity[RM Name],$E42)+IF($D42="MIND/Pre-Production",SUMIFS(RM_PM_Quantity[Quantity],RM_PM_Quantity[Date],O$1,RM_PM_Quantity[Location],"MIDC/Pre-Production",RM_PM_Quantity[Section],$C42,RM_PM_Quantity[RM Name],$E42),0)</f>
        <v>0</v>
      </c>
      <c r="P42" s="84">
        <f>SUMIFS(RM_PM_Quantity[Quantity],RM_PM_Quantity[Date],P$1,RM_PM_Quantity[Location],$D42,RM_PM_Quantity[Section],$C42,RM_PM_Quantity[RM Name],$E42)+IF($D42="MIND/Pre-Production",SUMIFS(RM_PM_Quantity[Quantity],RM_PM_Quantity[Date],P$1,RM_PM_Quantity[Location],"MIDC/Pre-Production",RM_PM_Quantity[Section],$C42,RM_PM_Quantity[RM Name],$E42),0)</f>
        <v>0</v>
      </c>
      <c r="Q42" s="84">
        <f>SUMIFS(RM_PM_Quantity[Quantity],RM_PM_Quantity[Date],Q$1,RM_PM_Quantity[Location],$D42,RM_PM_Quantity[Section],$C42,RM_PM_Quantity[RM Name],$E42)+IF($D42="MIND/Pre-Production",SUMIFS(RM_PM_Quantity[Quantity],RM_PM_Quantity[Date],Q$1,RM_PM_Quantity[Location],"MIDC/Pre-Production",RM_PM_Quantity[Section],$C42,RM_PM_Quantity[RM Name],$E42),0)</f>
        <v>0</v>
      </c>
      <c r="R42" s="84">
        <f>SUMIFS(RM_PM_Quantity[Quantity],RM_PM_Quantity[Date],R$1,RM_PM_Quantity[Location],$D42,RM_PM_Quantity[Section],$C42,RM_PM_Quantity[RM Name],$E42)+IF($D42="MIND/Pre-Production",SUMIFS(RM_PM_Quantity[Quantity],RM_PM_Quantity[Date],R$1,RM_PM_Quantity[Location],"MIDC/Pre-Production",RM_PM_Quantity[Section],$C42,RM_PM_Quantity[RM Name],$E42),0)</f>
        <v>0</v>
      </c>
      <c r="S42" s="84">
        <f>SUMIFS(RM_PM_Quantity[Quantity],RM_PM_Quantity[Date],S$1,RM_PM_Quantity[Location],$D42,RM_PM_Quantity[Section],$C42,RM_PM_Quantity[RM Name],$E42)+IF($D42="MIND/Pre-Production",SUMIFS(RM_PM_Quantity[Quantity],RM_PM_Quantity[Date],S$1,RM_PM_Quantity[Location],"MIDC/Pre-Production",RM_PM_Quantity[Section],$C42,RM_PM_Quantity[RM Name],$E42),0)</f>
        <v>0</v>
      </c>
      <c r="T42" s="84">
        <f>SUMIFS(RM_PM_Quantity[Quantity],RM_PM_Quantity[Date],T$1,RM_PM_Quantity[Location],$D42,RM_PM_Quantity[Section],$C42,RM_PM_Quantity[RM Name],$E42)+IF($D42="MIND/Pre-Production",SUMIFS(RM_PM_Quantity[Quantity],RM_PM_Quantity[Date],T$1,RM_PM_Quantity[Location],"MIDC/Pre-Production",RM_PM_Quantity[Section],$C42,RM_PM_Quantity[RM Name],$E42),0)</f>
        <v>0</v>
      </c>
      <c r="U42" s="84">
        <f>SUMIFS(RM_PM_Quantity[Quantity],RM_PM_Quantity[Date],U$1,RM_PM_Quantity[Location],$D42,RM_PM_Quantity[Section],$C42,RM_PM_Quantity[RM Name],$E42)+IF($D42="MIND/Pre-Production",SUMIFS(RM_PM_Quantity[Quantity],RM_PM_Quantity[Date],U$1,RM_PM_Quantity[Location],"MIDC/Pre-Production",RM_PM_Quantity[Section],$C42,RM_PM_Quantity[RM Name],$E42),0)</f>
        <v>0</v>
      </c>
      <c r="V42" s="84">
        <f>SUMIFS(RM_PM_Quantity[Quantity],RM_PM_Quantity[Date],V$1,RM_PM_Quantity[Location],$D42,RM_PM_Quantity[Section],$C42,RM_PM_Quantity[RM Name],$E42)+IF($D42="MIND/Pre-Production",SUMIFS(RM_PM_Quantity[Quantity],RM_PM_Quantity[Date],V$1,RM_PM_Quantity[Location],"MIDC/Pre-Production",RM_PM_Quantity[Section],$C42,RM_PM_Quantity[RM Name],$E42),0)</f>
        <v>0</v>
      </c>
      <c r="W42" s="84">
        <f>SUMIFS(RM_PM_Quantity[Quantity],RM_PM_Quantity[Date],W$1,RM_PM_Quantity[Location],$D42,RM_PM_Quantity[Section],$C42,RM_PM_Quantity[RM Name],$E42)+IF($D42="MIND/Pre-Production",SUMIFS(RM_PM_Quantity[Quantity],RM_PM_Quantity[Date],W$1,RM_PM_Quantity[Location],"MIDC/Pre-Production",RM_PM_Quantity[Section],$C42,RM_PM_Quantity[RM Name],$E42),0)</f>
        <v>0</v>
      </c>
      <c r="X42" s="84">
        <f>SUMIFS(RM_PM_Quantity[Quantity],RM_PM_Quantity[Date],X$1,RM_PM_Quantity[Location],$D42,RM_PM_Quantity[Section],$C42,RM_PM_Quantity[RM Name],$E42)+IF($D42="MIND/Pre-Production",SUMIFS(RM_PM_Quantity[Quantity],RM_PM_Quantity[Date],X$1,RM_PM_Quantity[Location],"MIDC/Pre-Production",RM_PM_Quantity[Section],$C42,RM_PM_Quantity[RM Name],$E42),0)</f>
        <v>0</v>
      </c>
      <c r="Y42" s="84">
        <f>SUMIFS(RM_PM_Quantity[Quantity],RM_PM_Quantity[Date],Y$1,RM_PM_Quantity[Location],$D42,RM_PM_Quantity[Section],$C42,RM_PM_Quantity[RM Name],$E42)+IF($D42="MIND/Pre-Production",SUMIFS(RM_PM_Quantity[Quantity],RM_PM_Quantity[Date],Y$1,RM_PM_Quantity[Location],"MIDC/Pre-Production",RM_PM_Quantity[Section],$C42,RM_PM_Quantity[RM Name],$E42),0)</f>
        <v>0</v>
      </c>
      <c r="Z42" s="84">
        <f>SUMIFS(RM_PM_Quantity[Quantity],RM_PM_Quantity[Date],Z$1,RM_PM_Quantity[Location],$D42,RM_PM_Quantity[Section],$C42,RM_PM_Quantity[RM Name],$E42)+IF($D42="MIND/Pre-Production",SUMIFS(RM_PM_Quantity[Quantity],RM_PM_Quantity[Date],Z$1,RM_PM_Quantity[Location],"MIDC/Pre-Production",RM_PM_Quantity[Section],$C42,RM_PM_Quantity[RM Name],$E42),0)</f>
        <v>0</v>
      </c>
      <c r="AA42" s="84">
        <f>SUMIFS(RM_PM_Quantity[Quantity],RM_PM_Quantity[Date],AA$1,RM_PM_Quantity[Location],$D42,RM_PM_Quantity[Section],$C42,RM_PM_Quantity[RM Name],$E42)+IF($D42="MIND/Pre-Production",SUMIFS(RM_PM_Quantity[Quantity],RM_PM_Quantity[Date],AA$1,RM_PM_Quantity[Location],"MIDC/Pre-Production",RM_PM_Quantity[Section],$C42,RM_PM_Quantity[RM Name],$E42),0)</f>
        <v>0</v>
      </c>
      <c r="AB42" s="84">
        <f>SUMIFS(RM_PM_Quantity[Quantity],RM_PM_Quantity[Date],AB$1,RM_PM_Quantity[Location],$D42,RM_PM_Quantity[Section],$C42,RM_PM_Quantity[RM Name],$E42)+IF($D42="MIND/Pre-Production",SUMIFS(RM_PM_Quantity[Quantity],RM_PM_Quantity[Date],AB$1,RM_PM_Quantity[Location],"MIDC/Pre-Production",RM_PM_Quantity[Section],$C42,RM_PM_Quantity[RM Name],$E42),0)</f>
        <v>0</v>
      </c>
      <c r="AC42" s="84">
        <f>SUMIFS(RM_PM_Quantity[Quantity],RM_PM_Quantity[Date],AC$1,RM_PM_Quantity[Location],$D42,RM_PM_Quantity[Section],$C42,RM_PM_Quantity[RM Name],$E42)+IF($D42="MIND/Pre-Production",SUMIFS(RM_PM_Quantity[Quantity],RM_PM_Quantity[Date],AC$1,RM_PM_Quantity[Location],"MIDC/Pre-Production",RM_PM_Quantity[Section],$C42,RM_PM_Quantity[RM Name],$E42),0)</f>
        <v>0</v>
      </c>
      <c r="AD42" s="84">
        <f>SUMIFS(RM_PM_Quantity[Quantity],RM_PM_Quantity[Date],AD$1,RM_PM_Quantity[Location],$D42,RM_PM_Quantity[Section],$C42,RM_PM_Quantity[RM Name],$E42)+IF($D42="MIND/Pre-Production",SUMIFS(RM_PM_Quantity[Quantity],RM_PM_Quantity[Date],AD$1,RM_PM_Quantity[Location],"MIDC/Pre-Production",RM_PM_Quantity[Section],$C42,RM_PM_Quantity[RM Name],$E42),0)</f>
        <v>0</v>
      </c>
      <c r="AE42" s="84">
        <f>SUMIFS(RM_PM_Quantity[Quantity],RM_PM_Quantity[Date],AE$1,RM_PM_Quantity[Location],$D42,RM_PM_Quantity[Section],$C42,RM_PM_Quantity[RM Name],$E42)+IF($D42="MIND/Pre-Production",SUMIFS(RM_PM_Quantity[Quantity],RM_PM_Quantity[Date],AE$1,RM_PM_Quantity[Location],"MIDC/Pre-Production",RM_PM_Quantity[Section],$C42,RM_PM_Quantity[RM Name],$E42),0)</f>
        <v>0</v>
      </c>
      <c r="AF42" s="84">
        <f>SUMIFS(RM_PM_Quantity[Quantity],RM_PM_Quantity[Date],AF$1,RM_PM_Quantity[Location],$D42,RM_PM_Quantity[Section],$C42,RM_PM_Quantity[RM Name],$E42)+IF($D42="MIND/Pre-Production",SUMIFS(RM_PM_Quantity[Quantity],RM_PM_Quantity[Date],AF$1,RM_PM_Quantity[Location],"MIDC/Pre-Production",RM_PM_Quantity[Section],$C42,RM_PM_Quantity[RM Name],$E42),0)</f>
        <v>0</v>
      </c>
      <c r="AG42" s="84">
        <f>SUMIFS(RM_PM_Quantity[Quantity],RM_PM_Quantity[Date],AG$1,RM_PM_Quantity[Location],$D42,RM_PM_Quantity[Section],$C42,RM_PM_Quantity[RM Name],$E42)+IF($D42="MIND/Pre-Production",SUMIFS(RM_PM_Quantity[Quantity],RM_PM_Quantity[Date],AG$1,RM_PM_Quantity[Location],"MIDC/Pre-Production",RM_PM_Quantity[Section],$C42,RM_PM_Quantity[RM Name],$E42),0)</f>
        <v>0</v>
      </c>
      <c r="AH42" s="84">
        <f>SUMIFS(RM_PM_Quantity[Quantity],RM_PM_Quantity[Date],AH$1,RM_PM_Quantity[Location],$D42,RM_PM_Quantity[Section],$C42,RM_PM_Quantity[RM Name],$E42)+IF($D42="MIND/Pre-Production",SUMIFS(RM_PM_Quantity[Quantity],RM_PM_Quantity[Date],AH$1,RM_PM_Quantity[Location],"MIDC/Pre-Production",RM_PM_Quantity[Section],$C42,RM_PM_Quantity[RM Name],$E42),0)</f>
        <v>0</v>
      </c>
      <c r="AI42" s="84">
        <f>SUMIFS(RM_PM_Quantity[Quantity],RM_PM_Quantity[Date],AI$1,RM_PM_Quantity[Location],$D42,RM_PM_Quantity[Section],$C42,RM_PM_Quantity[RM Name],$E42)+IF($D42="MIND/Pre-Production",SUMIFS(RM_PM_Quantity[Quantity],RM_PM_Quantity[Date],AI$1,RM_PM_Quantity[Location],"MIDC/Pre-Production",RM_PM_Quantity[Section],$C42,RM_PM_Quantity[RM Name],$E42),0)</f>
        <v>0</v>
      </c>
      <c r="AJ42" s="84">
        <f>SUMIFS(RM_PM_Quantity[Quantity],RM_PM_Quantity[Date],AJ$1,RM_PM_Quantity[Location],$D42,RM_PM_Quantity[Section],$C42,RM_PM_Quantity[RM Name],$E42)+IF($D42="MIND/Pre-Production",SUMIFS(RM_PM_Quantity[Quantity],RM_PM_Quantity[Date],AJ$1,RM_PM_Quantity[Location],"MIDC/Pre-Production",RM_PM_Quantity[Section],$C42,RM_PM_Quantity[RM Name],$E42),0)</f>
        <v>0</v>
      </c>
      <c r="AK42" s="84">
        <f>SUMIFS(RM_PM_Quantity[Quantity],RM_PM_Quantity[Date],AK$1,RM_PM_Quantity[Location],$D42,RM_PM_Quantity[Section],$C42,RM_PM_Quantity[RM Name],$E42)+IF($D42="MIND/Pre-Production",SUMIFS(RM_PM_Quantity[Quantity],RM_PM_Quantity[Date],AK$1,RM_PM_Quantity[Location],"MIDC/Pre-Production",RM_PM_Quantity[Section],$C42,RM_PM_Quantity[RM Name],$E42),0)</f>
        <v>0</v>
      </c>
      <c r="AL42" s="84">
        <f>SUMIFS(RM_PM_Quantity[Quantity],RM_PM_Quantity[Date],AL$1,RM_PM_Quantity[Location],$D42,RM_PM_Quantity[Section],$C42,RM_PM_Quantity[RM Name],$E42)+IF($D42="MIND/Pre-Production",SUMIFS(RM_PM_Quantity[Quantity],RM_PM_Quantity[Date],AL$1,RM_PM_Quantity[Location],"MIDC/Pre-Production",RM_PM_Quantity[Section],$C42,RM_PM_Quantity[RM Name],$E42),0)</f>
        <v>200</v>
      </c>
      <c r="AM42" s="84">
        <f>SUMIFS(RM_PM_Quantity[Quantity],RM_PM_Quantity[Date],AM$1,RM_PM_Quantity[Location],$D42,RM_PM_Quantity[Section],$C42,RM_PM_Quantity[RM Name],$E42)+IF($D42="MIND/Pre-Production",SUMIFS(RM_PM_Quantity[Quantity],RM_PM_Quantity[Date],AM$1,RM_PM_Quantity[Location],"MIDC/Pre-Production",RM_PM_Quantity[Section],$C42,RM_PM_Quantity[RM Name],$E42),0)</f>
        <v>300</v>
      </c>
      <c r="AN42" s="84">
        <f>SUMIFS(RM_PM_Quantity[Quantity],RM_PM_Quantity[Date],AN$1,RM_PM_Quantity[Location],$D42,RM_PM_Quantity[Section],$C42,RM_PM_Quantity[RM Name],$E42)+IF($D42="MIND/Pre-Production",SUMIFS(RM_PM_Quantity[Quantity],RM_PM_Quantity[Date],AN$1,RM_PM_Quantity[Location],"MIDC/Pre-Production",RM_PM_Quantity[Section],$C42,RM_PM_Quantity[RM Name],$E42),0)</f>
        <v>0</v>
      </c>
      <c r="AO42" s="84">
        <f>SUMIFS(RM_PM_Quantity[Quantity],RM_PM_Quantity[Date],AO$1,RM_PM_Quantity[Location],$D42,RM_PM_Quantity[Section],$C42,RM_PM_Quantity[RM Name],$E42)+IF($D42="MIND/Pre-Production",SUMIFS(RM_PM_Quantity[Quantity],RM_PM_Quantity[Date],AO$1,RM_PM_Quantity[Location],"MIDC/Pre-Production",RM_PM_Quantity[Section],$C42,RM_PM_Quantity[RM Name],$E42),0)</f>
        <v>0</v>
      </c>
      <c r="AP42" s="84">
        <f>SUMIFS(RM_PM_Quantity[Quantity],RM_PM_Quantity[Date],AP$1,RM_PM_Quantity[Location],$D42,RM_PM_Quantity[Section],$C42,RM_PM_Quantity[RM Name],$E42)+IF($D42="MIND/Pre-Production",SUMIFS(RM_PM_Quantity[Quantity],RM_PM_Quantity[Date],AP$1,RM_PM_Quantity[Location],"MIDC/Pre-Production",RM_PM_Quantity[Section],$C42,RM_PM_Quantity[RM Name],$E42),0)</f>
        <v>0</v>
      </c>
      <c r="AQ42" s="84">
        <f>SUMIFS(RM_PM_Quantity[Quantity],RM_PM_Quantity[Date],AQ$1,RM_PM_Quantity[Location],$D42,RM_PM_Quantity[Section],$C42,RM_PM_Quantity[RM Name],$E42)+IF($D42="MIND/Pre-Production",SUMIFS(RM_PM_Quantity[Quantity],RM_PM_Quantity[Date],AQ$1,RM_PM_Quantity[Location],"MIDC/Pre-Production",RM_PM_Quantity[Section],$C42,RM_PM_Quantity[RM Name],$E42),0)</f>
        <v>0</v>
      </c>
      <c r="AR42" s="84">
        <f>SUMIFS(RM_PM_Quantity[Quantity],RM_PM_Quantity[Date],AR$1,RM_PM_Quantity[Location],$D42,RM_PM_Quantity[Section],$C42,RM_PM_Quantity[RM Name],$E42)+IF($D42="MIND/Pre-Production",SUMIFS(RM_PM_Quantity[Quantity],RM_PM_Quantity[Date],AR$1,RM_PM_Quantity[Location],"MIDC/Pre-Production",RM_PM_Quantity[Section],$C42,RM_PM_Quantity[RM Name],$E42),0)</f>
        <v>0</v>
      </c>
      <c r="AS42" s="84">
        <f>SUMIFS(RM_PM_Quantity[Quantity],RM_PM_Quantity[Date],AS$1,RM_PM_Quantity[Location],$D42,RM_PM_Quantity[Section],$C42,RM_PM_Quantity[RM Name],$E42)+IF($D42="MIND/Pre-Production",SUMIFS(RM_PM_Quantity[Quantity],RM_PM_Quantity[Date],AS$1,RM_PM_Quantity[Location],"MIDC/Pre-Production",RM_PM_Quantity[Section],$C42,RM_PM_Quantity[RM Name],$E42),0)</f>
        <v>0</v>
      </c>
      <c r="AT42" s="84">
        <f>SUMIFS(RM_PM_Quantity[Quantity],RM_PM_Quantity[Date],AT$1,RM_PM_Quantity[Location],$D42,RM_PM_Quantity[Section],$C42,RM_PM_Quantity[RM Name],$E42)+IF($D42="MIND/Pre-Production",SUMIFS(RM_PM_Quantity[Quantity],RM_PM_Quantity[Date],AT$1,RM_PM_Quantity[Location],"MIDC/Pre-Production",RM_PM_Quantity[Section],$C42,RM_PM_Quantity[RM Name],$E42),0)</f>
        <v>0</v>
      </c>
      <c r="AU42" s="84">
        <f>SUMIFS(RM_PM_Quantity[Quantity],RM_PM_Quantity[Date],AU$1,RM_PM_Quantity[Location],$D42,RM_PM_Quantity[Section],$C42,RM_PM_Quantity[RM Name],$E42)+IF($D42="MIND/Pre-Production",SUMIFS(RM_PM_Quantity[Quantity],RM_PM_Quantity[Date],AU$1,RM_PM_Quantity[Location],"MIDC/Pre-Production",RM_PM_Quantity[Section],$C42,RM_PM_Quantity[RM Name],$E42),0)</f>
        <v>0</v>
      </c>
      <c r="AV42" s="84">
        <f>SUMIFS(RM_PM_Quantity[Quantity],RM_PM_Quantity[Date],AV$1,RM_PM_Quantity[Location],$D42,RM_PM_Quantity[Section],$C42,RM_PM_Quantity[RM Name],$E42)+IF($D42="MIND/Pre-Production",SUMIFS(RM_PM_Quantity[Quantity],RM_PM_Quantity[Date],AV$1,RM_PM_Quantity[Location],"MIDC/Pre-Production",RM_PM_Quantity[Section],$C42,RM_PM_Quantity[RM Name],$E42),0)</f>
        <v>0</v>
      </c>
      <c r="AW42" s="84">
        <f>SUMIFS(RM_PM_Quantity[Quantity],RM_PM_Quantity[Date],AW$1,RM_PM_Quantity[Location],$D42,RM_PM_Quantity[Section],$C42,RM_PM_Quantity[RM Name],$E42)+IF($D42="MIND/Pre-Production",SUMIFS(RM_PM_Quantity[Quantity],RM_PM_Quantity[Date],AW$1,RM_PM_Quantity[Location],"MIDC/Pre-Production",RM_PM_Quantity[Section],$C42,RM_PM_Quantity[RM Name],$E42),0)</f>
        <v>0</v>
      </c>
      <c r="AX42" s="84">
        <f>SUMIFS(RM_PM_Quantity[Quantity],RM_PM_Quantity[Date],AX$1,RM_PM_Quantity[Location],$D42,RM_PM_Quantity[Section],$C42,RM_PM_Quantity[RM Name],$E42)+IF($D42="MIND/Pre-Production",SUMIFS(RM_PM_Quantity[Quantity],RM_PM_Quantity[Date],AX$1,RM_PM_Quantity[Location],"MIDC/Pre-Production",RM_PM_Quantity[Section],$C42,RM_PM_Quantity[RM Name],$E42),0)</f>
        <v>0</v>
      </c>
      <c r="AY42" s="84">
        <f>SUMIFS(RM_PM_Quantity[Quantity],RM_PM_Quantity[Date],AY$1,RM_PM_Quantity[Location],$D42,RM_PM_Quantity[Section],$C42,RM_PM_Quantity[RM Name],$E42)+IF($D42="MIND/Pre-Production",SUMIFS(RM_PM_Quantity[Quantity],RM_PM_Quantity[Date],AY$1,RM_PM_Quantity[Location],"MIDC/Pre-Production",RM_PM_Quantity[Section],$C42,RM_PM_Quantity[RM Name],$E42),0)</f>
        <v>0</v>
      </c>
      <c r="AZ42" s="84">
        <f>SUMIFS(RM_PM_Quantity[Quantity],RM_PM_Quantity[Date],AZ$1,RM_PM_Quantity[Location],$D42,RM_PM_Quantity[Section],$C42,RM_PM_Quantity[RM Name],$E42)+IF($D42="MIND/Pre-Production",SUMIFS(RM_PM_Quantity[Quantity],RM_PM_Quantity[Date],AZ$1,RM_PM_Quantity[Location],"MIDC/Pre-Production",RM_PM_Quantity[Section],$C42,RM_PM_Quantity[RM Name],$E42),0)</f>
        <v>510</v>
      </c>
      <c r="BA42" s="84">
        <f>SUMIFS(RM_PM_Quantity[Quantity],RM_PM_Quantity[Date],BA$1,RM_PM_Quantity[Location],$D42,RM_PM_Quantity[Section],$C42,RM_PM_Quantity[RM Name],$E42)+IF($D42="MIND/Pre-Production",SUMIFS(RM_PM_Quantity[Quantity],RM_PM_Quantity[Date],BA$1,RM_PM_Quantity[Location],"MIDC/Pre-Production",RM_PM_Quantity[Section],$C42,RM_PM_Quantity[RM Name],$E42),0)</f>
        <v>0</v>
      </c>
      <c r="BB42" s="84">
        <f>SUMIFS(RM_PM_Quantity[Quantity],RM_PM_Quantity[Date],BB$1,RM_PM_Quantity[Location],$D42,RM_PM_Quantity[Section],$C42,RM_PM_Quantity[RM Name],$E42)+IF($D42="MIND/Pre-Production",SUMIFS(RM_PM_Quantity[Quantity],RM_PM_Quantity[Date],BB$1,RM_PM_Quantity[Location],"MIDC/Pre-Production",RM_PM_Quantity[Section],$C42,RM_PM_Quantity[RM Name],$E42),0)</f>
        <v>0</v>
      </c>
      <c r="BC42" s="84">
        <f>SUMIFS(RM_PM_Quantity[Quantity],RM_PM_Quantity[Date],BC$1,RM_PM_Quantity[Location],$D42,RM_PM_Quantity[Section],$C42,RM_PM_Quantity[RM Name],$E42)+IF($D42="MIND/Pre-Production",SUMIFS(RM_PM_Quantity[Quantity],RM_PM_Quantity[Date],BC$1,RM_PM_Quantity[Location],"MIDC/Pre-Production",RM_PM_Quantity[Section],$C42,RM_PM_Quantity[RM Name],$E42),0)</f>
        <v>0</v>
      </c>
      <c r="BD42" s="84">
        <f>SUMIFS(RM_PM_Quantity[Quantity],RM_PM_Quantity[Date],BD$1,RM_PM_Quantity[Location],$D42,RM_PM_Quantity[Section],$C42,RM_PM_Quantity[RM Name],$E42)+IF($D42="MIND/Pre-Production",SUMIFS(RM_PM_Quantity[Quantity],RM_PM_Quantity[Date],BD$1,RM_PM_Quantity[Location],"MIDC/Pre-Production",RM_PM_Quantity[Section],$C42,RM_PM_Quantity[RM Name],$E42),0)</f>
        <v>0</v>
      </c>
      <c r="BE42" s="84">
        <f>SUMIFS(RM_PM_Quantity[Quantity],RM_PM_Quantity[Date],BE$1,RM_PM_Quantity[Location],$D42,RM_PM_Quantity[Section],$C42,RM_PM_Quantity[RM Name],$E42)+IF($D42="MIND/Pre-Production",SUMIFS(RM_PM_Quantity[Quantity],RM_PM_Quantity[Date],BE$1,RM_PM_Quantity[Location],"MIDC/Pre-Production",RM_PM_Quantity[Section],$C42,RM_PM_Quantity[RM Name],$E42),0)</f>
        <v>0</v>
      </c>
      <c r="BF42" s="84">
        <f>SUMIFS(RM_PM_Quantity[Quantity],RM_PM_Quantity[Date],BF$1,RM_PM_Quantity[Location],$D42,RM_PM_Quantity[Section],$C42,RM_PM_Quantity[RM Name],$E42)+IF($D42="MIND/Pre-Production",SUMIFS(RM_PM_Quantity[Quantity],RM_PM_Quantity[Date],BF$1,RM_PM_Quantity[Location],"MIDC/Pre-Production",RM_PM_Quantity[Section],$C42,RM_PM_Quantity[RM Name],$E42),0)</f>
        <v>0</v>
      </c>
      <c r="BG42" s="84">
        <f>SUMIFS(RM_PM_Quantity[Quantity],RM_PM_Quantity[Date],BG$1,RM_PM_Quantity[Location],$D42,RM_PM_Quantity[Section],$C42,RM_PM_Quantity[RM Name],$E42)+IF($D42="MIND/Pre-Production",SUMIFS(RM_PM_Quantity[Quantity],RM_PM_Quantity[Date],BG$1,RM_PM_Quantity[Location],"MIDC/Pre-Production",RM_PM_Quantity[Section],$C42,RM_PM_Quantity[RM Name],$E42),0)</f>
        <v>0</v>
      </c>
      <c r="BH42" s="84">
        <f>SUMIFS(RM_PM_Quantity[Quantity],RM_PM_Quantity[Date],BH$1,RM_PM_Quantity[Location],$D42,RM_PM_Quantity[Section],$C42,RM_PM_Quantity[RM Name],$E42)+IF($D42="MIND/Pre-Production",SUMIFS(RM_PM_Quantity[Quantity],RM_PM_Quantity[Date],BH$1,RM_PM_Quantity[Location],"MIDC/Pre-Production",RM_PM_Quantity[Section],$C42,RM_PM_Quantity[RM Name],$E42),0)</f>
        <v>0</v>
      </c>
      <c r="BI42" s="84">
        <f>SUMIFS(RM_PM_Quantity[Quantity],RM_PM_Quantity[Date],BI$1,RM_PM_Quantity[Location],$D42,RM_PM_Quantity[Section],$C42,RM_PM_Quantity[RM Name],$E42)+IF($D42="MIND/Pre-Production",SUMIFS(RM_PM_Quantity[Quantity],RM_PM_Quantity[Date],BI$1,RM_PM_Quantity[Location],"MIDC/Pre-Production",RM_PM_Quantity[Section],$C42,RM_PM_Quantity[RM Name],$E42),0)</f>
        <v>0</v>
      </c>
      <c r="BJ42" s="84">
        <f>SUMIFS(RM_PM_Quantity[Quantity],RM_PM_Quantity[Date],BJ$1,RM_PM_Quantity[Location],$D42,RM_PM_Quantity[Section],$C42,RM_PM_Quantity[RM Name],$E42)+IF($D42="MIND/Pre-Production",SUMIFS(RM_PM_Quantity[Quantity],RM_PM_Quantity[Date],BJ$1,RM_PM_Quantity[Location],"MIDC/Pre-Production",RM_PM_Quantity[Section],$C42,RM_PM_Quantity[RM Name],$E42),0)</f>
        <v>0</v>
      </c>
      <c r="BK42" s="84">
        <f>SUMIFS(RM_PM_Quantity[Quantity],RM_PM_Quantity[Date],BK$1,RM_PM_Quantity[Location],$D42,RM_PM_Quantity[Section],$C42,RM_PM_Quantity[RM Name],$E42)+IF($D42="MIND/Pre-Production",SUMIFS(RM_PM_Quantity[Quantity],RM_PM_Quantity[Date],BK$1,RM_PM_Quantity[Location],"MIDC/Pre-Production",RM_PM_Quantity[Section],$C42,RM_PM_Quantity[RM Name],$E42),0)</f>
        <v>0</v>
      </c>
      <c r="BL42" s="84">
        <f>SUMIFS(RM_PM_Quantity[Quantity],RM_PM_Quantity[Date],BL$1,RM_PM_Quantity[Location],$D42,RM_PM_Quantity[Section],$C42,RM_PM_Quantity[RM Name],$E42)+IF($D42="MIND/Pre-Production",SUMIFS(RM_PM_Quantity[Quantity],RM_PM_Quantity[Date],BL$1,RM_PM_Quantity[Location],"MIDC/Pre-Production",RM_PM_Quantity[Section],$C42,RM_PM_Quantity[RM Name],$E42),0)</f>
        <v>0</v>
      </c>
      <c r="BM42" s="84">
        <f>SUMIFS(RM_PM_Quantity[Quantity],RM_PM_Quantity[Date],BM$1,RM_PM_Quantity[Location],$D42,RM_PM_Quantity[Section],$C42,RM_PM_Quantity[RM Name],$E42)+IF($D42="MIND/Pre-Production",SUMIFS(RM_PM_Quantity[Quantity],RM_PM_Quantity[Date],BM$1,RM_PM_Quantity[Location],"MIDC/Pre-Production",RM_PM_Quantity[Section],$C42,RM_PM_Quantity[RM Name],$E42),0)</f>
        <v>0</v>
      </c>
      <c r="BN42" s="84">
        <f>SUMIFS(RM_PM_Quantity[Quantity],RM_PM_Quantity[Date],BN$1,RM_PM_Quantity[Location],$D42,RM_PM_Quantity[Section],$C42,RM_PM_Quantity[RM Name],$E42)+IF($D42="MIND/Pre-Production",SUMIFS(RM_PM_Quantity[Quantity],RM_PM_Quantity[Date],BN$1,RM_PM_Quantity[Location],"MIDC/Pre-Production",RM_PM_Quantity[Section],$C42,RM_PM_Quantity[RM Name],$E42),0)</f>
        <v>0</v>
      </c>
      <c r="BO42" s="84">
        <f>SUMIFS(RM_PM_Quantity[Quantity],RM_PM_Quantity[Date],BO$1,RM_PM_Quantity[Location],$D42,RM_PM_Quantity[Section],$C42,RM_PM_Quantity[RM Name],$E42)+IF($D42="MIND/Pre-Production",SUMIFS(RM_PM_Quantity[Quantity],RM_PM_Quantity[Date],BO$1,RM_PM_Quantity[Location],"MIDC/Pre-Production",RM_PM_Quantity[Section],$C42,RM_PM_Quantity[RM Name],$E42),0)</f>
        <v>0</v>
      </c>
      <c r="BP42" s="84">
        <f>SUMIFS(RM_PM_Quantity[Quantity],RM_PM_Quantity[Date],BP$1,RM_PM_Quantity[Location],$D42,RM_PM_Quantity[Section],$C42,RM_PM_Quantity[RM Name],$E42)+IF($D42="MIND/Pre-Production",SUMIFS(RM_PM_Quantity[Quantity],RM_PM_Quantity[Date],BP$1,RM_PM_Quantity[Location],"MIDC/Pre-Production",RM_PM_Quantity[Section],$C42,RM_PM_Quantity[RM Name],$E42),0)</f>
        <v>0</v>
      </c>
      <c r="BQ42" s="84">
        <f>SUMIFS(RM_PM_Quantity[Quantity],RM_PM_Quantity[Date],BQ$1,RM_PM_Quantity[Location],$D42,RM_PM_Quantity[Section],$C42,RM_PM_Quantity[RM Name],$E42)+IF($D42="MIND/Pre-Production",SUMIFS(RM_PM_Quantity[Quantity],RM_PM_Quantity[Date],BQ$1,RM_PM_Quantity[Location],"MIDC/Pre-Production",RM_PM_Quantity[Section],$C42,RM_PM_Quantity[RM Name],$E42),0)</f>
        <v>0</v>
      </c>
      <c r="BR42" s="84">
        <f>SUMIFS(RM_PM_Quantity[Quantity],RM_PM_Quantity[Date],BR$1,RM_PM_Quantity[Location],$D42,RM_PM_Quantity[Section],$C42,RM_PM_Quantity[RM Name],$E42)+IF($D42="MIND/Pre-Production",SUMIFS(RM_PM_Quantity[Quantity],RM_PM_Quantity[Date],BR$1,RM_PM_Quantity[Location],"MIDC/Pre-Production",RM_PM_Quantity[Section],$C42,RM_PM_Quantity[RM Name],$E42),0)</f>
        <v>0</v>
      </c>
      <c r="BS42" s="84">
        <f>SUMIFS(RM_PM_Quantity[Quantity],RM_PM_Quantity[Date],BS$1,RM_PM_Quantity[Location],$D42,RM_PM_Quantity[Section],$C42,RM_PM_Quantity[RM Name],$E42)+IF($D42="MIND/Pre-Production",SUMIFS(RM_PM_Quantity[Quantity],RM_PM_Quantity[Date],BS$1,RM_PM_Quantity[Location],"MIDC/Pre-Production",RM_PM_Quantity[Section],$C42,RM_PM_Quantity[RM Name],$E42),0)</f>
        <v>0</v>
      </c>
      <c r="BT42" s="84">
        <f>SUMIFS(RM_PM_Quantity[ID],RM_PM_Quantity[Location],BT$1,RM_PM_Quantity[Section],$D42,RM_PM_Quantity[RM Name],$C42,RM_PM_Quantity[Quantity],$E42)+IF($D42="MIND/Pre-Production",SUMIFS(RM_PM_Quantity[ID],RM_PM_Quantity[Location],BT$1,RM_PM_Quantity[Section],"MIDC/Pre-Production",RM_PM_Quantity[RM Name],$C42,RM_PM_Quantity[Quantity],$E42),0)</f>
        <v>0</v>
      </c>
      <c r="BU42" s="84">
        <f>SUMIFS(RM_PM_Quantity[Name of Supervisor],RM_PM_Quantity[Section],BU$1,RM_PM_Quantity[RM Name],$D42,RM_PM_Quantity[Quantity],$C42,RM_PM_Quantity[ID],$E42)+IF($D42="MIND/Pre-Production",SUMIFS(RM_PM_Quantity[Name of Supervisor],RM_PM_Quantity[Section],BU$1,RM_PM_Quantity[RM Name],"MIDC/Pre-Production",RM_PM_Quantity[Quantity],$C42,RM_PM_Quantity[ID],$E42),0)</f>
        <v>0</v>
      </c>
      <c r="BV42" s="84">
        <f>SUMIFS(RM_PM_Quantity[Date],RM_PM_Quantity[RM Name],BV$1,RM_PM_Quantity[Quantity],$D42,RM_PM_Quantity[ID],$C42,RM_PM_Quantity[Name of Supervisor],$E42)+IF($D42="MIND/Pre-Production",SUMIFS(RM_PM_Quantity[Date],RM_PM_Quantity[RM Name],BV$1,RM_PM_Quantity[Quantity],"MIDC/Pre-Production",RM_PM_Quantity[ID],$C42,RM_PM_Quantity[Name of Supervisor],$E42),0)</f>
        <v>0</v>
      </c>
      <c r="BW42" s="84">
        <f>SUMIFS(RM_PM_Quantity[Location],RM_PM_Quantity[Quantity],BW$1,RM_PM_Quantity[ID],$D42,RM_PM_Quantity[Name of Supervisor],$C42,RM_PM_Quantity[Date],$E42)+IF($D42="MIND/Pre-Production",SUMIFS(RM_PM_Quantity[Location],RM_PM_Quantity[Quantity],BW$1,RM_PM_Quantity[ID],"MIDC/Pre-Production",RM_PM_Quantity[Name of Supervisor],$C42,RM_PM_Quantity[Date],$E42),0)</f>
        <v>0</v>
      </c>
      <c r="BX42" s="84">
        <f>SUMIFS(RM_PM_Quantity[Section],RM_PM_Quantity[ID],BX$1,RM_PM_Quantity[Name of Supervisor],$D42,RM_PM_Quantity[Date],$C42,RM_PM_Quantity[Location],$E42)+IF($D42="MIND/Pre-Production",SUMIFS(RM_PM_Quantity[Section],RM_PM_Quantity[ID],BX$1,RM_PM_Quantity[Name of Supervisor],"MIDC/Pre-Production",RM_PM_Quantity[Date],$C42,RM_PM_Quantity[Location],$E42),0)</f>
        <v>0</v>
      </c>
      <c r="BY42" s="84">
        <f>SUMIFS(RM_PM_Quantity[RM Name],RM_PM_Quantity[Name of Supervisor],BY$1,RM_PM_Quantity[Date],$D42,RM_PM_Quantity[Location],$C42,RM_PM_Quantity[Section],$E42)+IF($D42="MIND/Pre-Production",SUMIFS(RM_PM_Quantity[RM Name],RM_PM_Quantity[Name of Supervisor],BY$1,RM_PM_Quantity[Date],"MIDC/Pre-Production",RM_PM_Quantity[Location],$C42,RM_PM_Quantity[Section],$E42),0)</f>
        <v>0</v>
      </c>
    </row>
    <row r="43" spans="1:77" ht="45.75" customHeight="1">
      <c r="A43" s="79">
        <v>42</v>
      </c>
      <c r="B43" s="87" t="s">
        <v>94</v>
      </c>
      <c r="C43" s="88" t="s">
        <v>125</v>
      </c>
      <c r="D43" s="81" t="s">
        <v>54</v>
      </c>
      <c r="E43" s="82" t="s">
        <v>95</v>
      </c>
      <c r="F43" s="83">
        <f>IFERROR(_xlfn.XLOOKUP(B43,'[1]RM Tracker'!B:B,'[1]RM Tracker'!E:E),"0")</f>
        <v>242.52000000000041</v>
      </c>
      <c r="G43" s="85">
        <f t="shared" si="2"/>
        <v>0</v>
      </c>
      <c r="H43" s="85">
        <f t="shared" si="3"/>
        <v>-242.52000000000041</v>
      </c>
      <c r="I43" s="91">
        <f t="shared" si="4"/>
        <v>0</v>
      </c>
      <c r="J43" s="84">
        <f>SUMIFS(RM_PM_Quantity[Quantity],RM_PM_Quantity[Date],J$1,RM_PM_Quantity[Location],$D43,RM_PM_Quantity[Section],$C43,RM_PM_Quantity[RM Name],$E43)+IF($D43="MIND/Pre-Production",SUMIFS(RM_PM_Quantity[Quantity],RM_PM_Quantity[Date],J$1,RM_PM_Quantity[Location],"MIDC/Pre-Production",RM_PM_Quantity[Section],$C43,RM_PM_Quantity[RM Name],$E43),0)</f>
        <v>0</v>
      </c>
      <c r="K43" s="84">
        <f>SUMIFS(RM_PM_Quantity[Quantity],RM_PM_Quantity[Date],K$1,RM_PM_Quantity[Location],$D43,RM_PM_Quantity[Section],$C43,RM_PM_Quantity[RM Name],$E43)+IF($D43="MIND/Pre-Production",SUMIFS(RM_PM_Quantity[Quantity],RM_PM_Quantity[Date],K$1,RM_PM_Quantity[Location],"MIDC/Pre-Production",RM_PM_Quantity[Section],$C43,RM_PM_Quantity[RM Name],$E43),0)</f>
        <v>0</v>
      </c>
      <c r="L43" s="84">
        <f>SUMIFS(RM_PM_Quantity[Quantity],RM_PM_Quantity[Date],L$1,RM_PM_Quantity[Location],$D43,RM_PM_Quantity[Section],$C43,RM_PM_Quantity[RM Name],$E43)+IF($D43="MIND/Pre-Production",SUMIFS(RM_PM_Quantity[Quantity],RM_PM_Quantity[Date],L$1,RM_PM_Quantity[Location],"MIDC/Pre-Production",RM_PM_Quantity[Section],$C43,RM_PM_Quantity[RM Name],$E43),0)</f>
        <v>0</v>
      </c>
      <c r="M43" s="84">
        <f>SUMIFS(RM_PM_Quantity[Quantity],RM_PM_Quantity[Date],M$1,RM_PM_Quantity[Location],$D43,RM_PM_Quantity[Section],$C43,RM_PM_Quantity[RM Name],$E43)+IF($D43="MIND/Pre-Production",SUMIFS(RM_PM_Quantity[Quantity],RM_PM_Quantity[Date],M$1,RM_PM_Quantity[Location],"MIDC/Pre-Production",RM_PM_Quantity[Section],$C43,RM_PM_Quantity[RM Name],$E43),0)</f>
        <v>2000</v>
      </c>
      <c r="N43" s="84">
        <f>SUMIFS(RM_PM_Quantity[Quantity],RM_PM_Quantity[Date],N$1,RM_PM_Quantity[Location],$D43,RM_PM_Quantity[Section],$C43,RM_PM_Quantity[RM Name],$E43)+IF($D43="MIND/Pre-Production",SUMIFS(RM_PM_Quantity[Quantity],RM_PM_Quantity[Date],N$1,RM_PM_Quantity[Location],"MIDC/Pre-Production",RM_PM_Quantity[Section],$C43,RM_PM_Quantity[RM Name],$E43),0)</f>
        <v>0</v>
      </c>
      <c r="O43" s="84">
        <f>SUMIFS(RM_PM_Quantity[Quantity],RM_PM_Quantity[Date],O$1,RM_PM_Quantity[Location],$D43,RM_PM_Quantity[Section],$C43,RM_PM_Quantity[RM Name],$E43)+IF($D43="MIND/Pre-Production",SUMIFS(RM_PM_Quantity[Quantity],RM_PM_Quantity[Date],O$1,RM_PM_Quantity[Location],"MIDC/Pre-Production",RM_PM_Quantity[Section],$C43,RM_PM_Quantity[RM Name],$E43),0)</f>
        <v>0</v>
      </c>
      <c r="P43" s="84">
        <f>SUMIFS(RM_PM_Quantity[Quantity],RM_PM_Quantity[Date],P$1,RM_PM_Quantity[Location],$D43,RM_PM_Quantity[Section],$C43,RM_PM_Quantity[RM Name],$E43)+IF($D43="MIND/Pre-Production",SUMIFS(RM_PM_Quantity[Quantity],RM_PM_Quantity[Date],P$1,RM_PM_Quantity[Location],"MIDC/Pre-Production",RM_PM_Quantity[Section],$C43,RM_PM_Quantity[RM Name],$E43),0)</f>
        <v>0</v>
      </c>
      <c r="Q43" s="84">
        <f>SUMIFS(RM_PM_Quantity[Quantity],RM_PM_Quantity[Date],Q$1,RM_PM_Quantity[Location],$D43,RM_PM_Quantity[Section],$C43,RM_PM_Quantity[RM Name],$E43)+IF($D43="MIND/Pre-Production",SUMIFS(RM_PM_Quantity[Quantity],RM_PM_Quantity[Date],Q$1,RM_PM_Quantity[Location],"MIDC/Pre-Production",RM_PM_Quantity[Section],$C43,RM_PM_Quantity[RM Name],$E43),0)</f>
        <v>0</v>
      </c>
      <c r="R43" s="84">
        <f>SUMIFS(RM_PM_Quantity[Quantity],RM_PM_Quantity[Date],R$1,RM_PM_Quantity[Location],$D43,RM_PM_Quantity[Section],$C43,RM_PM_Quantity[RM Name],$E43)+IF($D43="MIND/Pre-Production",SUMIFS(RM_PM_Quantity[Quantity],RM_PM_Quantity[Date],R$1,RM_PM_Quantity[Location],"MIDC/Pre-Production",RM_PM_Quantity[Section],$C43,RM_PM_Quantity[RM Name],$E43),0)</f>
        <v>0</v>
      </c>
      <c r="S43" s="84">
        <f>SUMIFS(RM_PM_Quantity[Quantity],RM_PM_Quantity[Date],S$1,RM_PM_Quantity[Location],$D43,RM_PM_Quantity[Section],$C43,RM_PM_Quantity[RM Name],$E43)+IF($D43="MIND/Pre-Production",SUMIFS(RM_PM_Quantity[Quantity],RM_PM_Quantity[Date],S$1,RM_PM_Quantity[Location],"MIDC/Pre-Production",RM_PM_Quantity[Section],$C43,RM_PM_Quantity[RM Name],$E43),0)</f>
        <v>0</v>
      </c>
      <c r="T43" s="84">
        <f>SUMIFS(RM_PM_Quantity[Quantity],RM_PM_Quantity[Date],T$1,RM_PM_Quantity[Location],$D43,RM_PM_Quantity[Section],$C43,RM_PM_Quantity[RM Name],$E43)+IF($D43="MIND/Pre-Production",SUMIFS(RM_PM_Quantity[Quantity],RM_PM_Quantity[Date],T$1,RM_PM_Quantity[Location],"MIDC/Pre-Production",RM_PM_Quantity[Section],$C43,RM_PM_Quantity[RM Name],$E43),0)</f>
        <v>0</v>
      </c>
      <c r="U43" s="84">
        <f>SUMIFS(RM_PM_Quantity[Quantity],RM_PM_Quantity[Date],U$1,RM_PM_Quantity[Location],$D43,RM_PM_Quantity[Section],$C43,RM_PM_Quantity[RM Name],$E43)+IF($D43="MIND/Pre-Production",SUMIFS(RM_PM_Quantity[Quantity],RM_PM_Quantity[Date],U$1,RM_PM_Quantity[Location],"MIDC/Pre-Production",RM_PM_Quantity[Section],$C43,RM_PM_Quantity[RM Name],$E43),0)</f>
        <v>0</v>
      </c>
      <c r="V43" s="84">
        <f>SUMIFS(RM_PM_Quantity[Quantity],RM_PM_Quantity[Date],V$1,RM_PM_Quantity[Location],$D43,RM_PM_Quantity[Section],$C43,RM_PM_Quantity[RM Name],$E43)+IF($D43="MIND/Pre-Production",SUMIFS(RM_PM_Quantity[Quantity],RM_PM_Quantity[Date],V$1,RM_PM_Quantity[Location],"MIDC/Pre-Production",RM_PM_Quantity[Section],$C43,RM_PM_Quantity[RM Name],$E43),0)</f>
        <v>0</v>
      </c>
      <c r="W43" s="84">
        <f>SUMIFS(RM_PM_Quantity[Quantity],RM_PM_Quantity[Date],W$1,RM_PM_Quantity[Location],$D43,RM_PM_Quantity[Section],$C43,RM_PM_Quantity[RM Name],$E43)+IF($D43="MIND/Pre-Production",SUMIFS(RM_PM_Quantity[Quantity],RM_PM_Quantity[Date],W$1,RM_PM_Quantity[Location],"MIDC/Pre-Production",RM_PM_Quantity[Section],$C43,RM_PM_Quantity[RM Name],$E43),0)</f>
        <v>0</v>
      </c>
      <c r="X43" s="84">
        <f>SUMIFS(RM_PM_Quantity[Quantity],RM_PM_Quantity[Date],X$1,RM_PM_Quantity[Location],$D43,RM_PM_Quantity[Section],$C43,RM_PM_Quantity[RM Name],$E43)+IF($D43="MIND/Pre-Production",SUMIFS(RM_PM_Quantity[Quantity],RM_PM_Quantity[Date],X$1,RM_PM_Quantity[Location],"MIDC/Pre-Production",RM_PM_Quantity[Section],$C43,RM_PM_Quantity[RM Name],$E43),0)</f>
        <v>0</v>
      </c>
      <c r="Y43" s="84">
        <f>SUMIFS(RM_PM_Quantity[Quantity],RM_PM_Quantity[Date],Y$1,RM_PM_Quantity[Location],$D43,RM_PM_Quantity[Section],$C43,RM_PM_Quantity[RM Name],$E43)+IF($D43="MIND/Pre-Production",SUMIFS(RM_PM_Quantity[Quantity],RM_PM_Quantity[Date],Y$1,RM_PM_Quantity[Location],"MIDC/Pre-Production",RM_PM_Quantity[Section],$C43,RM_PM_Quantity[RM Name],$E43),0)</f>
        <v>0</v>
      </c>
      <c r="Z43" s="84">
        <f>SUMIFS(RM_PM_Quantity[Quantity],RM_PM_Quantity[Date],Z$1,RM_PM_Quantity[Location],$D43,RM_PM_Quantity[Section],$C43,RM_PM_Quantity[RM Name],$E43)+IF($D43="MIND/Pre-Production",SUMIFS(RM_PM_Quantity[Quantity],RM_PM_Quantity[Date],Z$1,RM_PM_Quantity[Location],"MIDC/Pre-Production",RM_PM_Quantity[Section],$C43,RM_PM_Quantity[RM Name],$E43),0)</f>
        <v>0</v>
      </c>
      <c r="AA43" s="84">
        <f>SUMIFS(RM_PM_Quantity[Quantity],RM_PM_Quantity[Date],AA$1,RM_PM_Quantity[Location],$D43,RM_PM_Quantity[Section],$C43,RM_PM_Quantity[RM Name],$E43)+IF($D43="MIND/Pre-Production",SUMIFS(RM_PM_Quantity[Quantity],RM_PM_Quantity[Date],AA$1,RM_PM_Quantity[Location],"MIDC/Pre-Production",RM_PM_Quantity[Section],$C43,RM_PM_Quantity[RM Name],$E43),0)</f>
        <v>0</v>
      </c>
      <c r="AB43" s="84">
        <f>SUMIFS(RM_PM_Quantity[Quantity],RM_PM_Quantity[Date],AB$1,RM_PM_Quantity[Location],$D43,RM_PM_Quantity[Section],$C43,RM_PM_Quantity[RM Name],$E43)+IF($D43="MIND/Pre-Production",SUMIFS(RM_PM_Quantity[Quantity],RM_PM_Quantity[Date],AB$1,RM_PM_Quantity[Location],"MIDC/Pre-Production",RM_PM_Quantity[Section],$C43,RM_PM_Quantity[RM Name],$E43),0)</f>
        <v>0</v>
      </c>
      <c r="AC43" s="84">
        <f>SUMIFS(RM_PM_Quantity[Quantity],RM_PM_Quantity[Date],AC$1,RM_PM_Quantity[Location],$D43,RM_PM_Quantity[Section],$C43,RM_PM_Quantity[RM Name],$E43)+IF($D43="MIND/Pre-Production",SUMIFS(RM_PM_Quantity[Quantity],RM_PM_Quantity[Date],AC$1,RM_PM_Quantity[Location],"MIDC/Pre-Production",RM_PM_Quantity[Section],$C43,RM_PM_Quantity[RM Name],$E43),0)</f>
        <v>0</v>
      </c>
      <c r="AD43" s="84">
        <f>SUMIFS(RM_PM_Quantity[Quantity],RM_PM_Quantity[Date],AD$1,RM_PM_Quantity[Location],$D43,RM_PM_Quantity[Section],$C43,RM_PM_Quantity[RM Name],$E43)+IF($D43="MIND/Pre-Production",SUMIFS(RM_PM_Quantity[Quantity],RM_PM_Quantity[Date],AD$1,RM_PM_Quantity[Location],"MIDC/Pre-Production",RM_PM_Quantity[Section],$C43,RM_PM_Quantity[RM Name],$E43),0)</f>
        <v>0</v>
      </c>
      <c r="AE43" s="84">
        <f>SUMIFS(RM_PM_Quantity[Quantity],RM_PM_Quantity[Date],AE$1,RM_PM_Quantity[Location],$D43,RM_PM_Quantity[Section],$C43,RM_PM_Quantity[RM Name],$E43)+IF($D43="MIND/Pre-Production",SUMIFS(RM_PM_Quantity[Quantity],RM_PM_Quantity[Date],AE$1,RM_PM_Quantity[Location],"MIDC/Pre-Production",RM_PM_Quantity[Section],$C43,RM_PM_Quantity[RM Name],$E43),0)</f>
        <v>0</v>
      </c>
      <c r="AF43" s="84">
        <f>SUMIFS(RM_PM_Quantity[Quantity],RM_PM_Quantity[Date],AF$1,RM_PM_Quantity[Location],$D43,RM_PM_Quantity[Section],$C43,RM_PM_Quantity[RM Name],$E43)+IF($D43="MIND/Pre-Production",SUMIFS(RM_PM_Quantity[Quantity],RM_PM_Quantity[Date],AF$1,RM_PM_Quantity[Location],"MIDC/Pre-Production",RM_PM_Quantity[Section],$C43,RM_PM_Quantity[RM Name],$E43),0)</f>
        <v>2000</v>
      </c>
      <c r="AG43" s="84">
        <f>SUMIFS(RM_PM_Quantity[Quantity],RM_PM_Quantity[Date],AG$1,RM_PM_Quantity[Location],$D43,RM_PM_Quantity[Section],$C43,RM_PM_Quantity[RM Name],$E43)+IF($D43="MIND/Pre-Production",SUMIFS(RM_PM_Quantity[Quantity],RM_PM_Quantity[Date],AG$1,RM_PM_Quantity[Location],"MIDC/Pre-Production",RM_PM_Quantity[Section],$C43,RM_PM_Quantity[RM Name],$E43),0)</f>
        <v>0</v>
      </c>
      <c r="AH43" s="84">
        <f>SUMIFS(RM_PM_Quantity[Quantity],RM_PM_Quantity[Date],AH$1,RM_PM_Quantity[Location],$D43,RM_PM_Quantity[Section],$C43,RM_PM_Quantity[RM Name],$E43)+IF($D43="MIND/Pre-Production",SUMIFS(RM_PM_Quantity[Quantity],RM_PM_Quantity[Date],AH$1,RM_PM_Quantity[Location],"MIDC/Pre-Production",RM_PM_Quantity[Section],$C43,RM_PM_Quantity[RM Name],$E43),0)</f>
        <v>0</v>
      </c>
      <c r="AI43" s="84">
        <f>SUMIFS(RM_PM_Quantity[Quantity],RM_PM_Quantity[Date],AI$1,RM_PM_Quantity[Location],$D43,RM_PM_Quantity[Section],$C43,RM_PM_Quantity[RM Name],$E43)+IF($D43="MIND/Pre-Production",SUMIFS(RM_PM_Quantity[Quantity],RM_PM_Quantity[Date],AI$1,RM_PM_Quantity[Location],"MIDC/Pre-Production",RM_PM_Quantity[Section],$C43,RM_PM_Quantity[RM Name],$E43),0)</f>
        <v>0</v>
      </c>
      <c r="AJ43" s="84">
        <f>SUMIFS(RM_PM_Quantity[Quantity],RM_PM_Quantity[Date],AJ$1,RM_PM_Quantity[Location],$D43,RM_PM_Quantity[Section],$C43,RM_PM_Quantity[RM Name],$E43)+IF($D43="MIND/Pre-Production",SUMIFS(RM_PM_Quantity[Quantity],RM_PM_Quantity[Date],AJ$1,RM_PM_Quantity[Location],"MIDC/Pre-Production",RM_PM_Quantity[Section],$C43,RM_PM_Quantity[RM Name],$E43),0)</f>
        <v>3000</v>
      </c>
      <c r="AK43" s="84">
        <f>SUMIFS(RM_PM_Quantity[Quantity],RM_PM_Quantity[Date],AK$1,RM_PM_Quantity[Location],$D43,RM_PM_Quantity[Section],$C43,RM_PM_Quantity[RM Name],$E43)+IF($D43="MIND/Pre-Production",SUMIFS(RM_PM_Quantity[Quantity],RM_PM_Quantity[Date],AK$1,RM_PM_Quantity[Location],"MIDC/Pre-Production",RM_PM_Quantity[Section],$C43,RM_PM_Quantity[RM Name],$E43),0)</f>
        <v>0</v>
      </c>
      <c r="AL43" s="84">
        <f>SUMIFS(RM_PM_Quantity[Quantity],RM_PM_Quantity[Date],AL$1,RM_PM_Quantity[Location],$D43,RM_PM_Quantity[Section],$C43,RM_PM_Quantity[RM Name],$E43)+IF($D43="MIND/Pre-Production",SUMIFS(RM_PM_Quantity[Quantity],RM_PM_Quantity[Date],AL$1,RM_PM_Quantity[Location],"MIDC/Pre-Production",RM_PM_Quantity[Section],$C43,RM_PM_Quantity[RM Name],$E43),0)</f>
        <v>0</v>
      </c>
      <c r="AM43" s="84">
        <f>SUMIFS(RM_PM_Quantity[Quantity],RM_PM_Quantity[Date],AM$1,RM_PM_Quantity[Location],$D43,RM_PM_Quantity[Section],$C43,RM_PM_Quantity[RM Name],$E43)+IF($D43="MIND/Pre-Production",SUMIFS(RM_PM_Quantity[Quantity],RM_PM_Quantity[Date],AM$1,RM_PM_Quantity[Location],"MIDC/Pre-Production",RM_PM_Quantity[Section],$C43,RM_PM_Quantity[RM Name],$E43),0)</f>
        <v>500</v>
      </c>
      <c r="AN43" s="84">
        <f>SUMIFS(RM_PM_Quantity[Quantity],RM_PM_Quantity[Date],AN$1,RM_PM_Quantity[Location],$D43,RM_PM_Quantity[Section],$C43,RM_PM_Quantity[RM Name],$E43)+IF($D43="MIND/Pre-Production",SUMIFS(RM_PM_Quantity[Quantity],RM_PM_Quantity[Date],AN$1,RM_PM_Quantity[Location],"MIDC/Pre-Production",RM_PM_Quantity[Section],$C43,RM_PM_Quantity[RM Name],$E43),0)</f>
        <v>3000</v>
      </c>
      <c r="AO43" s="84">
        <f>SUMIFS(RM_PM_Quantity[Quantity],RM_PM_Quantity[Date],AO$1,RM_PM_Quantity[Location],$D43,RM_PM_Quantity[Section],$C43,RM_PM_Quantity[RM Name],$E43)+IF($D43="MIND/Pre-Production",SUMIFS(RM_PM_Quantity[Quantity],RM_PM_Quantity[Date],AO$1,RM_PM_Quantity[Location],"MIDC/Pre-Production",RM_PM_Quantity[Section],$C43,RM_PM_Quantity[RM Name],$E43),0)</f>
        <v>0</v>
      </c>
      <c r="AP43" s="84">
        <f>SUMIFS(RM_PM_Quantity[Quantity],RM_PM_Quantity[Date],AP$1,RM_PM_Quantity[Location],$D43,RM_PM_Quantity[Section],$C43,RM_PM_Quantity[RM Name],$E43)+IF($D43="MIND/Pre-Production",SUMIFS(RM_PM_Quantity[Quantity],RM_PM_Quantity[Date],AP$1,RM_PM_Quantity[Location],"MIDC/Pre-Production",RM_PM_Quantity[Section],$C43,RM_PM_Quantity[RM Name],$E43),0)</f>
        <v>0</v>
      </c>
      <c r="AQ43" s="84">
        <f>SUMIFS(RM_PM_Quantity[Quantity],RM_PM_Quantity[Date],AQ$1,RM_PM_Quantity[Location],$D43,RM_PM_Quantity[Section],$C43,RM_PM_Quantity[RM Name],$E43)+IF($D43="MIND/Pre-Production",SUMIFS(RM_PM_Quantity[Quantity],RM_PM_Quantity[Date],AQ$1,RM_PM_Quantity[Location],"MIDC/Pre-Production",RM_PM_Quantity[Section],$C43,RM_PM_Quantity[RM Name],$E43),0)</f>
        <v>0</v>
      </c>
      <c r="AR43" s="84">
        <f>SUMIFS(RM_PM_Quantity[Quantity],RM_PM_Quantity[Date],AR$1,RM_PM_Quantity[Location],$D43,RM_PM_Quantity[Section],$C43,RM_PM_Quantity[RM Name],$E43)+IF($D43="MIND/Pre-Production",SUMIFS(RM_PM_Quantity[Quantity],RM_PM_Quantity[Date],AR$1,RM_PM_Quantity[Location],"MIDC/Pre-Production",RM_PM_Quantity[Section],$C43,RM_PM_Quantity[RM Name],$E43),0)</f>
        <v>1550</v>
      </c>
      <c r="AS43" s="84">
        <f>SUMIFS(RM_PM_Quantity[Quantity],RM_PM_Quantity[Date],AS$1,RM_PM_Quantity[Location],$D43,RM_PM_Quantity[Section],$C43,RM_PM_Quantity[RM Name],$E43)+IF($D43="MIND/Pre-Production",SUMIFS(RM_PM_Quantity[Quantity],RM_PM_Quantity[Date],AS$1,RM_PM_Quantity[Location],"MIDC/Pre-Production",RM_PM_Quantity[Section],$C43,RM_PM_Quantity[RM Name],$E43),0)</f>
        <v>0</v>
      </c>
      <c r="AT43" s="84">
        <f>SUMIFS(RM_PM_Quantity[Quantity],RM_PM_Quantity[Date],AT$1,RM_PM_Quantity[Location],$D43,RM_PM_Quantity[Section],$C43,RM_PM_Quantity[RM Name],$E43)+IF($D43="MIND/Pre-Production",SUMIFS(RM_PM_Quantity[Quantity],RM_PM_Quantity[Date],AT$1,RM_PM_Quantity[Location],"MIDC/Pre-Production",RM_PM_Quantity[Section],$C43,RM_PM_Quantity[RM Name],$E43),0)</f>
        <v>0</v>
      </c>
      <c r="AU43" s="84">
        <f>SUMIFS(RM_PM_Quantity[Quantity],RM_PM_Quantity[Date],AU$1,RM_PM_Quantity[Location],$D43,RM_PM_Quantity[Section],$C43,RM_PM_Quantity[RM Name],$E43)+IF($D43="MIND/Pre-Production",SUMIFS(RM_PM_Quantity[Quantity],RM_PM_Quantity[Date],AU$1,RM_PM_Quantity[Location],"MIDC/Pre-Production",RM_PM_Quantity[Section],$C43,RM_PM_Quantity[RM Name],$E43),0)</f>
        <v>0</v>
      </c>
      <c r="AV43" s="84">
        <f>SUMIFS(RM_PM_Quantity[Quantity],RM_PM_Quantity[Date],AV$1,RM_PM_Quantity[Location],$D43,RM_PM_Quantity[Section],$C43,RM_PM_Quantity[RM Name],$E43)+IF($D43="MIND/Pre-Production",SUMIFS(RM_PM_Quantity[Quantity],RM_PM_Quantity[Date],AV$1,RM_PM_Quantity[Location],"MIDC/Pre-Production",RM_PM_Quantity[Section],$C43,RM_PM_Quantity[RM Name],$E43),0)</f>
        <v>0</v>
      </c>
      <c r="AW43" s="84">
        <f>SUMIFS(RM_PM_Quantity[Quantity],RM_PM_Quantity[Date],AW$1,RM_PM_Quantity[Location],$D43,RM_PM_Quantity[Section],$C43,RM_PM_Quantity[RM Name],$E43)+IF($D43="MIND/Pre-Production",SUMIFS(RM_PM_Quantity[Quantity],RM_PM_Quantity[Date],AW$1,RM_PM_Quantity[Location],"MIDC/Pre-Production",RM_PM_Quantity[Section],$C43,RM_PM_Quantity[RM Name],$E43),0)</f>
        <v>0</v>
      </c>
      <c r="AX43" s="84">
        <f>SUMIFS(RM_PM_Quantity[Quantity],RM_PM_Quantity[Date],AX$1,RM_PM_Quantity[Location],$D43,RM_PM_Quantity[Section],$C43,RM_PM_Quantity[RM Name],$E43)+IF($D43="MIND/Pre-Production",SUMIFS(RM_PM_Quantity[Quantity],RM_PM_Quantity[Date],AX$1,RM_PM_Quantity[Location],"MIDC/Pre-Production",RM_PM_Quantity[Section],$C43,RM_PM_Quantity[RM Name],$E43),0)</f>
        <v>0</v>
      </c>
      <c r="AY43" s="84">
        <f>SUMIFS(RM_PM_Quantity[Quantity],RM_PM_Quantity[Date],AY$1,RM_PM_Quantity[Location],$D43,RM_PM_Quantity[Section],$C43,RM_PM_Quantity[RM Name],$E43)+IF($D43="MIND/Pre-Production",SUMIFS(RM_PM_Quantity[Quantity],RM_PM_Quantity[Date],AY$1,RM_PM_Quantity[Location],"MIDC/Pre-Production",RM_PM_Quantity[Section],$C43,RM_PM_Quantity[RM Name],$E43),0)</f>
        <v>0</v>
      </c>
      <c r="AZ43" s="84">
        <f>SUMIFS(RM_PM_Quantity[Quantity],RM_PM_Quantity[Date],AZ$1,RM_PM_Quantity[Location],$D43,RM_PM_Quantity[Section],$C43,RM_PM_Quantity[RM Name],$E43)+IF($D43="MIND/Pre-Production",SUMIFS(RM_PM_Quantity[Quantity],RM_PM_Quantity[Date],AZ$1,RM_PM_Quantity[Location],"MIDC/Pre-Production",RM_PM_Quantity[Section],$C43,RM_PM_Quantity[RM Name],$E43),0)</f>
        <v>0</v>
      </c>
      <c r="BA43" s="84">
        <f>SUMIFS(RM_PM_Quantity[Quantity],RM_PM_Quantity[Date],BA$1,RM_PM_Quantity[Location],$D43,RM_PM_Quantity[Section],$C43,RM_PM_Quantity[RM Name],$E43)+IF($D43="MIND/Pre-Production",SUMIFS(RM_PM_Quantity[Quantity],RM_PM_Quantity[Date],BA$1,RM_PM_Quantity[Location],"MIDC/Pre-Production",RM_PM_Quantity[Section],$C43,RM_PM_Quantity[RM Name],$E43),0)</f>
        <v>0</v>
      </c>
      <c r="BB43" s="84">
        <f>SUMIFS(RM_PM_Quantity[Quantity],RM_PM_Quantity[Date],BB$1,RM_PM_Quantity[Location],$D43,RM_PM_Quantity[Section],$C43,RM_PM_Quantity[RM Name],$E43)+IF($D43="MIND/Pre-Production",SUMIFS(RM_PM_Quantity[Quantity],RM_PM_Quantity[Date],BB$1,RM_PM_Quantity[Location],"MIDC/Pre-Production",RM_PM_Quantity[Section],$C43,RM_PM_Quantity[RM Name],$E43),0)</f>
        <v>0</v>
      </c>
      <c r="BC43" s="84">
        <f>SUMIFS(RM_PM_Quantity[Quantity],RM_PM_Quantity[Date],BC$1,RM_PM_Quantity[Location],$D43,RM_PM_Quantity[Section],$C43,RM_PM_Quantity[RM Name],$E43)+IF($D43="MIND/Pre-Production",SUMIFS(RM_PM_Quantity[Quantity],RM_PM_Quantity[Date],BC$1,RM_PM_Quantity[Location],"MIDC/Pre-Production",RM_PM_Quantity[Section],$C43,RM_PM_Quantity[RM Name],$E43),0)</f>
        <v>0</v>
      </c>
      <c r="BD43" s="84">
        <f>SUMIFS(RM_PM_Quantity[Quantity],RM_PM_Quantity[Date],BD$1,RM_PM_Quantity[Location],$D43,RM_PM_Quantity[Section],$C43,RM_PM_Quantity[RM Name],$E43)+IF($D43="MIND/Pre-Production",SUMIFS(RM_PM_Quantity[Quantity],RM_PM_Quantity[Date],BD$1,RM_PM_Quantity[Location],"MIDC/Pre-Production",RM_PM_Quantity[Section],$C43,RM_PM_Quantity[RM Name],$E43),0)</f>
        <v>0</v>
      </c>
      <c r="BE43" s="84">
        <f>SUMIFS(RM_PM_Quantity[Quantity],RM_PM_Quantity[Date],BE$1,RM_PM_Quantity[Location],$D43,RM_PM_Quantity[Section],$C43,RM_PM_Quantity[RM Name],$E43)+IF($D43="MIND/Pre-Production",SUMIFS(RM_PM_Quantity[Quantity],RM_PM_Quantity[Date],BE$1,RM_PM_Quantity[Location],"MIDC/Pre-Production",RM_PM_Quantity[Section],$C43,RM_PM_Quantity[RM Name],$E43),0)</f>
        <v>0</v>
      </c>
      <c r="BF43" s="84">
        <f>SUMIFS(RM_PM_Quantity[Quantity],RM_PM_Quantity[Date],BF$1,RM_PM_Quantity[Location],$D43,RM_PM_Quantity[Section],$C43,RM_PM_Quantity[RM Name],$E43)+IF($D43="MIND/Pre-Production",SUMIFS(RM_PM_Quantity[Quantity],RM_PM_Quantity[Date],BF$1,RM_PM_Quantity[Location],"MIDC/Pre-Production",RM_PM_Quantity[Section],$C43,RM_PM_Quantity[RM Name],$E43),0)</f>
        <v>0</v>
      </c>
      <c r="BG43" s="84">
        <f>SUMIFS(RM_PM_Quantity[Quantity],RM_PM_Quantity[Date],BG$1,RM_PM_Quantity[Location],$D43,RM_PM_Quantity[Section],$C43,RM_PM_Quantity[RM Name],$E43)+IF($D43="MIND/Pre-Production",SUMIFS(RM_PM_Quantity[Quantity],RM_PM_Quantity[Date],BG$1,RM_PM_Quantity[Location],"MIDC/Pre-Production",RM_PM_Quantity[Section],$C43,RM_PM_Quantity[RM Name],$E43),0)</f>
        <v>0</v>
      </c>
      <c r="BH43" s="84">
        <f>SUMIFS(RM_PM_Quantity[Quantity],RM_PM_Quantity[Date],BH$1,RM_PM_Quantity[Location],$D43,RM_PM_Quantity[Section],$C43,RM_PM_Quantity[RM Name],$E43)+IF($D43="MIND/Pre-Production",SUMIFS(RM_PM_Quantity[Quantity],RM_PM_Quantity[Date],BH$1,RM_PM_Quantity[Location],"MIDC/Pre-Production",RM_PM_Quantity[Section],$C43,RM_PM_Quantity[RM Name],$E43),0)</f>
        <v>0</v>
      </c>
      <c r="BI43" s="84">
        <f>SUMIFS(RM_PM_Quantity[Quantity],RM_PM_Quantity[Date],BI$1,RM_PM_Quantity[Location],$D43,RM_PM_Quantity[Section],$C43,RM_PM_Quantity[RM Name],$E43)+IF($D43="MIND/Pre-Production",SUMIFS(RM_PM_Quantity[Quantity],RM_PM_Quantity[Date],BI$1,RM_PM_Quantity[Location],"MIDC/Pre-Production",RM_PM_Quantity[Section],$C43,RM_PM_Quantity[RM Name],$E43),0)</f>
        <v>0</v>
      </c>
      <c r="BJ43" s="84">
        <f>SUMIFS(RM_PM_Quantity[Quantity],RM_PM_Quantity[Date],BJ$1,RM_PM_Quantity[Location],$D43,RM_PM_Quantity[Section],$C43,RM_PM_Quantity[RM Name],$E43)+IF($D43="MIND/Pre-Production",SUMIFS(RM_PM_Quantity[Quantity],RM_PM_Quantity[Date],BJ$1,RM_PM_Quantity[Location],"MIDC/Pre-Production",RM_PM_Quantity[Section],$C43,RM_PM_Quantity[RM Name],$E43),0)</f>
        <v>0</v>
      </c>
      <c r="BK43" s="84">
        <f>SUMIFS(RM_PM_Quantity[Quantity],RM_PM_Quantity[Date],BK$1,RM_PM_Quantity[Location],$D43,RM_PM_Quantity[Section],$C43,RM_PM_Quantity[RM Name],$E43)+IF($D43="MIND/Pre-Production",SUMIFS(RM_PM_Quantity[Quantity],RM_PM_Quantity[Date],BK$1,RM_PM_Quantity[Location],"MIDC/Pre-Production",RM_PM_Quantity[Section],$C43,RM_PM_Quantity[RM Name],$E43),0)</f>
        <v>0</v>
      </c>
      <c r="BL43" s="84">
        <f>SUMIFS(RM_PM_Quantity[Quantity],RM_PM_Quantity[Date],BL$1,RM_PM_Quantity[Location],$D43,RM_PM_Quantity[Section],$C43,RM_PM_Quantity[RM Name],$E43)+IF($D43="MIND/Pre-Production",SUMIFS(RM_PM_Quantity[Quantity],RM_PM_Quantity[Date],BL$1,RM_PM_Quantity[Location],"MIDC/Pre-Production",RM_PM_Quantity[Section],$C43,RM_PM_Quantity[RM Name],$E43),0)</f>
        <v>0</v>
      </c>
      <c r="BM43" s="84">
        <f>SUMIFS(RM_PM_Quantity[Quantity],RM_PM_Quantity[Date],BM$1,RM_PM_Quantity[Location],$D43,RM_PM_Quantity[Section],$C43,RM_PM_Quantity[RM Name],$E43)+IF($D43="MIND/Pre-Production",SUMIFS(RM_PM_Quantity[Quantity],RM_PM_Quantity[Date],BM$1,RM_PM_Quantity[Location],"MIDC/Pre-Production",RM_PM_Quantity[Section],$C43,RM_PM_Quantity[RM Name],$E43),0)</f>
        <v>0</v>
      </c>
      <c r="BN43" s="84">
        <f>SUMIFS(RM_PM_Quantity[Quantity],RM_PM_Quantity[Date],BN$1,RM_PM_Quantity[Location],$D43,RM_PM_Quantity[Section],$C43,RM_PM_Quantity[RM Name],$E43)+IF($D43="MIND/Pre-Production",SUMIFS(RM_PM_Quantity[Quantity],RM_PM_Quantity[Date],BN$1,RM_PM_Quantity[Location],"MIDC/Pre-Production",RM_PM_Quantity[Section],$C43,RM_PM_Quantity[RM Name],$E43),0)</f>
        <v>0</v>
      </c>
      <c r="BO43" s="84">
        <f>SUMIFS(RM_PM_Quantity[Quantity],RM_PM_Quantity[Date],BO$1,RM_PM_Quantity[Location],$D43,RM_PM_Quantity[Section],$C43,RM_PM_Quantity[RM Name],$E43)+IF($D43="MIND/Pre-Production",SUMIFS(RM_PM_Quantity[Quantity],RM_PM_Quantity[Date],BO$1,RM_PM_Quantity[Location],"MIDC/Pre-Production",RM_PM_Quantity[Section],$C43,RM_PM_Quantity[RM Name],$E43),0)</f>
        <v>0</v>
      </c>
      <c r="BP43" s="84">
        <f>SUMIFS(RM_PM_Quantity[Quantity],RM_PM_Quantity[Date],BP$1,RM_PM_Quantity[Location],$D43,RM_PM_Quantity[Section],$C43,RM_PM_Quantity[RM Name],$E43)+IF($D43="MIND/Pre-Production",SUMIFS(RM_PM_Quantity[Quantity],RM_PM_Quantity[Date],BP$1,RM_PM_Quantity[Location],"MIDC/Pre-Production",RM_PM_Quantity[Section],$C43,RM_PM_Quantity[RM Name],$E43),0)</f>
        <v>0</v>
      </c>
      <c r="BQ43" s="84">
        <f>SUMIFS(RM_PM_Quantity[Quantity],RM_PM_Quantity[Date],BQ$1,RM_PM_Quantity[Location],$D43,RM_PM_Quantity[Section],$C43,RM_PM_Quantity[RM Name],$E43)+IF($D43="MIND/Pre-Production",SUMIFS(RM_PM_Quantity[Quantity],RM_PM_Quantity[Date],BQ$1,RM_PM_Quantity[Location],"MIDC/Pre-Production",RM_PM_Quantity[Section],$C43,RM_PM_Quantity[RM Name],$E43),0)</f>
        <v>0</v>
      </c>
      <c r="BR43" s="84">
        <f>SUMIFS(RM_PM_Quantity[Quantity],RM_PM_Quantity[Date],BR$1,RM_PM_Quantity[Location],$D43,RM_PM_Quantity[Section],$C43,RM_PM_Quantity[RM Name],$E43)+IF($D43="MIND/Pre-Production",SUMIFS(RM_PM_Quantity[Quantity],RM_PM_Quantity[Date],BR$1,RM_PM_Quantity[Location],"MIDC/Pre-Production",RM_PM_Quantity[Section],$C43,RM_PM_Quantity[RM Name],$E43),0)</f>
        <v>0</v>
      </c>
      <c r="BS43" s="84">
        <f>SUMIFS(RM_PM_Quantity[Quantity],RM_PM_Quantity[Date],BS$1,RM_PM_Quantity[Location],$D43,RM_PM_Quantity[Section],$C43,RM_PM_Quantity[RM Name],$E43)+IF($D43="MIND/Pre-Production",SUMIFS(RM_PM_Quantity[Quantity],RM_PM_Quantity[Date],BS$1,RM_PM_Quantity[Location],"MIDC/Pre-Production",RM_PM_Quantity[Section],$C43,RM_PM_Quantity[RM Name],$E43),0)</f>
        <v>0</v>
      </c>
      <c r="BT43" s="84">
        <f>SUMIFS(RM_PM_Quantity[ID],RM_PM_Quantity[Location],BT$1,RM_PM_Quantity[Section],$D43,RM_PM_Quantity[RM Name],$C43,RM_PM_Quantity[Quantity],$E43)+IF($D43="MIND/Pre-Production",SUMIFS(RM_PM_Quantity[ID],RM_PM_Quantity[Location],BT$1,RM_PM_Quantity[Section],"MIDC/Pre-Production",RM_PM_Quantity[RM Name],$C43,RM_PM_Quantity[Quantity],$E43),0)</f>
        <v>0</v>
      </c>
      <c r="BU43" s="84">
        <f>SUMIFS(RM_PM_Quantity[Name of Supervisor],RM_PM_Quantity[Section],BU$1,RM_PM_Quantity[RM Name],$D43,RM_PM_Quantity[Quantity],$C43,RM_PM_Quantity[ID],$E43)+IF($D43="MIND/Pre-Production",SUMIFS(RM_PM_Quantity[Name of Supervisor],RM_PM_Quantity[Section],BU$1,RM_PM_Quantity[RM Name],"MIDC/Pre-Production",RM_PM_Quantity[Quantity],$C43,RM_PM_Quantity[ID],$E43),0)</f>
        <v>0</v>
      </c>
      <c r="BV43" s="84">
        <f>SUMIFS(RM_PM_Quantity[Date],RM_PM_Quantity[RM Name],BV$1,RM_PM_Quantity[Quantity],$D43,RM_PM_Quantity[ID],$C43,RM_PM_Quantity[Name of Supervisor],$E43)+IF($D43="MIND/Pre-Production",SUMIFS(RM_PM_Quantity[Date],RM_PM_Quantity[RM Name],BV$1,RM_PM_Quantity[Quantity],"MIDC/Pre-Production",RM_PM_Quantity[ID],$C43,RM_PM_Quantity[Name of Supervisor],$E43),0)</f>
        <v>0</v>
      </c>
      <c r="BW43" s="84">
        <f>SUMIFS(RM_PM_Quantity[Location],RM_PM_Quantity[Quantity],BW$1,RM_PM_Quantity[ID],$D43,RM_PM_Quantity[Name of Supervisor],$C43,RM_PM_Quantity[Date],$E43)+IF($D43="MIND/Pre-Production",SUMIFS(RM_PM_Quantity[Location],RM_PM_Quantity[Quantity],BW$1,RM_PM_Quantity[ID],"MIDC/Pre-Production",RM_PM_Quantity[Name of Supervisor],$C43,RM_PM_Quantity[Date],$E43),0)</f>
        <v>0</v>
      </c>
      <c r="BX43" s="84">
        <f>SUMIFS(RM_PM_Quantity[Section],RM_PM_Quantity[ID],BX$1,RM_PM_Quantity[Name of Supervisor],$D43,RM_PM_Quantity[Date],$C43,RM_PM_Quantity[Location],$E43)+IF($D43="MIND/Pre-Production",SUMIFS(RM_PM_Quantity[Section],RM_PM_Quantity[ID],BX$1,RM_PM_Quantity[Name of Supervisor],"MIDC/Pre-Production",RM_PM_Quantity[Date],$C43,RM_PM_Quantity[Location],$E43),0)</f>
        <v>0</v>
      </c>
      <c r="BY43" s="84">
        <f>SUMIFS(RM_PM_Quantity[RM Name],RM_PM_Quantity[Name of Supervisor],BY$1,RM_PM_Quantity[Date],$D43,RM_PM_Quantity[Location],$C43,RM_PM_Quantity[Section],$E43)+IF($D43="MIND/Pre-Production",SUMIFS(RM_PM_Quantity[RM Name],RM_PM_Quantity[Name of Supervisor],BY$1,RM_PM_Quantity[Date],"MIDC/Pre-Production",RM_PM_Quantity[Location],$C43,RM_PM_Quantity[Section],$E43),0)</f>
        <v>0</v>
      </c>
    </row>
    <row r="44" spans="1:77" ht="45.75" customHeight="1">
      <c r="A44" s="79">
        <v>43</v>
      </c>
      <c r="B44" s="79" t="s">
        <v>96</v>
      </c>
      <c r="C44" s="88" t="s">
        <v>125</v>
      </c>
      <c r="D44" s="81" t="s">
        <v>54</v>
      </c>
      <c r="E44" s="82" t="s">
        <v>97</v>
      </c>
      <c r="F44" s="83">
        <f>IFERROR(_xlfn.XLOOKUP(B44,'[1]RM Tracker'!B:B,'[1]RM Tracker'!E:E),"0")</f>
        <v>19836.68</v>
      </c>
      <c r="G44" s="85">
        <f t="shared" si="2"/>
        <v>0</v>
      </c>
      <c r="H44" s="85">
        <f t="shared" si="3"/>
        <v>-19836.68</v>
      </c>
      <c r="I44" s="91">
        <f t="shared" si="4"/>
        <v>0</v>
      </c>
      <c r="J44" s="84">
        <f>SUMIFS(RM_PM_Quantity[Quantity],RM_PM_Quantity[Date],J$1,RM_PM_Quantity[Location],$D44,RM_PM_Quantity[Section],$C44,RM_PM_Quantity[RM Name],$E44)+IF($D44="MIND/Pre-Production",SUMIFS(RM_PM_Quantity[Quantity],RM_PM_Quantity[Date],J$1,RM_PM_Quantity[Location],"MIDC/Pre-Production",RM_PM_Quantity[Section],$C44,RM_PM_Quantity[RM Name],$E44),0)</f>
        <v>0</v>
      </c>
      <c r="K44" s="84">
        <f>SUMIFS(RM_PM_Quantity[Quantity],RM_PM_Quantity[Date],K$1,RM_PM_Quantity[Location],$D44,RM_PM_Quantity[Section],$C44,RM_PM_Quantity[RM Name],$E44)+IF($D44="MIND/Pre-Production",SUMIFS(RM_PM_Quantity[Quantity],RM_PM_Quantity[Date],K$1,RM_PM_Quantity[Location],"MIDC/Pre-Production",RM_PM_Quantity[Section],$C44,RM_PM_Quantity[RM Name],$E44),0)</f>
        <v>0</v>
      </c>
      <c r="L44" s="84">
        <f>SUMIFS(RM_PM_Quantity[Quantity],RM_PM_Quantity[Date],L$1,RM_PM_Quantity[Location],$D44,RM_PM_Quantity[Section],$C44,RM_PM_Quantity[RM Name],$E44)+IF($D44="MIND/Pre-Production",SUMIFS(RM_PM_Quantity[Quantity],RM_PM_Quantity[Date],L$1,RM_PM_Quantity[Location],"MIDC/Pre-Production",RM_PM_Quantity[Section],$C44,RM_PM_Quantity[RM Name],$E44),0)</f>
        <v>0</v>
      </c>
      <c r="M44" s="84">
        <f>SUMIFS(RM_PM_Quantity[Quantity],RM_PM_Quantity[Date],M$1,RM_PM_Quantity[Location],$D44,RM_PM_Quantity[Section],$C44,RM_PM_Quantity[RM Name],$E44)+IF($D44="MIND/Pre-Production",SUMIFS(RM_PM_Quantity[Quantity],RM_PM_Quantity[Date],M$1,RM_PM_Quantity[Location],"MIDC/Pre-Production",RM_PM_Quantity[Section],$C44,RM_PM_Quantity[RM Name],$E44),0)</f>
        <v>0</v>
      </c>
      <c r="N44" s="84">
        <f>SUMIFS(RM_PM_Quantity[Quantity],RM_PM_Quantity[Date],N$1,RM_PM_Quantity[Location],$D44,RM_PM_Quantity[Section],$C44,RM_PM_Quantity[RM Name],$E44)+IF($D44="MIND/Pre-Production",SUMIFS(RM_PM_Quantity[Quantity],RM_PM_Quantity[Date],N$1,RM_PM_Quantity[Location],"MIDC/Pre-Production",RM_PM_Quantity[Section],$C44,RM_PM_Quantity[RM Name],$E44),0)</f>
        <v>0</v>
      </c>
      <c r="O44" s="84">
        <f>SUMIFS(RM_PM_Quantity[Quantity],RM_PM_Quantity[Date],O$1,RM_PM_Quantity[Location],$D44,RM_PM_Quantity[Section],$C44,RM_PM_Quantity[RM Name],$E44)+IF($D44="MIND/Pre-Production",SUMIFS(RM_PM_Quantity[Quantity],RM_PM_Quantity[Date],O$1,RM_PM_Quantity[Location],"MIDC/Pre-Production",RM_PM_Quantity[Section],$C44,RM_PM_Quantity[RM Name],$E44),0)</f>
        <v>0</v>
      </c>
      <c r="P44" s="84">
        <f>SUMIFS(RM_PM_Quantity[Quantity],RM_PM_Quantity[Date],P$1,RM_PM_Quantity[Location],$D44,RM_PM_Quantity[Section],$C44,RM_PM_Quantity[RM Name],$E44)+IF($D44="MIND/Pre-Production",SUMIFS(RM_PM_Quantity[Quantity],RM_PM_Quantity[Date],P$1,RM_PM_Quantity[Location],"MIDC/Pre-Production",RM_PM_Quantity[Section],$C44,RM_PM_Quantity[RM Name],$E44),0)</f>
        <v>0</v>
      </c>
      <c r="Q44" s="84">
        <f>SUMIFS(RM_PM_Quantity[Quantity],RM_PM_Quantity[Date],Q$1,RM_PM_Quantity[Location],$D44,RM_PM_Quantity[Section],$C44,RM_PM_Quantity[RM Name],$E44)+IF($D44="MIND/Pre-Production",SUMIFS(RM_PM_Quantity[Quantity],RM_PM_Quantity[Date],Q$1,RM_PM_Quantity[Location],"MIDC/Pre-Production",RM_PM_Quantity[Section],$C44,RM_PM_Quantity[RM Name],$E44),0)</f>
        <v>0</v>
      </c>
      <c r="R44" s="84">
        <f>SUMIFS(RM_PM_Quantity[Quantity],RM_PM_Quantity[Date],R$1,RM_PM_Quantity[Location],$D44,RM_PM_Quantity[Section],$C44,RM_PM_Quantity[RM Name],$E44)+IF($D44="MIND/Pre-Production",SUMIFS(RM_PM_Quantity[Quantity],RM_PM_Quantity[Date],R$1,RM_PM_Quantity[Location],"MIDC/Pre-Production",RM_PM_Quantity[Section],$C44,RM_PM_Quantity[RM Name],$E44),0)</f>
        <v>0</v>
      </c>
      <c r="S44" s="84">
        <f>SUMIFS(RM_PM_Quantity[Quantity],RM_PM_Quantity[Date],S$1,RM_PM_Quantity[Location],$D44,RM_PM_Quantity[Section],$C44,RM_PM_Quantity[RM Name],$E44)+IF($D44="MIND/Pre-Production",SUMIFS(RM_PM_Quantity[Quantity],RM_PM_Quantity[Date],S$1,RM_PM_Quantity[Location],"MIDC/Pre-Production",RM_PM_Quantity[Section],$C44,RM_PM_Quantity[RM Name],$E44),0)</f>
        <v>0</v>
      </c>
      <c r="T44" s="84">
        <f>SUMIFS(RM_PM_Quantity[Quantity],RM_PM_Quantity[Date],T$1,RM_PM_Quantity[Location],$D44,RM_PM_Quantity[Section],$C44,RM_PM_Quantity[RM Name],$E44)+IF($D44="MIND/Pre-Production",SUMIFS(RM_PM_Quantity[Quantity],RM_PM_Quantity[Date],T$1,RM_PM_Quantity[Location],"MIDC/Pre-Production",RM_PM_Quantity[Section],$C44,RM_PM_Quantity[RM Name],$E44),0)</f>
        <v>0</v>
      </c>
      <c r="U44" s="84">
        <f>SUMIFS(RM_PM_Quantity[Quantity],RM_PM_Quantity[Date],U$1,RM_PM_Quantity[Location],$D44,RM_PM_Quantity[Section],$C44,RM_PM_Quantity[RM Name],$E44)+IF($D44="MIND/Pre-Production",SUMIFS(RM_PM_Quantity[Quantity],RM_PM_Quantity[Date],U$1,RM_PM_Quantity[Location],"MIDC/Pre-Production",RM_PM_Quantity[Section],$C44,RM_PM_Quantity[RM Name],$E44),0)</f>
        <v>0</v>
      </c>
      <c r="V44" s="84">
        <f>SUMIFS(RM_PM_Quantity[Quantity],RM_PM_Quantity[Date],V$1,RM_PM_Quantity[Location],$D44,RM_PM_Quantity[Section],$C44,RM_PM_Quantity[RM Name],$E44)+IF($D44="MIND/Pre-Production",SUMIFS(RM_PM_Quantity[Quantity],RM_PM_Quantity[Date],V$1,RM_PM_Quantity[Location],"MIDC/Pre-Production",RM_PM_Quantity[Section],$C44,RM_PM_Quantity[RM Name],$E44),0)</f>
        <v>0</v>
      </c>
      <c r="W44" s="84">
        <f>SUMIFS(RM_PM_Quantity[Quantity],RM_PM_Quantity[Date],W$1,RM_PM_Quantity[Location],$D44,RM_PM_Quantity[Section],$C44,RM_PM_Quantity[RM Name],$E44)+IF($D44="MIND/Pre-Production",SUMIFS(RM_PM_Quantity[Quantity],RM_PM_Quantity[Date],W$1,RM_PM_Quantity[Location],"MIDC/Pre-Production",RM_PM_Quantity[Section],$C44,RM_PM_Quantity[RM Name],$E44),0)</f>
        <v>0</v>
      </c>
      <c r="X44" s="84">
        <f>SUMIFS(RM_PM_Quantity[Quantity],RM_PM_Quantity[Date],X$1,RM_PM_Quantity[Location],$D44,RM_PM_Quantity[Section],$C44,RM_PM_Quantity[RM Name],$E44)+IF($D44="MIND/Pre-Production",SUMIFS(RM_PM_Quantity[Quantity],RM_PM_Quantity[Date],X$1,RM_PM_Quantity[Location],"MIDC/Pre-Production",RM_PM_Quantity[Section],$C44,RM_PM_Quantity[RM Name],$E44),0)</f>
        <v>0</v>
      </c>
      <c r="Y44" s="84">
        <f>SUMIFS(RM_PM_Quantity[Quantity],RM_PM_Quantity[Date],Y$1,RM_PM_Quantity[Location],$D44,RM_PM_Quantity[Section],$C44,RM_PM_Quantity[RM Name],$E44)+IF($D44="MIND/Pre-Production",SUMIFS(RM_PM_Quantity[Quantity],RM_PM_Quantity[Date],Y$1,RM_PM_Quantity[Location],"MIDC/Pre-Production",RM_PM_Quantity[Section],$C44,RM_PM_Quantity[RM Name],$E44),0)</f>
        <v>0</v>
      </c>
      <c r="Z44" s="84">
        <f>SUMIFS(RM_PM_Quantity[Quantity],RM_PM_Quantity[Date],Z$1,RM_PM_Quantity[Location],$D44,RM_PM_Quantity[Section],$C44,RM_PM_Quantity[RM Name],$E44)+IF($D44="MIND/Pre-Production",SUMIFS(RM_PM_Quantity[Quantity],RM_PM_Quantity[Date],Z$1,RM_PM_Quantity[Location],"MIDC/Pre-Production",RM_PM_Quantity[Section],$C44,RM_PM_Quantity[RM Name],$E44),0)</f>
        <v>0</v>
      </c>
      <c r="AA44" s="84">
        <f>SUMIFS(RM_PM_Quantity[Quantity],RM_PM_Quantity[Date],AA$1,RM_PM_Quantity[Location],$D44,RM_PM_Quantity[Section],$C44,RM_PM_Quantity[RM Name],$E44)+IF($D44="MIND/Pre-Production",SUMIFS(RM_PM_Quantity[Quantity],RM_PM_Quantity[Date],AA$1,RM_PM_Quantity[Location],"MIDC/Pre-Production",RM_PM_Quantity[Section],$C44,RM_PM_Quantity[RM Name],$E44),0)</f>
        <v>0</v>
      </c>
      <c r="AB44" s="84">
        <f>SUMIFS(RM_PM_Quantity[Quantity],RM_PM_Quantity[Date],AB$1,RM_PM_Quantity[Location],$D44,RM_PM_Quantity[Section],$C44,RM_PM_Quantity[RM Name],$E44)+IF($D44="MIND/Pre-Production",SUMIFS(RM_PM_Quantity[Quantity],RM_PM_Quantity[Date],AB$1,RM_PM_Quantity[Location],"MIDC/Pre-Production",RM_PM_Quantity[Section],$C44,RM_PM_Quantity[RM Name],$E44),0)</f>
        <v>0</v>
      </c>
      <c r="AC44" s="84">
        <f>SUMIFS(RM_PM_Quantity[Quantity],RM_PM_Quantity[Date],AC$1,RM_PM_Quantity[Location],$D44,RM_PM_Quantity[Section],$C44,RM_PM_Quantity[RM Name],$E44)+IF($D44="MIND/Pre-Production",SUMIFS(RM_PM_Quantity[Quantity],RM_PM_Quantity[Date],AC$1,RM_PM_Quantity[Location],"MIDC/Pre-Production",RM_PM_Quantity[Section],$C44,RM_PM_Quantity[RM Name],$E44),0)</f>
        <v>0</v>
      </c>
      <c r="AD44" s="84">
        <f>SUMIFS(RM_PM_Quantity[Quantity],RM_PM_Quantity[Date],AD$1,RM_PM_Quantity[Location],$D44,RM_PM_Quantity[Section],$C44,RM_PM_Quantity[RM Name],$E44)+IF($D44="MIND/Pre-Production",SUMIFS(RM_PM_Quantity[Quantity],RM_PM_Quantity[Date],AD$1,RM_PM_Quantity[Location],"MIDC/Pre-Production",RM_PM_Quantity[Section],$C44,RM_PM_Quantity[RM Name],$E44),0)</f>
        <v>0</v>
      </c>
      <c r="AE44" s="84">
        <f>SUMIFS(RM_PM_Quantity[Quantity],RM_PM_Quantity[Date],AE$1,RM_PM_Quantity[Location],$D44,RM_PM_Quantity[Section],$C44,RM_PM_Quantity[RM Name],$E44)+IF($D44="MIND/Pre-Production",SUMIFS(RM_PM_Quantity[Quantity],RM_PM_Quantity[Date],AE$1,RM_PM_Quantity[Location],"MIDC/Pre-Production",RM_PM_Quantity[Section],$C44,RM_PM_Quantity[RM Name],$E44),0)</f>
        <v>0</v>
      </c>
      <c r="AF44" s="84">
        <f>SUMIFS(RM_PM_Quantity[Quantity],RM_PM_Quantity[Date],AF$1,RM_PM_Quantity[Location],$D44,RM_PM_Quantity[Section],$C44,RM_PM_Quantity[RM Name],$E44)+IF($D44="MIND/Pre-Production",SUMIFS(RM_PM_Quantity[Quantity],RM_PM_Quantity[Date],AF$1,RM_PM_Quantity[Location],"MIDC/Pre-Production",RM_PM_Quantity[Section],$C44,RM_PM_Quantity[RM Name],$E44),0)</f>
        <v>3000</v>
      </c>
      <c r="AG44" s="84">
        <f>SUMIFS(RM_PM_Quantity[Quantity],RM_PM_Quantity[Date],AG$1,RM_PM_Quantity[Location],$D44,RM_PM_Quantity[Section],$C44,RM_PM_Quantity[RM Name],$E44)+IF($D44="MIND/Pre-Production",SUMIFS(RM_PM_Quantity[Quantity],RM_PM_Quantity[Date],AG$1,RM_PM_Quantity[Location],"MIDC/Pre-Production",RM_PM_Quantity[Section],$C44,RM_PM_Quantity[RM Name],$E44),0)</f>
        <v>0</v>
      </c>
      <c r="AH44" s="84">
        <f>SUMIFS(RM_PM_Quantity[Quantity],RM_PM_Quantity[Date],AH$1,RM_PM_Quantity[Location],$D44,RM_PM_Quantity[Section],$C44,RM_PM_Quantity[RM Name],$E44)+IF($D44="MIND/Pre-Production",SUMIFS(RM_PM_Quantity[Quantity],RM_PM_Quantity[Date],AH$1,RM_PM_Quantity[Location],"MIDC/Pre-Production",RM_PM_Quantity[Section],$C44,RM_PM_Quantity[RM Name],$E44),0)</f>
        <v>0</v>
      </c>
      <c r="AI44" s="84">
        <f>SUMIFS(RM_PM_Quantity[Quantity],RM_PM_Quantity[Date],AI$1,RM_PM_Quantity[Location],$D44,RM_PM_Quantity[Section],$C44,RM_PM_Quantity[RM Name],$E44)+IF($D44="MIND/Pre-Production",SUMIFS(RM_PM_Quantity[Quantity],RM_PM_Quantity[Date],AI$1,RM_PM_Quantity[Location],"MIDC/Pre-Production",RM_PM_Quantity[Section],$C44,RM_PM_Quantity[RM Name],$E44),0)</f>
        <v>0</v>
      </c>
      <c r="AJ44" s="84">
        <f>SUMIFS(RM_PM_Quantity[Quantity],RM_PM_Quantity[Date],AJ$1,RM_PM_Quantity[Location],$D44,RM_PM_Quantity[Section],$C44,RM_PM_Quantity[RM Name],$E44)+IF($D44="MIND/Pre-Production",SUMIFS(RM_PM_Quantity[Quantity],RM_PM_Quantity[Date],AJ$1,RM_PM_Quantity[Location],"MIDC/Pre-Production",RM_PM_Quantity[Section],$C44,RM_PM_Quantity[RM Name],$E44),0)</f>
        <v>3000</v>
      </c>
      <c r="AK44" s="84">
        <f>SUMIFS(RM_PM_Quantity[Quantity],RM_PM_Quantity[Date],AK$1,RM_PM_Quantity[Location],$D44,RM_PM_Quantity[Section],$C44,RM_PM_Quantity[RM Name],$E44)+IF($D44="MIND/Pre-Production",SUMIFS(RM_PM_Quantity[Quantity],RM_PM_Quantity[Date],AK$1,RM_PM_Quantity[Location],"MIDC/Pre-Production",RM_PM_Quantity[Section],$C44,RM_PM_Quantity[RM Name],$E44),0)</f>
        <v>0</v>
      </c>
      <c r="AL44" s="84">
        <f>SUMIFS(RM_PM_Quantity[Quantity],RM_PM_Quantity[Date],AL$1,RM_PM_Quantity[Location],$D44,RM_PM_Quantity[Section],$C44,RM_PM_Quantity[RM Name],$E44)+IF($D44="MIND/Pre-Production",SUMIFS(RM_PM_Quantity[Quantity],RM_PM_Quantity[Date],AL$1,RM_PM_Quantity[Location],"MIDC/Pre-Production",RM_PM_Quantity[Section],$C44,RM_PM_Quantity[RM Name],$E44),0)</f>
        <v>2010</v>
      </c>
      <c r="AM44" s="84">
        <f>SUMIFS(RM_PM_Quantity[Quantity],RM_PM_Quantity[Date],AM$1,RM_PM_Quantity[Location],$D44,RM_PM_Quantity[Section],$C44,RM_PM_Quantity[RM Name],$E44)+IF($D44="MIND/Pre-Production",SUMIFS(RM_PM_Quantity[Quantity],RM_PM_Quantity[Date],AM$1,RM_PM_Quantity[Location],"MIDC/Pre-Production",RM_PM_Quantity[Section],$C44,RM_PM_Quantity[RM Name],$E44),0)</f>
        <v>3000</v>
      </c>
      <c r="AN44" s="84">
        <f>SUMIFS(RM_PM_Quantity[Quantity],RM_PM_Quantity[Date],AN$1,RM_PM_Quantity[Location],$D44,RM_PM_Quantity[Section],$C44,RM_PM_Quantity[RM Name],$E44)+IF($D44="MIND/Pre-Production",SUMIFS(RM_PM_Quantity[Quantity],RM_PM_Quantity[Date],AN$1,RM_PM_Quantity[Location],"MIDC/Pre-Production",RM_PM_Quantity[Section],$C44,RM_PM_Quantity[RM Name],$E44),0)</f>
        <v>3000</v>
      </c>
      <c r="AO44" s="84">
        <f>SUMIFS(RM_PM_Quantity[Quantity],RM_PM_Quantity[Date],AO$1,RM_PM_Quantity[Location],$D44,RM_PM_Quantity[Section],$C44,RM_PM_Quantity[RM Name],$E44)+IF($D44="MIND/Pre-Production",SUMIFS(RM_PM_Quantity[Quantity],RM_PM_Quantity[Date],AO$1,RM_PM_Quantity[Location],"MIDC/Pre-Production",RM_PM_Quantity[Section],$C44,RM_PM_Quantity[RM Name],$E44),0)</f>
        <v>0</v>
      </c>
      <c r="AP44" s="84">
        <f>SUMIFS(RM_PM_Quantity[Quantity],RM_PM_Quantity[Date],AP$1,RM_PM_Quantity[Location],$D44,RM_PM_Quantity[Section],$C44,RM_PM_Quantity[RM Name],$E44)+IF($D44="MIND/Pre-Production",SUMIFS(RM_PM_Quantity[Quantity],RM_PM_Quantity[Date],AP$1,RM_PM_Quantity[Location],"MIDC/Pre-Production",RM_PM_Quantity[Section],$C44,RM_PM_Quantity[RM Name],$E44),0)</f>
        <v>0</v>
      </c>
      <c r="AQ44" s="84">
        <f>SUMIFS(RM_PM_Quantity[Quantity],RM_PM_Quantity[Date],AQ$1,RM_PM_Quantity[Location],$D44,RM_PM_Quantity[Section],$C44,RM_PM_Quantity[RM Name],$E44)+IF($D44="MIND/Pre-Production",SUMIFS(RM_PM_Quantity[Quantity],RM_PM_Quantity[Date],AQ$1,RM_PM_Quantity[Location],"MIDC/Pre-Production",RM_PM_Quantity[Section],$C44,RM_PM_Quantity[RM Name],$E44),0)</f>
        <v>0</v>
      </c>
      <c r="AR44" s="84">
        <f>SUMIFS(RM_PM_Quantity[Quantity],RM_PM_Quantity[Date],AR$1,RM_PM_Quantity[Location],$D44,RM_PM_Quantity[Section],$C44,RM_PM_Quantity[RM Name],$E44)+IF($D44="MIND/Pre-Production",SUMIFS(RM_PM_Quantity[Quantity],RM_PM_Quantity[Date],AR$1,RM_PM_Quantity[Location],"MIDC/Pre-Production",RM_PM_Quantity[Section],$C44,RM_PM_Quantity[RM Name],$E44),0)</f>
        <v>0</v>
      </c>
      <c r="AS44" s="84">
        <f>SUMIFS(RM_PM_Quantity[Quantity],RM_PM_Quantity[Date],AS$1,RM_PM_Quantity[Location],$D44,RM_PM_Quantity[Section],$C44,RM_PM_Quantity[RM Name],$E44)+IF($D44="MIND/Pre-Production",SUMIFS(RM_PM_Quantity[Quantity],RM_PM_Quantity[Date],AS$1,RM_PM_Quantity[Location],"MIDC/Pre-Production",RM_PM_Quantity[Section],$C44,RM_PM_Quantity[RM Name],$E44),0)</f>
        <v>5010</v>
      </c>
      <c r="AT44" s="84">
        <f>SUMIFS(RM_PM_Quantity[Quantity],RM_PM_Quantity[Date],AT$1,RM_PM_Quantity[Location],$D44,RM_PM_Quantity[Section],$C44,RM_PM_Quantity[RM Name],$E44)+IF($D44="MIND/Pre-Production",SUMIFS(RM_PM_Quantity[Quantity],RM_PM_Quantity[Date],AT$1,RM_PM_Quantity[Location],"MIDC/Pre-Production",RM_PM_Quantity[Section],$C44,RM_PM_Quantity[RM Name],$E44),0)</f>
        <v>0</v>
      </c>
      <c r="AU44" s="84">
        <f>SUMIFS(RM_PM_Quantity[Quantity],RM_PM_Quantity[Date],AU$1,RM_PM_Quantity[Location],$D44,RM_PM_Quantity[Section],$C44,RM_PM_Quantity[RM Name],$E44)+IF($D44="MIND/Pre-Production",SUMIFS(RM_PM_Quantity[Quantity],RM_PM_Quantity[Date],AU$1,RM_PM_Quantity[Location],"MIDC/Pre-Production",RM_PM_Quantity[Section],$C44,RM_PM_Quantity[RM Name],$E44),0)</f>
        <v>0</v>
      </c>
      <c r="AV44" s="84">
        <f>SUMIFS(RM_PM_Quantity[Quantity],RM_PM_Quantity[Date],AV$1,RM_PM_Quantity[Location],$D44,RM_PM_Quantity[Section],$C44,RM_PM_Quantity[RM Name],$E44)+IF($D44="MIND/Pre-Production",SUMIFS(RM_PM_Quantity[Quantity],RM_PM_Quantity[Date],AV$1,RM_PM_Quantity[Location],"MIDC/Pre-Production",RM_PM_Quantity[Section],$C44,RM_PM_Quantity[RM Name],$E44),0)</f>
        <v>0</v>
      </c>
      <c r="AW44" s="84">
        <f>SUMIFS(RM_PM_Quantity[Quantity],RM_PM_Quantity[Date],AW$1,RM_PM_Quantity[Location],$D44,RM_PM_Quantity[Section],$C44,RM_PM_Quantity[RM Name],$E44)+IF($D44="MIND/Pre-Production",SUMIFS(RM_PM_Quantity[Quantity],RM_PM_Quantity[Date],AW$1,RM_PM_Quantity[Location],"MIDC/Pre-Production",RM_PM_Quantity[Section],$C44,RM_PM_Quantity[RM Name],$E44),0)</f>
        <v>0</v>
      </c>
      <c r="AX44" s="84">
        <f>SUMIFS(RM_PM_Quantity[Quantity],RM_PM_Quantity[Date],AX$1,RM_PM_Quantity[Location],$D44,RM_PM_Quantity[Section],$C44,RM_PM_Quantity[RM Name],$E44)+IF($D44="MIND/Pre-Production",SUMIFS(RM_PM_Quantity[Quantity],RM_PM_Quantity[Date],AX$1,RM_PM_Quantity[Location],"MIDC/Pre-Production",RM_PM_Quantity[Section],$C44,RM_PM_Quantity[RM Name],$E44),0)</f>
        <v>0</v>
      </c>
      <c r="AY44" s="84">
        <f>SUMIFS(RM_PM_Quantity[Quantity],RM_PM_Quantity[Date],AY$1,RM_PM_Quantity[Location],$D44,RM_PM_Quantity[Section],$C44,RM_PM_Quantity[RM Name],$E44)+IF($D44="MIND/Pre-Production",SUMIFS(RM_PM_Quantity[Quantity],RM_PM_Quantity[Date],AY$1,RM_PM_Quantity[Location],"MIDC/Pre-Production",RM_PM_Quantity[Section],$C44,RM_PM_Quantity[RM Name],$E44),0)</f>
        <v>0</v>
      </c>
      <c r="AZ44" s="84">
        <f>SUMIFS(RM_PM_Quantity[Quantity],RM_PM_Quantity[Date],AZ$1,RM_PM_Quantity[Location],$D44,RM_PM_Quantity[Section],$C44,RM_PM_Quantity[RM Name],$E44)+IF($D44="MIND/Pre-Production",SUMIFS(RM_PM_Quantity[Quantity],RM_PM_Quantity[Date],AZ$1,RM_PM_Quantity[Location],"MIDC/Pre-Production",RM_PM_Quantity[Section],$C44,RM_PM_Quantity[RM Name],$E44),0)</f>
        <v>0</v>
      </c>
      <c r="BA44" s="84">
        <f>SUMIFS(RM_PM_Quantity[Quantity],RM_PM_Quantity[Date],BA$1,RM_PM_Quantity[Location],$D44,RM_PM_Quantity[Section],$C44,RM_PM_Quantity[RM Name],$E44)+IF($D44="MIND/Pre-Production",SUMIFS(RM_PM_Quantity[Quantity],RM_PM_Quantity[Date],BA$1,RM_PM_Quantity[Location],"MIDC/Pre-Production",RM_PM_Quantity[Section],$C44,RM_PM_Quantity[RM Name],$E44),0)</f>
        <v>0</v>
      </c>
      <c r="BB44" s="84">
        <f>SUMIFS(RM_PM_Quantity[Quantity],RM_PM_Quantity[Date],BB$1,RM_PM_Quantity[Location],$D44,RM_PM_Quantity[Section],$C44,RM_PM_Quantity[RM Name],$E44)+IF($D44="MIND/Pre-Production",SUMIFS(RM_PM_Quantity[Quantity],RM_PM_Quantity[Date],BB$1,RM_PM_Quantity[Location],"MIDC/Pre-Production",RM_PM_Quantity[Section],$C44,RM_PM_Quantity[RM Name],$E44),0)</f>
        <v>0</v>
      </c>
      <c r="BC44" s="84">
        <f>SUMIFS(RM_PM_Quantity[Quantity],RM_PM_Quantity[Date],BC$1,RM_PM_Quantity[Location],$D44,RM_PM_Quantity[Section],$C44,RM_PM_Quantity[RM Name],$E44)+IF($D44="MIND/Pre-Production",SUMIFS(RM_PM_Quantity[Quantity],RM_PM_Quantity[Date],BC$1,RM_PM_Quantity[Location],"MIDC/Pre-Production",RM_PM_Quantity[Section],$C44,RM_PM_Quantity[RM Name],$E44),0)</f>
        <v>0</v>
      </c>
      <c r="BD44" s="84">
        <f>SUMIFS(RM_PM_Quantity[Quantity],RM_PM_Quantity[Date],BD$1,RM_PM_Quantity[Location],$D44,RM_PM_Quantity[Section],$C44,RM_PM_Quantity[RM Name],$E44)+IF($D44="MIND/Pre-Production",SUMIFS(RM_PM_Quantity[Quantity],RM_PM_Quantity[Date],BD$1,RM_PM_Quantity[Location],"MIDC/Pre-Production",RM_PM_Quantity[Section],$C44,RM_PM_Quantity[RM Name],$E44),0)</f>
        <v>0</v>
      </c>
      <c r="BE44" s="84">
        <f>SUMIFS(RM_PM_Quantity[Quantity],RM_PM_Quantity[Date],BE$1,RM_PM_Quantity[Location],$D44,RM_PM_Quantity[Section],$C44,RM_PM_Quantity[RM Name],$E44)+IF($D44="MIND/Pre-Production",SUMIFS(RM_PM_Quantity[Quantity],RM_PM_Quantity[Date],BE$1,RM_PM_Quantity[Location],"MIDC/Pre-Production",RM_PM_Quantity[Section],$C44,RM_PM_Quantity[RM Name],$E44),0)</f>
        <v>0</v>
      </c>
      <c r="BF44" s="84">
        <f>SUMIFS(RM_PM_Quantity[Quantity],RM_PM_Quantity[Date],BF$1,RM_PM_Quantity[Location],$D44,RM_PM_Quantity[Section],$C44,RM_PM_Quantity[RM Name],$E44)+IF($D44="MIND/Pre-Production",SUMIFS(RM_PM_Quantity[Quantity],RM_PM_Quantity[Date],BF$1,RM_PM_Quantity[Location],"MIDC/Pre-Production",RM_PM_Quantity[Section],$C44,RM_PM_Quantity[RM Name],$E44),0)</f>
        <v>0</v>
      </c>
      <c r="BG44" s="84">
        <f>SUMIFS(RM_PM_Quantity[Quantity],RM_PM_Quantity[Date],BG$1,RM_PM_Quantity[Location],$D44,RM_PM_Quantity[Section],$C44,RM_PM_Quantity[RM Name],$E44)+IF($D44="MIND/Pre-Production",SUMIFS(RM_PM_Quantity[Quantity],RM_PM_Quantity[Date],BG$1,RM_PM_Quantity[Location],"MIDC/Pre-Production",RM_PM_Quantity[Section],$C44,RM_PM_Quantity[RM Name],$E44),0)</f>
        <v>0</v>
      </c>
      <c r="BH44" s="84">
        <f>SUMIFS(RM_PM_Quantity[Quantity],RM_PM_Quantity[Date],BH$1,RM_PM_Quantity[Location],$D44,RM_PM_Quantity[Section],$C44,RM_PM_Quantity[RM Name],$E44)+IF($D44="MIND/Pre-Production",SUMIFS(RM_PM_Quantity[Quantity],RM_PM_Quantity[Date],BH$1,RM_PM_Quantity[Location],"MIDC/Pre-Production",RM_PM_Quantity[Section],$C44,RM_PM_Quantity[RM Name],$E44),0)</f>
        <v>0</v>
      </c>
      <c r="BI44" s="84">
        <f>SUMIFS(RM_PM_Quantity[Quantity],RM_PM_Quantity[Date],BI$1,RM_PM_Quantity[Location],$D44,RM_PM_Quantity[Section],$C44,RM_PM_Quantity[RM Name],$E44)+IF($D44="MIND/Pre-Production",SUMIFS(RM_PM_Quantity[Quantity],RM_PM_Quantity[Date],BI$1,RM_PM_Quantity[Location],"MIDC/Pre-Production",RM_PM_Quantity[Section],$C44,RM_PM_Quantity[RM Name],$E44),0)</f>
        <v>0</v>
      </c>
      <c r="BJ44" s="84">
        <f>SUMIFS(RM_PM_Quantity[Quantity],RM_PM_Quantity[Date],BJ$1,RM_PM_Quantity[Location],$D44,RM_PM_Quantity[Section],$C44,RM_PM_Quantity[RM Name],$E44)+IF($D44="MIND/Pre-Production",SUMIFS(RM_PM_Quantity[Quantity],RM_PM_Quantity[Date],BJ$1,RM_PM_Quantity[Location],"MIDC/Pre-Production",RM_PM_Quantity[Section],$C44,RM_PM_Quantity[RM Name],$E44),0)</f>
        <v>0</v>
      </c>
      <c r="BK44" s="84">
        <f>SUMIFS(RM_PM_Quantity[Quantity],RM_PM_Quantity[Date],BK$1,RM_PM_Quantity[Location],$D44,RM_PM_Quantity[Section],$C44,RM_PM_Quantity[RM Name],$E44)+IF($D44="MIND/Pre-Production",SUMIFS(RM_PM_Quantity[Quantity],RM_PM_Quantity[Date],BK$1,RM_PM_Quantity[Location],"MIDC/Pre-Production",RM_PM_Quantity[Section],$C44,RM_PM_Quantity[RM Name],$E44),0)</f>
        <v>0</v>
      </c>
      <c r="BL44" s="84">
        <f>SUMIFS(RM_PM_Quantity[Quantity],RM_PM_Quantity[Date],BL$1,RM_PM_Quantity[Location],$D44,RM_PM_Quantity[Section],$C44,RM_PM_Quantity[RM Name],$E44)+IF($D44="MIND/Pre-Production",SUMIFS(RM_PM_Quantity[Quantity],RM_PM_Quantity[Date],BL$1,RM_PM_Quantity[Location],"MIDC/Pre-Production",RM_PM_Quantity[Section],$C44,RM_PM_Quantity[RM Name],$E44),0)</f>
        <v>0</v>
      </c>
      <c r="BM44" s="84">
        <f>SUMIFS(RM_PM_Quantity[Quantity],RM_PM_Quantity[Date],BM$1,RM_PM_Quantity[Location],$D44,RM_PM_Quantity[Section],$C44,RM_PM_Quantity[RM Name],$E44)+IF($D44="MIND/Pre-Production",SUMIFS(RM_PM_Quantity[Quantity],RM_PM_Quantity[Date],BM$1,RM_PM_Quantity[Location],"MIDC/Pre-Production",RM_PM_Quantity[Section],$C44,RM_PM_Quantity[RM Name],$E44),0)</f>
        <v>0</v>
      </c>
      <c r="BN44" s="84">
        <f>SUMIFS(RM_PM_Quantity[Quantity],RM_PM_Quantity[Date],BN$1,RM_PM_Quantity[Location],$D44,RM_PM_Quantity[Section],$C44,RM_PM_Quantity[RM Name],$E44)+IF($D44="MIND/Pre-Production",SUMIFS(RM_PM_Quantity[Quantity],RM_PM_Quantity[Date],BN$1,RM_PM_Quantity[Location],"MIDC/Pre-Production",RM_PM_Quantity[Section],$C44,RM_PM_Quantity[RM Name],$E44),0)</f>
        <v>0</v>
      </c>
      <c r="BO44" s="84">
        <f>SUMIFS(RM_PM_Quantity[Quantity],RM_PM_Quantity[Date],BO$1,RM_PM_Quantity[Location],$D44,RM_PM_Quantity[Section],$C44,RM_PM_Quantity[RM Name],$E44)+IF($D44="MIND/Pre-Production",SUMIFS(RM_PM_Quantity[Quantity],RM_PM_Quantity[Date],BO$1,RM_PM_Quantity[Location],"MIDC/Pre-Production",RM_PM_Quantity[Section],$C44,RM_PM_Quantity[RM Name],$E44),0)</f>
        <v>0</v>
      </c>
      <c r="BP44" s="84">
        <f>SUMIFS(RM_PM_Quantity[Quantity],RM_PM_Quantity[Date],BP$1,RM_PM_Quantity[Location],$D44,RM_PM_Quantity[Section],$C44,RM_PM_Quantity[RM Name],$E44)+IF($D44="MIND/Pre-Production",SUMIFS(RM_PM_Quantity[Quantity],RM_PM_Quantity[Date],BP$1,RM_PM_Quantity[Location],"MIDC/Pre-Production",RM_PM_Quantity[Section],$C44,RM_PM_Quantity[RM Name],$E44),0)</f>
        <v>0</v>
      </c>
      <c r="BQ44" s="84">
        <f>SUMIFS(RM_PM_Quantity[Quantity],RM_PM_Quantity[Date],BQ$1,RM_PM_Quantity[Location],$D44,RM_PM_Quantity[Section],$C44,RM_PM_Quantity[RM Name],$E44)+IF($D44="MIND/Pre-Production",SUMIFS(RM_PM_Quantity[Quantity],RM_PM_Quantity[Date],BQ$1,RM_PM_Quantity[Location],"MIDC/Pre-Production",RM_PM_Quantity[Section],$C44,RM_PM_Quantity[RM Name],$E44),0)</f>
        <v>0</v>
      </c>
      <c r="BR44" s="84">
        <f>SUMIFS(RM_PM_Quantity[Quantity],RM_PM_Quantity[Date],BR$1,RM_PM_Quantity[Location],$D44,RM_PM_Quantity[Section],$C44,RM_PM_Quantity[RM Name],$E44)+IF($D44="MIND/Pre-Production",SUMIFS(RM_PM_Quantity[Quantity],RM_PM_Quantity[Date],BR$1,RM_PM_Quantity[Location],"MIDC/Pre-Production",RM_PM_Quantity[Section],$C44,RM_PM_Quantity[RM Name],$E44),0)</f>
        <v>0</v>
      </c>
      <c r="BS44" s="84">
        <f>SUMIFS(RM_PM_Quantity[Quantity],RM_PM_Quantity[Date],BS$1,RM_PM_Quantity[Location],$D44,RM_PM_Quantity[Section],$C44,RM_PM_Quantity[RM Name],$E44)+IF($D44="MIND/Pre-Production",SUMIFS(RM_PM_Quantity[Quantity],RM_PM_Quantity[Date],BS$1,RM_PM_Quantity[Location],"MIDC/Pre-Production",RM_PM_Quantity[Section],$C44,RM_PM_Quantity[RM Name],$E44),0)</f>
        <v>0</v>
      </c>
      <c r="BT44" s="84">
        <f>SUMIFS(RM_PM_Quantity[ID],RM_PM_Quantity[Location],BT$1,RM_PM_Quantity[Section],$D44,RM_PM_Quantity[RM Name],$C44,RM_PM_Quantity[Quantity],$E44)+IF($D44="MIND/Pre-Production",SUMIFS(RM_PM_Quantity[ID],RM_PM_Quantity[Location],BT$1,RM_PM_Quantity[Section],"MIDC/Pre-Production",RM_PM_Quantity[RM Name],$C44,RM_PM_Quantity[Quantity],$E44),0)</f>
        <v>0</v>
      </c>
      <c r="BU44" s="84">
        <f>SUMIFS(RM_PM_Quantity[Name of Supervisor],RM_PM_Quantity[Section],BU$1,RM_PM_Quantity[RM Name],$D44,RM_PM_Quantity[Quantity],$C44,RM_PM_Quantity[ID],$E44)+IF($D44="MIND/Pre-Production",SUMIFS(RM_PM_Quantity[Name of Supervisor],RM_PM_Quantity[Section],BU$1,RM_PM_Quantity[RM Name],"MIDC/Pre-Production",RM_PM_Quantity[Quantity],$C44,RM_PM_Quantity[ID],$E44),0)</f>
        <v>0</v>
      </c>
      <c r="BV44" s="84">
        <f>SUMIFS(RM_PM_Quantity[Date],RM_PM_Quantity[RM Name],BV$1,RM_PM_Quantity[Quantity],$D44,RM_PM_Quantity[ID],$C44,RM_PM_Quantity[Name of Supervisor],$E44)+IF($D44="MIND/Pre-Production",SUMIFS(RM_PM_Quantity[Date],RM_PM_Quantity[RM Name],BV$1,RM_PM_Quantity[Quantity],"MIDC/Pre-Production",RM_PM_Quantity[ID],$C44,RM_PM_Quantity[Name of Supervisor],$E44),0)</f>
        <v>0</v>
      </c>
      <c r="BW44" s="84">
        <f>SUMIFS(RM_PM_Quantity[Location],RM_PM_Quantity[Quantity],BW$1,RM_PM_Quantity[ID],$D44,RM_PM_Quantity[Name of Supervisor],$C44,RM_PM_Quantity[Date],$E44)+IF($D44="MIND/Pre-Production",SUMIFS(RM_PM_Quantity[Location],RM_PM_Quantity[Quantity],BW$1,RM_PM_Quantity[ID],"MIDC/Pre-Production",RM_PM_Quantity[Name of Supervisor],$C44,RM_PM_Quantity[Date],$E44),0)</f>
        <v>0</v>
      </c>
      <c r="BX44" s="84">
        <f>SUMIFS(RM_PM_Quantity[Section],RM_PM_Quantity[ID],BX$1,RM_PM_Quantity[Name of Supervisor],$D44,RM_PM_Quantity[Date],$C44,RM_PM_Quantity[Location],$E44)+IF($D44="MIND/Pre-Production",SUMIFS(RM_PM_Quantity[Section],RM_PM_Quantity[ID],BX$1,RM_PM_Quantity[Name of Supervisor],"MIDC/Pre-Production",RM_PM_Quantity[Date],$C44,RM_PM_Quantity[Location],$E44),0)</f>
        <v>0</v>
      </c>
      <c r="BY44" s="84">
        <f>SUMIFS(RM_PM_Quantity[RM Name],RM_PM_Quantity[Name of Supervisor],BY$1,RM_PM_Quantity[Date],$D44,RM_PM_Quantity[Location],$C44,RM_PM_Quantity[Section],$E44)+IF($D44="MIND/Pre-Production",SUMIFS(RM_PM_Quantity[RM Name],RM_PM_Quantity[Name of Supervisor],BY$1,RM_PM_Quantity[Date],"MIDC/Pre-Production",RM_PM_Quantity[Location],$C44,RM_PM_Quantity[Section],$E44),0)</f>
        <v>0</v>
      </c>
    </row>
    <row r="45" spans="1:77" ht="45.75" customHeight="1">
      <c r="A45" s="79">
        <v>44</v>
      </c>
      <c r="B45" s="87" t="s">
        <v>131</v>
      </c>
      <c r="C45" s="80" t="s">
        <v>132</v>
      </c>
      <c r="D45" s="81" t="s">
        <v>54</v>
      </c>
      <c r="E45" s="89" t="s">
        <v>133</v>
      </c>
      <c r="F45" s="83" t="str">
        <f>IFERROR(_xlfn.XLOOKUP(B45,'[1]RM Tracker'!B:B,'[1]RM Tracker'!E:E),"0")</f>
        <v>0</v>
      </c>
      <c r="G45" s="85">
        <f t="shared" si="2"/>
        <v>0</v>
      </c>
      <c r="H45" s="85">
        <f t="shared" si="3"/>
        <v>0</v>
      </c>
      <c r="I45" s="91">
        <f t="shared" si="4"/>
        <v>0</v>
      </c>
      <c r="J45" s="84">
        <f>SUMIFS(RM_PM_Quantity[Quantity],RM_PM_Quantity[Date],J$1,RM_PM_Quantity[Location],$D45,RM_PM_Quantity[Section],$C45,RM_PM_Quantity[RM Name],$E45)+IF($D45="MIND/Pre-Production",SUMIFS(RM_PM_Quantity[Quantity],RM_PM_Quantity[Date],J$1,RM_PM_Quantity[Location],"MIDC/Pre-Production",RM_PM_Quantity[Section],$C45,RM_PM_Quantity[RM Name],$E45),0)</f>
        <v>0</v>
      </c>
      <c r="K45" s="84">
        <f>SUMIFS(RM_PM_Quantity[Quantity],RM_PM_Quantity[Date],K$1,RM_PM_Quantity[Location],$D45,RM_PM_Quantity[Section],$C45,RM_PM_Quantity[RM Name],$E45)+IF($D45="MIND/Pre-Production",SUMIFS(RM_PM_Quantity[Quantity],RM_PM_Quantity[Date],K$1,RM_PM_Quantity[Location],"MIDC/Pre-Production",RM_PM_Quantity[Section],$C45,RM_PM_Quantity[RM Name],$E45),0)</f>
        <v>0</v>
      </c>
      <c r="L45" s="84">
        <f>SUMIFS(RM_PM_Quantity[Quantity],RM_PM_Quantity[Date],L$1,RM_PM_Quantity[Location],$D45,RM_PM_Quantity[Section],$C45,RM_PM_Quantity[RM Name],$E45)+IF($D45="MIND/Pre-Production",SUMIFS(RM_PM_Quantity[Quantity],RM_PM_Quantity[Date],L$1,RM_PM_Quantity[Location],"MIDC/Pre-Production",RM_PM_Quantity[Section],$C45,RM_PM_Quantity[RM Name],$E45),0)</f>
        <v>0</v>
      </c>
      <c r="M45" s="84">
        <f>SUMIFS(RM_PM_Quantity[Quantity],RM_PM_Quantity[Date],M$1,RM_PM_Quantity[Location],$D45,RM_PM_Quantity[Section],$C45,RM_PM_Quantity[RM Name],$E45)+IF($D45="MIND/Pre-Production",SUMIFS(RM_PM_Quantity[Quantity],RM_PM_Quantity[Date],M$1,RM_PM_Quantity[Location],"MIDC/Pre-Production",RM_PM_Quantity[Section],$C45,RM_PM_Quantity[RM Name],$E45),0)</f>
        <v>0</v>
      </c>
      <c r="N45" s="84">
        <f>SUMIFS(RM_PM_Quantity[Quantity],RM_PM_Quantity[Date],N$1,RM_PM_Quantity[Location],$D45,RM_PM_Quantity[Section],$C45,RM_PM_Quantity[RM Name],$E45)+IF($D45="MIND/Pre-Production",SUMIFS(RM_PM_Quantity[Quantity],RM_PM_Quantity[Date],N$1,RM_PM_Quantity[Location],"MIDC/Pre-Production",RM_PM_Quantity[Section],$C45,RM_PM_Quantity[RM Name],$E45),0)</f>
        <v>0</v>
      </c>
      <c r="O45" s="84">
        <f>SUMIFS(RM_PM_Quantity[Quantity],RM_PM_Quantity[Date],O$1,RM_PM_Quantity[Location],$D45,RM_PM_Quantity[Section],$C45,RM_PM_Quantity[RM Name],$E45)+IF($D45="MIND/Pre-Production",SUMIFS(RM_PM_Quantity[Quantity],RM_PM_Quantity[Date],O$1,RM_PM_Quantity[Location],"MIDC/Pre-Production",RM_PM_Quantity[Section],$C45,RM_PM_Quantity[RM Name],$E45),0)</f>
        <v>0</v>
      </c>
      <c r="P45" s="84">
        <f>SUMIFS(RM_PM_Quantity[Quantity],RM_PM_Quantity[Date],P$1,RM_PM_Quantity[Location],$D45,RM_PM_Quantity[Section],$C45,RM_PM_Quantity[RM Name],$E45)+IF($D45="MIND/Pre-Production",SUMIFS(RM_PM_Quantity[Quantity],RM_PM_Quantity[Date],P$1,RM_PM_Quantity[Location],"MIDC/Pre-Production",RM_PM_Quantity[Section],$C45,RM_PM_Quantity[RM Name],$E45),0)</f>
        <v>0</v>
      </c>
      <c r="Q45" s="84">
        <f>SUMIFS(RM_PM_Quantity[Quantity],RM_PM_Quantity[Date],Q$1,RM_PM_Quantity[Location],$D45,RM_PM_Quantity[Section],$C45,RM_PM_Quantity[RM Name],$E45)+IF($D45="MIND/Pre-Production",SUMIFS(RM_PM_Quantity[Quantity],RM_PM_Quantity[Date],Q$1,RM_PM_Quantity[Location],"MIDC/Pre-Production",RM_PM_Quantity[Section],$C45,RM_PM_Quantity[RM Name],$E45),0)</f>
        <v>0</v>
      </c>
      <c r="R45" s="84">
        <f>SUMIFS(RM_PM_Quantity[Quantity],RM_PM_Quantity[Date],R$1,RM_PM_Quantity[Location],$D45,RM_PM_Quantity[Section],$C45,RM_PM_Quantity[RM Name],$E45)+IF($D45="MIND/Pre-Production",SUMIFS(RM_PM_Quantity[Quantity],RM_PM_Quantity[Date],R$1,RM_PM_Quantity[Location],"MIDC/Pre-Production",RM_PM_Quantity[Section],$C45,RM_PM_Quantity[RM Name],$E45),0)</f>
        <v>0</v>
      </c>
      <c r="S45" s="84">
        <f>SUMIFS(RM_PM_Quantity[Quantity],RM_PM_Quantity[Date],S$1,RM_PM_Quantity[Location],$D45,RM_PM_Quantity[Section],$C45,RM_PM_Quantity[RM Name],$E45)+IF($D45="MIND/Pre-Production",SUMIFS(RM_PM_Quantity[Quantity],RM_PM_Quantity[Date],S$1,RM_PM_Quantity[Location],"MIDC/Pre-Production",RM_PM_Quantity[Section],$C45,RM_PM_Quantity[RM Name],$E45),0)</f>
        <v>0</v>
      </c>
      <c r="T45" s="84">
        <f>SUMIFS(RM_PM_Quantity[Quantity],RM_PM_Quantity[Date],T$1,RM_PM_Quantity[Location],$D45,RM_PM_Quantity[Section],$C45,RM_PM_Quantity[RM Name],$E45)+IF($D45="MIND/Pre-Production",SUMIFS(RM_PM_Quantity[Quantity],RM_PM_Quantity[Date],T$1,RM_PM_Quantity[Location],"MIDC/Pre-Production",RM_PM_Quantity[Section],$C45,RM_PM_Quantity[RM Name],$E45),0)</f>
        <v>0</v>
      </c>
      <c r="U45" s="84">
        <f>SUMIFS(RM_PM_Quantity[Quantity],RM_PM_Quantity[Date],U$1,RM_PM_Quantity[Location],$D45,RM_PM_Quantity[Section],$C45,RM_PM_Quantity[RM Name],$E45)+IF($D45="MIND/Pre-Production",SUMIFS(RM_PM_Quantity[Quantity],RM_PM_Quantity[Date],U$1,RM_PM_Quantity[Location],"MIDC/Pre-Production",RM_PM_Quantity[Section],$C45,RM_PM_Quantity[RM Name],$E45),0)</f>
        <v>0</v>
      </c>
      <c r="V45" s="84">
        <f>SUMIFS(RM_PM_Quantity[Quantity],RM_PM_Quantity[Date],V$1,RM_PM_Quantity[Location],$D45,RM_PM_Quantity[Section],$C45,RM_PM_Quantity[RM Name],$E45)+IF($D45="MIND/Pre-Production",SUMIFS(RM_PM_Quantity[Quantity],RM_PM_Quantity[Date],V$1,RM_PM_Quantity[Location],"MIDC/Pre-Production",RM_PM_Quantity[Section],$C45,RM_PM_Quantity[RM Name],$E45),0)</f>
        <v>0</v>
      </c>
      <c r="W45" s="84">
        <f>SUMIFS(RM_PM_Quantity[Quantity],RM_PM_Quantity[Date],W$1,RM_PM_Quantity[Location],$D45,RM_PM_Quantity[Section],$C45,RM_PM_Quantity[RM Name],$E45)+IF($D45="MIND/Pre-Production",SUMIFS(RM_PM_Quantity[Quantity],RM_PM_Quantity[Date],W$1,RM_PM_Quantity[Location],"MIDC/Pre-Production",RM_PM_Quantity[Section],$C45,RM_PM_Quantity[RM Name],$E45),0)</f>
        <v>0</v>
      </c>
      <c r="X45" s="84">
        <f>SUMIFS(RM_PM_Quantity[Quantity],RM_PM_Quantity[Date],X$1,RM_PM_Quantity[Location],$D45,RM_PM_Quantity[Section],$C45,RM_PM_Quantity[RM Name],$E45)+IF($D45="MIND/Pre-Production",SUMIFS(RM_PM_Quantity[Quantity],RM_PM_Quantity[Date],X$1,RM_PM_Quantity[Location],"MIDC/Pre-Production",RM_PM_Quantity[Section],$C45,RM_PM_Quantity[RM Name],$E45),0)</f>
        <v>0</v>
      </c>
      <c r="Y45" s="84">
        <f>SUMIFS(RM_PM_Quantity[Quantity],RM_PM_Quantity[Date],Y$1,RM_PM_Quantity[Location],$D45,RM_PM_Quantity[Section],$C45,RM_PM_Quantity[RM Name],$E45)+IF($D45="MIND/Pre-Production",SUMIFS(RM_PM_Quantity[Quantity],RM_PM_Quantity[Date],Y$1,RM_PM_Quantity[Location],"MIDC/Pre-Production",RM_PM_Quantity[Section],$C45,RM_PM_Quantity[RM Name],$E45),0)</f>
        <v>0</v>
      </c>
      <c r="Z45" s="84">
        <f>SUMIFS(RM_PM_Quantity[Quantity],RM_PM_Quantity[Date],Z$1,RM_PM_Quantity[Location],$D45,RM_PM_Quantity[Section],$C45,RM_PM_Quantity[RM Name],$E45)+IF($D45="MIND/Pre-Production",SUMIFS(RM_PM_Quantity[Quantity],RM_PM_Quantity[Date],Z$1,RM_PM_Quantity[Location],"MIDC/Pre-Production",RM_PM_Quantity[Section],$C45,RM_PM_Quantity[RM Name],$E45),0)</f>
        <v>0</v>
      </c>
      <c r="AA45" s="84">
        <f>SUMIFS(RM_PM_Quantity[Quantity],RM_PM_Quantity[Date],AA$1,RM_PM_Quantity[Location],$D45,RM_PM_Quantity[Section],$C45,RM_PM_Quantity[RM Name],$E45)+IF($D45="MIND/Pre-Production",SUMIFS(RM_PM_Quantity[Quantity],RM_PM_Quantity[Date],AA$1,RM_PM_Quantity[Location],"MIDC/Pre-Production",RM_PM_Quantity[Section],$C45,RM_PM_Quantity[RM Name],$E45),0)</f>
        <v>0</v>
      </c>
      <c r="AB45" s="84">
        <f>SUMIFS(RM_PM_Quantity[Quantity],RM_PM_Quantity[Date],AB$1,RM_PM_Quantity[Location],$D45,RM_PM_Quantity[Section],$C45,RM_PM_Quantity[RM Name],$E45)+IF($D45="MIND/Pre-Production",SUMIFS(RM_PM_Quantity[Quantity],RM_PM_Quantity[Date],AB$1,RM_PM_Quantity[Location],"MIDC/Pre-Production",RM_PM_Quantity[Section],$C45,RM_PM_Quantity[RM Name],$E45),0)</f>
        <v>0</v>
      </c>
      <c r="AC45" s="84">
        <f>SUMIFS(RM_PM_Quantity[Quantity],RM_PM_Quantity[Date],AC$1,RM_PM_Quantity[Location],$D45,RM_PM_Quantity[Section],$C45,RM_PM_Quantity[RM Name],$E45)+IF($D45="MIND/Pre-Production",SUMIFS(RM_PM_Quantity[Quantity],RM_PM_Quantity[Date],AC$1,RM_PM_Quantity[Location],"MIDC/Pre-Production",RM_PM_Quantity[Section],$C45,RM_PM_Quantity[RM Name],$E45),0)</f>
        <v>0</v>
      </c>
      <c r="AD45" s="84">
        <f>SUMIFS(RM_PM_Quantity[Quantity],RM_PM_Quantity[Date],AD$1,RM_PM_Quantity[Location],$D45,RM_PM_Quantity[Section],$C45,RM_PM_Quantity[RM Name],$E45)+IF($D45="MIND/Pre-Production",SUMIFS(RM_PM_Quantity[Quantity],RM_PM_Quantity[Date],AD$1,RM_PM_Quantity[Location],"MIDC/Pre-Production",RM_PM_Quantity[Section],$C45,RM_PM_Quantity[RM Name],$E45),0)</f>
        <v>0</v>
      </c>
      <c r="AE45" s="84">
        <f>SUMIFS(RM_PM_Quantity[Quantity],RM_PM_Quantity[Date],AE$1,RM_PM_Quantity[Location],$D45,RM_PM_Quantity[Section],$C45,RM_PM_Quantity[RM Name],$E45)+IF($D45="MIND/Pre-Production",SUMIFS(RM_PM_Quantity[Quantity],RM_PM_Quantity[Date],AE$1,RM_PM_Quantity[Location],"MIDC/Pre-Production",RM_PM_Quantity[Section],$C45,RM_PM_Quantity[RM Name],$E45),0)</f>
        <v>0</v>
      </c>
      <c r="AF45" s="84">
        <f>SUMIFS(RM_PM_Quantity[Quantity],RM_PM_Quantity[Date],AF$1,RM_PM_Quantity[Location],$D45,RM_PM_Quantity[Section],$C45,RM_PM_Quantity[RM Name],$E45)+IF($D45="MIND/Pre-Production",SUMIFS(RM_PM_Quantity[Quantity],RM_PM_Quantity[Date],AF$1,RM_PM_Quantity[Location],"MIDC/Pre-Production",RM_PM_Quantity[Section],$C45,RM_PM_Quantity[RM Name],$E45),0)</f>
        <v>0</v>
      </c>
      <c r="AG45" s="84">
        <f>SUMIFS(RM_PM_Quantity[Quantity],RM_PM_Quantity[Date],AG$1,RM_PM_Quantity[Location],$D45,RM_PM_Quantity[Section],$C45,RM_PM_Quantity[RM Name],$E45)+IF($D45="MIND/Pre-Production",SUMIFS(RM_PM_Quantity[Quantity],RM_PM_Quantity[Date],AG$1,RM_PM_Quantity[Location],"MIDC/Pre-Production",RM_PM_Quantity[Section],$C45,RM_PM_Quantity[RM Name],$E45),0)</f>
        <v>0</v>
      </c>
      <c r="AH45" s="84">
        <f>SUMIFS(RM_PM_Quantity[Quantity],RM_PM_Quantity[Date],AH$1,RM_PM_Quantity[Location],$D45,RM_PM_Quantity[Section],$C45,RM_PM_Quantity[RM Name],$E45)+IF($D45="MIND/Pre-Production",SUMIFS(RM_PM_Quantity[Quantity],RM_PM_Quantity[Date],AH$1,RM_PM_Quantity[Location],"MIDC/Pre-Production",RM_PM_Quantity[Section],$C45,RM_PM_Quantity[RM Name],$E45),0)</f>
        <v>0</v>
      </c>
      <c r="AI45" s="84">
        <f>SUMIFS(RM_PM_Quantity[Quantity],RM_PM_Quantity[Date],AI$1,RM_PM_Quantity[Location],$D45,RM_PM_Quantity[Section],$C45,RM_PM_Quantity[RM Name],$E45)+IF($D45="MIND/Pre-Production",SUMIFS(RM_PM_Quantity[Quantity],RM_PM_Quantity[Date],AI$1,RM_PM_Quantity[Location],"MIDC/Pre-Production",RM_PM_Quantity[Section],$C45,RM_PM_Quantity[RM Name],$E45),0)</f>
        <v>0</v>
      </c>
      <c r="AJ45" s="84">
        <f>SUMIFS(RM_PM_Quantity[Quantity],RM_PM_Quantity[Date],AJ$1,RM_PM_Quantity[Location],$D45,RM_PM_Quantity[Section],$C45,RM_PM_Quantity[RM Name],$E45)+IF($D45="MIND/Pre-Production",SUMIFS(RM_PM_Quantity[Quantity],RM_PM_Quantity[Date],AJ$1,RM_PM_Quantity[Location],"MIDC/Pre-Production",RM_PM_Quantity[Section],$C45,RM_PM_Quantity[RM Name],$E45),0)</f>
        <v>0</v>
      </c>
      <c r="AK45" s="84">
        <f>SUMIFS(RM_PM_Quantity[Quantity],RM_PM_Quantity[Date],AK$1,RM_PM_Quantity[Location],$D45,RM_PM_Quantity[Section],$C45,RM_PM_Quantity[RM Name],$E45)+IF($D45="MIND/Pre-Production",SUMIFS(RM_PM_Quantity[Quantity],RM_PM_Quantity[Date],AK$1,RM_PM_Quantity[Location],"MIDC/Pre-Production",RM_PM_Quantity[Section],$C45,RM_PM_Quantity[RM Name],$E45),0)</f>
        <v>0</v>
      </c>
      <c r="AL45" s="84">
        <f>SUMIFS(RM_PM_Quantity[Quantity],RM_PM_Quantity[Date],AL$1,RM_PM_Quantity[Location],$D45,RM_PM_Quantity[Section],$C45,RM_PM_Quantity[RM Name],$E45)+IF($D45="MIND/Pre-Production",SUMIFS(RM_PM_Quantity[Quantity],RM_PM_Quantity[Date],AL$1,RM_PM_Quantity[Location],"MIDC/Pre-Production",RM_PM_Quantity[Section],$C45,RM_PM_Quantity[RM Name],$E45),0)</f>
        <v>0</v>
      </c>
      <c r="AM45" s="84">
        <f>SUMIFS(RM_PM_Quantity[Quantity],RM_PM_Quantity[Date],AM$1,RM_PM_Quantity[Location],$D45,RM_PM_Quantity[Section],$C45,RM_PM_Quantity[RM Name],$E45)+IF($D45="MIND/Pre-Production",SUMIFS(RM_PM_Quantity[Quantity],RM_PM_Quantity[Date],AM$1,RM_PM_Quantity[Location],"MIDC/Pre-Production",RM_PM_Quantity[Section],$C45,RM_PM_Quantity[RM Name],$E45),0)</f>
        <v>0</v>
      </c>
      <c r="AN45" s="84">
        <f>SUMIFS(RM_PM_Quantity[Quantity],RM_PM_Quantity[Date],AN$1,RM_PM_Quantity[Location],$D45,RM_PM_Quantity[Section],$C45,RM_PM_Quantity[RM Name],$E45)+IF($D45="MIND/Pre-Production",SUMIFS(RM_PM_Quantity[Quantity],RM_PM_Quantity[Date],AN$1,RM_PM_Quantity[Location],"MIDC/Pre-Production",RM_PM_Quantity[Section],$C45,RM_PM_Quantity[RM Name],$E45),0)</f>
        <v>0</v>
      </c>
      <c r="AO45" s="84">
        <f>SUMIFS(RM_PM_Quantity[Quantity],RM_PM_Quantity[Date],AO$1,RM_PM_Quantity[Location],$D45,RM_PM_Quantity[Section],$C45,RM_PM_Quantity[RM Name],$E45)+IF($D45="MIND/Pre-Production",SUMIFS(RM_PM_Quantity[Quantity],RM_PM_Quantity[Date],AO$1,RM_PM_Quantity[Location],"MIDC/Pre-Production",RM_PM_Quantity[Section],$C45,RM_PM_Quantity[RM Name],$E45),0)</f>
        <v>0</v>
      </c>
      <c r="AP45" s="84">
        <f>SUMIFS(RM_PM_Quantity[Quantity],RM_PM_Quantity[Date],AP$1,RM_PM_Quantity[Location],$D45,RM_PM_Quantity[Section],$C45,RM_PM_Quantity[RM Name],$E45)+IF($D45="MIND/Pre-Production",SUMIFS(RM_PM_Quantity[Quantity],RM_PM_Quantity[Date],AP$1,RM_PM_Quantity[Location],"MIDC/Pre-Production",RM_PM_Quantity[Section],$C45,RM_PM_Quantity[RM Name],$E45),0)</f>
        <v>0</v>
      </c>
      <c r="AQ45" s="84">
        <f>SUMIFS(RM_PM_Quantity[Quantity],RM_PM_Quantity[Date],AQ$1,RM_PM_Quantity[Location],$D45,RM_PM_Quantity[Section],$C45,RM_PM_Quantity[RM Name],$E45)+IF($D45="MIND/Pre-Production",SUMIFS(RM_PM_Quantity[Quantity],RM_PM_Quantity[Date],AQ$1,RM_PM_Quantity[Location],"MIDC/Pre-Production",RM_PM_Quantity[Section],$C45,RM_PM_Quantity[RM Name],$E45),0)</f>
        <v>0</v>
      </c>
      <c r="AR45" s="84">
        <f>SUMIFS(RM_PM_Quantity[Quantity],RM_PM_Quantity[Date],AR$1,RM_PM_Quantity[Location],$D45,RM_PM_Quantity[Section],$C45,RM_PM_Quantity[RM Name],$E45)+IF($D45="MIND/Pre-Production",SUMIFS(RM_PM_Quantity[Quantity],RM_PM_Quantity[Date],AR$1,RM_PM_Quantity[Location],"MIDC/Pre-Production",RM_PM_Quantity[Section],$C45,RM_PM_Quantity[RM Name],$E45),0)</f>
        <v>0</v>
      </c>
      <c r="AS45" s="84">
        <f>SUMIFS(RM_PM_Quantity[Quantity],RM_PM_Quantity[Date],AS$1,RM_PM_Quantity[Location],$D45,RM_PM_Quantity[Section],$C45,RM_PM_Quantity[RM Name],$E45)+IF($D45="MIND/Pre-Production",SUMIFS(RM_PM_Quantity[Quantity],RM_PM_Quantity[Date],AS$1,RM_PM_Quantity[Location],"MIDC/Pre-Production",RM_PM_Quantity[Section],$C45,RM_PM_Quantity[RM Name],$E45),0)</f>
        <v>0</v>
      </c>
      <c r="AT45" s="84">
        <f>SUMIFS(RM_PM_Quantity[Quantity],RM_PM_Quantity[Date],AT$1,RM_PM_Quantity[Location],$D45,RM_PM_Quantity[Section],$C45,RM_PM_Quantity[RM Name],$E45)+IF($D45="MIND/Pre-Production",SUMIFS(RM_PM_Quantity[Quantity],RM_PM_Quantity[Date],AT$1,RM_PM_Quantity[Location],"MIDC/Pre-Production",RM_PM_Quantity[Section],$C45,RM_PM_Quantity[RM Name],$E45),0)</f>
        <v>0</v>
      </c>
      <c r="AU45" s="84">
        <f>SUMIFS(RM_PM_Quantity[Quantity],RM_PM_Quantity[Date],AU$1,RM_PM_Quantity[Location],$D45,RM_PM_Quantity[Section],$C45,RM_PM_Quantity[RM Name],$E45)+IF($D45="MIND/Pre-Production",SUMIFS(RM_PM_Quantity[Quantity],RM_PM_Quantity[Date],AU$1,RM_PM_Quantity[Location],"MIDC/Pre-Production",RM_PM_Quantity[Section],$C45,RM_PM_Quantity[RM Name],$E45),0)</f>
        <v>0</v>
      </c>
      <c r="AV45" s="84">
        <f>SUMIFS(RM_PM_Quantity[Quantity],RM_PM_Quantity[Date],AV$1,RM_PM_Quantity[Location],$D45,RM_PM_Quantity[Section],$C45,RM_PM_Quantity[RM Name],$E45)+IF($D45="MIND/Pre-Production",SUMIFS(RM_PM_Quantity[Quantity],RM_PM_Quantity[Date],AV$1,RM_PM_Quantity[Location],"MIDC/Pre-Production",RM_PM_Quantity[Section],$C45,RM_PM_Quantity[RM Name],$E45),0)</f>
        <v>0</v>
      </c>
      <c r="AW45" s="84">
        <f>SUMIFS(RM_PM_Quantity[Quantity],RM_PM_Quantity[Date],AW$1,RM_PM_Quantity[Location],$D45,RM_PM_Quantity[Section],$C45,RM_PM_Quantity[RM Name],$E45)+IF($D45="MIND/Pre-Production",SUMIFS(RM_PM_Quantity[Quantity],RM_PM_Quantity[Date],AW$1,RM_PM_Quantity[Location],"MIDC/Pre-Production",RM_PM_Quantity[Section],$C45,RM_PM_Quantity[RM Name],$E45),0)</f>
        <v>0</v>
      </c>
      <c r="AX45" s="84">
        <f>SUMIFS(RM_PM_Quantity[Quantity],RM_PM_Quantity[Date],AX$1,RM_PM_Quantity[Location],$D45,RM_PM_Quantity[Section],$C45,RM_PM_Quantity[RM Name],$E45)+IF($D45="MIND/Pre-Production",SUMIFS(RM_PM_Quantity[Quantity],RM_PM_Quantity[Date],AX$1,RM_PM_Quantity[Location],"MIDC/Pre-Production",RM_PM_Quantity[Section],$C45,RM_PM_Quantity[RM Name],$E45),0)</f>
        <v>0</v>
      </c>
      <c r="AY45" s="84">
        <f>SUMIFS(RM_PM_Quantity[Quantity],RM_PM_Quantity[Date],AY$1,RM_PM_Quantity[Location],$D45,RM_PM_Quantity[Section],$C45,RM_PM_Quantity[RM Name],$E45)+IF($D45="MIND/Pre-Production",SUMIFS(RM_PM_Quantity[Quantity],RM_PM_Quantity[Date],AY$1,RM_PM_Quantity[Location],"MIDC/Pre-Production",RM_PM_Quantity[Section],$C45,RM_PM_Quantity[RM Name],$E45),0)</f>
        <v>0</v>
      </c>
      <c r="AZ45" s="84">
        <f>SUMIFS(RM_PM_Quantity[Quantity],RM_PM_Quantity[Date],AZ$1,RM_PM_Quantity[Location],$D45,RM_PM_Quantity[Section],$C45,RM_PM_Quantity[RM Name],$E45)+IF($D45="MIND/Pre-Production",SUMIFS(RM_PM_Quantity[Quantity],RM_PM_Quantity[Date],AZ$1,RM_PM_Quantity[Location],"MIDC/Pre-Production",RM_PM_Quantity[Section],$C45,RM_PM_Quantity[RM Name],$E45),0)</f>
        <v>0</v>
      </c>
      <c r="BA45" s="84">
        <f>SUMIFS(RM_PM_Quantity[Quantity],RM_PM_Quantity[Date],BA$1,RM_PM_Quantity[Location],$D45,RM_PM_Quantity[Section],$C45,RM_PM_Quantity[RM Name],$E45)+IF($D45="MIND/Pre-Production",SUMIFS(RM_PM_Quantity[Quantity],RM_PM_Quantity[Date],BA$1,RM_PM_Quantity[Location],"MIDC/Pre-Production",RM_PM_Quantity[Section],$C45,RM_PM_Quantity[RM Name],$E45),0)</f>
        <v>0</v>
      </c>
      <c r="BB45" s="84">
        <f>SUMIFS(RM_PM_Quantity[Quantity],RM_PM_Quantity[Date],BB$1,RM_PM_Quantity[Location],$D45,RM_PM_Quantity[Section],$C45,RM_PM_Quantity[RM Name],$E45)+IF($D45="MIND/Pre-Production",SUMIFS(RM_PM_Quantity[Quantity],RM_PM_Quantity[Date],BB$1,RM_PM_Quantity[Location],"MIDC/Pre-Production",RM_PM_Quantity[Section],$C45,RM_PM_Quantity[RM Name],$E45),0)</f>
        <v>0</v>
      </c>
      <c r="BC45" s="84">
        <f>SUMIFS(RM_PM_Quantity[Quantity],RM_PM_Quantity[Date],BC$1,RM_PM_Quantity[Location],$D45,RM_PM_Quantity[Section],$C45,RM_PM_Quantity[RM Name],$E45)+IF($D45="MIND/Pre-Production",SUMIFS(RM_PM_Quantity[Quantity],RM_PM_Quantity[Date],BC$1,RM_PM_Quantity[Location],"MIDC/Pre-Production",RM_PM_Quantity[Section],$C45,RM_PM_Quantity[RM Name],$E45),0)</f>
        <v>0</v>
      </c>
      <c r="BD45" s="84">
        <f>SUMIFS(RM_PM_Quantity[Quantity],RM_PM_Quantity[Date],BD$1,RM_PM_Quantity[Location],$D45,RM_PM_Quantity[Section],$C45,RM_PM_Quantity[RM Name],$E45)+IF($D45="MIND/Pre-Production",SUMIFS(RM_PM_Quantity[Quantity],RM_PM_Quantity[Date],BD$1,RM_PM_Quantity[Location],"MIDC/Pre-Production",RM_PM_Quantity[Section],$C45,RM_PM_Quantity[RM Name],$E45),0)</f>
        <v>0</v>
      </c>
      <c r="BE45" s="84">
        <f>SUMIFS(RM_PM_Quantity[Quantity],RM_PM_Quantity[Date],BE$1,RM_PM_Quantity[Location],$D45,RM_PM_Quantity[Section],$C45,RM_PM_Quantity[RM Name],$E45)+IF($D45="MIND/Pre-Production",SUMIFS(RM_PM_Quantity[Quantity],RM_PM_Quantity[Date],BE$1,RM_PM_Quantity[Location],"MIDC/Pre-Production",RM_PM_Quantity[Section],$C45,RM_PM_Quantity[RM Name],$E45),0)</f>
        <v>0</v>
      </c>
      <c r="BF45" s="84">
        <f>SUMIFS(RM_PM_Quantity[Quantity],RM_PM_Quantity[Date],BF$1,RM_PM_Quantity[Location],$D45,RM_PM_Quantity[Section],$C45,RM_PM_Quantity[RM Name],$E45)+IF($D45="MIND/Pre-Production",SUMIFS(RM_PM_Quantity[Quantity],RM_PM_Quantity[Date],BF$1,RM_PM_Quantity[Location],"MIDC/Pre-Production",RM_PM_Quantity[Section],$C45,RM_PM_Quantity[RM Name],$E45),0)</f>
        <v>0</v>
      </c>
      <c r="BG45" s="84">
        <f>SUMIFS(RM_PM_Quantity[Quantity],RM_PM_Quantity[Date],BG$1,RM_PM_Quantity[Location],$D45,RM_PM_Quantity[Section],$C45,RM_PM_Quantity[RM Name],$E45)+IF($D45="MIND/Pre-Production",SUMIFS(RM_PM_Quantity[Quantity],RM_PM_Quantity[Date],BG$1,RM_PM_Quantity[Location],"MIDC/Pre-Production",RM_PM_Quantity[Section],$C45,RM_PM_Quantity[RM Name],$E45),0)</f>
        <v>0</v>
      </c>
      <c r="BH45" s="84">
        <f>SUMIFS(RM_PM_Quantity[Quantity],RM_PM_Quantity[Date],BH$1,RM_PM_Quantity[Location],$D45,RM_PM_Quantity[Section],$C45,RM_PM_Quantity[RM Name],$E45)+IF($D45="MIND/Pre-Production",SUMIFS(RM_PM_Quantity[Quantity],RM_PM_Quantity[Date],BH$1,RM_PM_Quantity[Location],"MIDC/Pre-Production",RM_PM_Quantity[Section],$C45,RM_PM_Quantity[RM Name],$E45),0)</f>
        <v>0</v>
      </c>
      <c r="BI45" s="84">
        <f>SUMIFS(RM_PM_Quantity[Quantity],RM_PM_Quantity[Date],BI$1,RM_PM_Quantity[Location],$D45,RM_PM_Quantity[Section],$C45,RM_PM_Quantity[RM Name],$E45)+IF($D45="MIND/Pre-Production",SUMIFS(RM_PM_Quantity[Quantity],RM_PM_Quantity[Date],BI$1,RM_PM_Quantity[Location],"MIDC/Pre-Production",RM_PM_Quantity[Section],$C45,RM_PM_Quantity[RM Name],$E45),0)</f>
        <v>0</v>
      </c>
      <c r="BJ45" s="84">
        <f>SUMIFS(RM_PM_Quantity[Quantity],RM_PM_Quantity[Date],BJ$1,RM_PM_Quantity[Location],$D45,RM_PM_Quantity[Section],$C45,RM_PM_Quantity[RM Name],$E45)+IF($D45="MIND/Pre-Production",SUMIFS(RM_PM_Quantity[Quantity],RM_PM_Quantity[Date],BJ$1,RM_PM_Quantity[Location],"MIDC/Pre-Production",RM_PM_Quantity[Section],$C45,RM_PM_Quantity[RM Name],$E45),0)</f>
        <v>0</v>
      </c>
      <c r="BK45" s="84">
        <f>SUMIFS(RM_PM_Quantity[Quantity],RM_PM_Quantity[Date],BK$1,RM_PM_Quantity[Location],$D45,RM_PM_Quantity[Section],$C45,RM_PM_Quantity[RM Name],$E45)+IF($D45="MIND/Pre-Production",SUMIFS(RM_PM_Quantity[Quantity],RM_PM_Quantity[Date],BK$1,RM_PM_Quantity[Location],"MIDC/Pre-Production",RM_PM_Quantity[Section],$C45,RM_PM_Quantity[RM Name],$E45),0)</f>
        <v>0</v>
      </c>
      <c r="BL45" s="84">
        <f>SUMIFS(RM_PM_Quantity[Quantity],RM_PM_Quantity[Date],BL$1,RM_PM_Quantity[Location],$D45,RM_PM_Quantity[Section],$C45,RM_PM_Quantity[RM Name],$E45)+IF($D45="MIND/Pre-Production",SUMIFS(RM_PM_Quantity[Quantity],RM_PM_Quantity[Date],BL$1,RM_PM_Quantity[Location],"MIDC/Pre-Production",RM_PM_Quantity[Section],$C45,RM_PM_Quantity[RM Name],$E45),0)</f>
        <v>0</v>
      </c>
      <c r="BM45" s="84">
        <f>SUMIFS(RM_PM_Quantity[Quantity],RM_PM_Quantity[Date],BM$1,RM_PM_Quantity[Location],$D45,RM_PM_Quantity[Section],$C45,RM_PM_Quantity[RM Name],$E45)+IF($D45="MIND/Pre-Production",SUMIFS(RM_PM_Quantity[Quantity],RM_PM_Quantity[Date],BM$1,RM_PM_Quantity[Location],"MIDC/Pre-Production",RM_PM_Quantity[Section],$C45,RM_PM_Quantity[RM Name],$E45),0)</f>
        <v>0</v>
      </c>
      <c r="BN45" s="84">
        <f>SUMIFS(RM_PM_Quantity[Quantity],RM_PM_Quantity[Date],BN$1,RM_PM_Quantity[Location],$D45,RM_PM_Quantity[Section],$C45,RM_PM_Quantity[RM Name],$E45)+IF($D45="MIND/Pre-Production",SUMIFS(RM_PM_Quantity[Quantity],RM_PM_Quantity[Date],BN$1,RM_PM_Quantity[Location],"MIDC/Pre-Production",RM_PM_Quantity[Section],$C45,RM_PM_Quantity[RM Name],$E45),0)</f>
        <v>0</v>
      </c>
      <c r="BO45" s="84">
        <f>SUMIFS(RM_PM_Quantity[Quantity],RM_PM_Quantity[Date],BO$1,RM_PM_Quantity[Location],$D45,RM_PM_Quantity[Section],$C45,RM_PM_Quantity[RM Name],$E45)+IF($D45="MIND/Pre-Production",SUMIFS(RM_PM_Quantity[Quantity],RM_PM_Quantity[Date],BO$1,RM_PM_Quantity[Location],"MIDC/Pre-Production",RM_PM_Quantity[Section],$C45,RM_PM_Quantity[RM Name],$E45),0)</f>
        <v>0</v>
      </c>
      <c r="BP45" s="84">
        <f>SUMIFS(RM_PM_Quantity[Quantity],RM_PM_Quantity[Date],BP$1,RM_PM_Quantity[Location],$D45,RM_PM_Quantity[Section],$C45,RM_PM_Quantity[RM Name],$E45)+IF($D45="MIND/Pre-Production",SUMIFS(RM_PM_Quantity[Quantity],RM_PM_Quantity[Date],BP$1,RM_PM_Quantity[Location],"MIDC/Pre-Production",RM_PM_Quantity[Section],$C45,RM_PM_Quantity[RM Name],$E45),0)</f>
        <v>0</v>
      </c>
      <c r="BQ45" s="84">
        <f>SUMIFS(RM_PM_Quantity[Quantity],RM_PM_Quantity[Date],BQ$1,RM_PM_Quantity[Location],$D45,RM_PM_Quantity[Section],$C45,RM_PM_Quantity[RM Name],$E45)+IF($D45="MIND/Pre-Production",SUMIFS(RM_PM_Quantity[Quantity],RM_PM_Quantity[Date],BQ$1,RM_PM_Quantity[Location],"MIDC/Pre-Production",RM_PM_Quantity[Section],$C45,RM_PM_Quantity[RM Name],$E45),0)</f>
        <v>0</v>
      </c>
      <c r="BR45" s="84">
        <f>SUMIFS(RM_PM_Quantity[Quantity],RM_PM_Quantity[Date],BR$1,RM_PM_Quantity[Location],$D45,RM_PM_Quantity[Section],$C45,RM_PM_Quantity[RM Name],$E45)+IF($D45="MIND/Pre-Production",SUMIFS(RM_PM_Quantity[Quantity],RM_PM_Quantity[Date],BR$1,RM_PM_Quantity[Location],"MIDC/Pre-Production",RM_PM_Quantity[Section],$C45,RM_PM_Quantity[RM Name],$E45),0)</f>
        <v>0</v>
      </c>
      <c r="BS45" s="84">
        <f>SUMIFS(RM_PM_Quantity[Quantity],RM_PM_Quantity[Date],BS$1,RM_PM_Quantity[Location],$D45,RM_PM_Quantity[Section],$C45,RM_PM_Quantity[RM Name],$E45)+IF($D45="MIND/Pre-Production",SUMIFS(RM_PM_Quantity[Quantity],RM_PM_Quantity[Date],BS$1,RM_PM_Quantity[Location],"MIDC/Pre-Production",RM_PM_Quantity[Section],$C45,RM_PM_Quantity[RM Name],$E45),0)</f>
        <v>0</v>
      </c>
      <c r="BT45" s="84">
        <f>SUMIFS(RM_PM_Quantity[ID],RM_PM_Quantity[Location],BT$1,RM_PM_Quantity[Section],$D45,RM_PM_Quantity[RM Name],$C45,RM_PM_Quantity[Quantity],$E45)+IF($D45="MIND/Pre-Production",SUMIFS(RM_PM_Quantity[ID],RM_PM_Quantity[Location],BT$1,RM_PM_Quantity[Section],"MIDC/Pre-Production",RM_PM_Quantity[RM Name],$C45,RM_PM_Quantity[Quantity],$E45),0)</f>
        <v>0</v>
      </c>
      <c r="BU45" s="84">
        <f>SUMIFS(RM_PM_Quantity[Name of Supervisor],RM_PM_Quantity[Section],BU$1,RM_PM_Quantity[RM Name],$D45,RM_PM_Quantity[Quantity],$C45,RM_PM_Quantity[ID],$E45)+IF($D45="MIND/Pre-Production",SUMIFS(RM_PM_Quantity[Name of Supervisor],RM_PM_Quantity[Section],BU$1,RM_PM_Quantity[RM Name],"MIDC/Pre-Production",RM_PM_Quantity[Quantity],$C45,RM_PM_Quantity[ID],$E45),0)</f>
        <v>0</v>
      </c>
      <c r="BV45" s="84">
        <f>SUMIFS(RM_PM_Quantity[Date],RM_PM_Quantity[RM Name],BV$1,RM_PM_Quantity[Quantity],$D45,RM_PM_Quantity[ID],$C45,RM_PM_Quantity[Name of Supervisor],$E45)+IF($D45="MIND/Pre-Production",SUMIFS(RM_PM_Quantity[Date],RM_PM_Quantity[RM Name],BV$1,RM_PM_Quantity[Quantity],"MIDC/Pre-Production",RM_PM_Quantity[ID],$C45,RM_PM_Quantity[Name of Supervisor],$E45),0)</f>
        <v>0</v>
      </c>
      <c r="BW45" s="84">
        <f>SUMIFS(RM_PM_Quantity[Location],RM_PM_Quantity[Quantity],BW$1,RM_PM_Quantity[ID],$D45,RM_PM_Quantity[Name of Supervisor],$C45,RM_PM_Quantity[Date],$E45)+IF($D45="MIND/Pre-Production",SUMIFS(RM_PM_Quantity[Location],RM_PM_Quantity[Quantity],BW$1,RM_PM_Quantity[ID],"MIDC/Pre-Production",RM_PM_Quantity[Name of Supervisor],$C45,RM_PM_Quantity[Date],$E45),0)</f>
        <v>0</v>
      </c>
      <c r="BX45" s="84">
        <f>SUMIFS(RM_PM_Quantity[Section],RM_PM_Quantity[ID],BX$1,RM_PM_Quantity[Name of Supervisor],$D45,RM_PM_Quantity[Date],$C45,RM_PM_Quantity[Location],$E45)+IF($D45="MIND/Pre-Production",SUMIFS(RM_PM_Quantity[Section],RM_PM_Quantity[ID],BX$1,RM_PM_Quantity[Name of Supervisor],"MIDC/Pre-Production",RM_PM_Quantity[Date],$C45,RM_PM_Quantity[Location],$E45),0)</f>
        <v>0</v>
      </c>
      <c r="BY45" s="84">
        <f>SUMIFS(RM_PM_Quantity[RM Name],RM_PM_Quantity[Name of Supervisor],BY$1,RM_PM_Quantity[Date],$D45,RM_PM_Quantity[Location],$C45,RM_PM_Quantity[Section],$E45)+IF($D45="MIND/Pre-Production",SUMIFS(RM_PM_Quantity[RM Name],RM_PM_Quantity[Name of Supervisor],BY$1,RM_PM_Quantity[Date],"MIDC/Pre-Production",RM_PM_Quantity[Location],$C45,RM_PM_Quantity[Section],$E45),0)</f>
        <v>0</v>
      </c>
    </row>
    <row r="46" spans="1:77" ht="45.75" customHeight="1">
      <c r="A46" s="79">
        <v>45</v>
      </c>
      <c r="B46" s="79" t="s">
        <v>134</v>
      </c>
      <c r="C46" s="80" t="s">
        <v>132</v>
      </c>
      <c r="D46" s="81" t="s">
        <v>54</v>
      </c>
      <c r="E46" s="82" t="s">
        <v>135</v>
      </c>
      <c r="F46" s="83">
        <f>IFERROR(_xlfn.XLOOKUP(B46,'[1]RM Tracker'!B:B,'[1]RM Tracker'!E:E),"0")</f>
        <v>84810.12</v>
      </c>
      <c r="G46" s="85">
        <f t="shared" si="2"/>
        <v>43715</v>
      </c>
      <c r="H46" s="85">
        <f t="shared" si="3"/>
        <v>-41095.119999999995</v>
      </c>
      <c r="I46" s="91">
        <f t="shared" si="4"/>
        <v>0.51544556239278994</v>
      </c>
      <c r="J46" s="84">
        <f>SUMIFS(RM_PM_Quantity[Quantity],RM_PM_Quantity[Date],J$1,RM_PM_Quantity[Location],$D46,RM_PM_Quantity[Section],$C46,RM_PM_Quantity[RM Name],$E46)+IF($D46="MIND/Pre-Production",SUMIFS(RM_PM_Quantity[Quantity],RM_PM_Quantity[Date],J$1,RM_PM_Quantity[Location],"MIDC/Pre-Production",RM_PM_Quantity[Section],$C46,RM_PM_Quantity[RM Name],$E46),0)</f>
        <v>0</v>
      </c>
      <c r="K46" s="84">
        <f>SUMIFS(RM_PM_Quantity[Quantity],RM_PM_Quantity[Date],K$1,RM_PM_Quantity[Location],$D46,RM_PM_Quantity[Section],$C46,RM_PM_Quantity[RM Name],$E46)+IF($D46="MIND/Pre-Production",SUMIFS(RM_PM_Quantity[Quantity],RM_PM_Quantity[Date],K$1,RM_PM_Quantity[Location],"MIDC/Pre-Production",RM_PM_Quantity[Section],$C46,RM_PM_Quantity[RM Name],$E46),0)</f>
        <v>0</v>
      </c>
      <c r="L46" s="84">
        <f>SUMIFS(RM_PM_Quantity[Quantity],RM_PM_Quantity[Date],L$1,RM_PM_Quantity[Location],$D46,RM_PM_Quantity[Section],$C46,RM_PM_Quantity[RM Name],$E46)+IF($D46="MIND/Pre-Production",SUMIFS(RM_PM_Quantity[Quantity],RM_PM_Quantity[Date],L$1,RM_PM_Quantity[Location],"MIDC/Pre-Production",RM_PM_Quantity[Section],$C46,RM_PM_Quantity[RM Name],$E46),0)</f>
        <v>0</v>
      </c>
      <c r="M46" s="84">
        <f>SUMIFS(RM_PM_Quantity[Quantity],RM_PM_Quantity[Date],M$1,RM_PM_Quantity[Location],$D46,RM_PM_Quantity[Section],$C46,RM_PM_Quantity[RM Name],$E46)+IF($D46="MIND/Pre-Production",SUMIFS(RM_PM_Quantity[Quantity],RM_PM_Quantity[Date],M$1,RM_PM_Quantity[Location],"MIDC/Pre-Production",RM_PM_Quantity[Section],$C46,RM_PM_Quantity[RM Name],$E46),0)</f>
        <v>0</v>
      </c>
      <c r="N46" s="84">
        <f>SUMIFS(RM_PM_Quantity[Quantity],RM_PM_Quantity[Date],N$1,RM_PM_Quantity[Location],$D46,RM_PM_Quantity[Section],$C46,RM_PM_Quantity[RM Name],$E46)+IF($D46="MIND/Pre-Production",SUMIFS(RM_PM_Quantity[Quantity],RM_PM_Quantity[Date],N$1,RM_PM_Quantity[Location],"MIDC/Pre-Production",RM_PM_Quantity[Section],$C46,RM_PM_Quantity[RM Name],$E46),0)</f>
        <v>0</v>
      </c>
      <c r="O46" s="84">
        <f>SUMIFS(RM_PM_Quantity[Quantity],RM_PM_Quantity[Date],O$1,RM_PM_Quantity[Location],$D46,RM_PM_Quantity[Section],$C46,RM_PM_Quantity[RM Name],$E46)+IF($D46="MIND/Pre-Production",SUMIFS(RM_PM_Quantity[Quantity],RM_PM_Quantity[Date],O$1,RM_PM_Quantity[Location],"MIDC/Pre-Production",RM_PM_Quantity[Section],$C46,RM_PM_Quantity[RM Name],$E46),0)</f>
        <v>0</v>
      </c>
      <c r="P46" s="84">
        <f>SUMIFS(RM_PM_Quantity[Quantity],RM_PM_Quantity[Date],P$1,RM_PM_Quantity[Location],$D46,RM_PM_Quantity[Section],$C46,RM_PM_Quantity[RM Name],$E46)+IF($D46="MIND/Pre-Production",SUMIFS(RM_PM_Quantity[Quantity],RM_PM_Quantity[Date],P$1,RM_PM_Quantity[Location],"MIDC/Pre-Production",RM_PM_Quantity[Section],$C46,RM_PM_Quantity[RM Name],$E46),0)</f>
        <v>0</v>
      </c>
      <c r="Q46" s="84">
        <f>SUMIFS(RM_PM_Quantity[Quantity],RM_PM_Quantity[Date],Q$1,RM_PM_Quantity[Location],$D46,RM_PM_Quantity[Section],$C46,RM_PM_Quantity[RM Name],$E46)+IF($D46="MIND/Pre-Production",SUMIFS(RM_PM_Quantity[Quantity],RM_PM_Quantity[Date],Q$1,RM_PM_Quantity[Location],"MIDC/Pre-Production",RM_PM_Quantity[Section],$C46,RM_PM_Quantity[RM Name],$E46),0)</f>
        <v>0</v>
      </c>
      <c r="R46" s="84">
        <f>SUMIFS(RM_PM_Quantity[Quantity],RM_PM_Quantity[Date],R$1,RM_PM_Quantity[Location],$D46,RM_PM_Quantity[Section],$C46,RM_PM_Quantity[RM Name],$E46)+IF($D46="MIND/Pre-Production",SUMIFS(RM_PM_Quantity[Quantity],RM_PM_Quantity[Date],R$1,RM_PM_Quantity[Location],"MIDC/Pre-Production",RM_PM_Quantity[Section],$C46,RM_PM_Quantity[RM Name],$E46),0)</f>
        <v>0</v>
      </c>
      <c r="S46" s="84">
        <f>SUMIFS(RM_PM_Quantity[Quantity],RM_PM_Quantity[Date],S$1,RM_PM_Quantity[Location],$D46,RM_PM_Quantity[Section],$C46,RM_PM_Quantity[RM Name],$E46)+IF($D46="MIND/Pre-Production",SUMIFS(RM_PM_Quantity[Quantity],RM_PM_Quantity[Date],S$1,RM_PM_Quantity[Location],"MIDC/Pre-Production",RM_PM_Quantity[Section],$C46,RM_PM_Quantity[RM Name],$E46),0)</f>
        <v>0</v>
      </c>
      <c r="T46" s="84">
        <f>SUMIFS(RM_PM_Quantity[Quantity],RM_PM_Quantity[Date],T$1,RM_PM_Quantity[Location],$D46,RM_PM_Quantity[Section],$C46,RM_PM_Quantity[RM Name],$E46)+IF($D46="MIND/Pre-Production",SUMIFS(RM_PM_Quantity[Quantity],RM_PM_Quantity[Date],T$1,RM_PM_Quantity[Location],"MIDC/Pre-Production",RM_PM_Quantity[Section],$C46,RM_PM_Quantity[RM Name],$E46),0)</f>
        <v>0</v>
      </c>
      <c r="U46" s="84">
        <f>SUMIFS(RM_PM_Quantity[Quantity],RM_PM_Quantity[Date],U$1,RM_PM_Quantity[Location],$D46,RM_PM_Quantity[Section],$C46,RM_PM_Quantity[RM Name],$E46)+IF($D46="MIND/Pre-Production",SUMIFS(RM_PM_Quantity[Quantity],RM_PM_Quantity[Date],U$1,RM_PM_Quantity[Location],"MIDC/Pre-Production",RM_PM_Quantity[Section],$C46,RM_PM_Quantity[RM Name],$E46),0)</f>
        <v>0</v>
      </c>
      <c r="V46" s="84">
        <f>SUMIFS(RM_PM_Quantity[Quantity],RM_PM_Quantity[Date],V$1,RM_PM_Quantity[Location],$D46,RM_PM_Quantity[Section],$C46,RM_PM_Quantity[RM Name],$E46)+IF($D46="MIND/Pre-Production",SUMIFS(RM_PM_Quantity[Quantity],RM_PM_Quantity[Date],V$1,RM_PM_Quantity[Location],"MIDC/Pre-Production",RM_PM_Quantity[Section],$C46,RM_PM_Quantity[RM Name],$E46),0)</f>
        <v>0</v>
      </c>
      <c r="W46" s="84">
        <f>SUMIFS(RM_PM_Quantity[Quantity],RM_PM_Quantity[Date],W$1,RM_PM_Quantity[Location],$D46,RM_PM_Quantity[Section],$C46,RM_PM_Quantity[RM Name],$E46)+IF($D46="MIND/Pre-Production",SUMIFS(RM_PM_Quantity[Quantity],RM_PM_Quantity[Date],W$1,RM_PM_Quantity[Location],"MIDC/Pre-Production",RM_PM_Quantity[Section],$C46,RM_PM_Quantity[RM Name],$E46),0)</f>
        <v>0</v>
      </c>
      <c r="X46" s="84">
        <f>SUMIFS(RM_PM_Quantity[Quantity],RM_PM_Quantity[Date],X$1,RM_PM_Quantity[Location],$D46,RM_PM_Quantity[Section],$C46,RM_PM_Quantity[RM Name],$E46)+IF($D46="MIND/Pre-Production",SUMIFS(RM_PM_Quantity[Quantity],RM_PM_Quantity[Date],X$1,RM_PM_Quantity[Location],"MIDC/Pre-Production",RM_PM_Quantity[Section],$C46,RM_PM_Quantity[RM Name],$E46),0)</f>
        <v>2400</v>
      </c>
      <c r="Y46" s="84">
        <f>SUMIFS(RM_PM_Quantity[Quantity],RM_PM_Quantity[Date],Y$1,RM_PM_Quantity[Location],$D46,RM_PM_Quantity[Section],$C46,RM_PM_Quantity[RM Name],$E46)+IF($D46="MIND/Pre-Production",SUMIFS(RM_PM_Quantity[Quantity],RM_PM_Quantity[Date],Y$1,RM_PM_Quantity[Location],"MIDC/Pre-Production",RM_PM_Quantity[Section],$C46,RM_PM_Quantity[RM Name],$E46),0)</f>
        <v>2240</v>
      </c>
      <c r="Z46" s="84">
        <f>SUMIFS(RM_PM_Quantity[Quantity],RM_PM_Quantity[Date],Z$1,RM_PM_Quantity[Location],$D46,RM_PM_Quantity[Section],$C46,RM_PM_Quantity[RM Name],$E46)+IF($D46="MIND/Pre-Production",SUMIFS(RM_PM_Quantity[Quantity],RM_PM_Quantity[Date],Z$1,RM_PM_Quantity[Location],"MIDC/Pre-Production",RM_PM_Quantity[Section],$C46,RM_PM_Quantity[RM Name],$E46),0)</f>
        <v>2400</v>
      </c>
      <c r="AA46" s="84">
        <f>SUMIFS(RM_PM_Quantity[Quantity],RM_PM_Quantity[Date],AA$1,RM_PM_Quantity[Location],$D46,RM_PM_Quantity[Section],$C46,RM_PM_Quantity[RM Name],$E46)+IF($D46="MIND/Pre-Production",SUMIFS(RM_PM_Quantity[Quantity],RM_PM_Quantity[Date],AA$1,RM_PM_Quantity[Location],"MIDC/Pre-Production",RM_PM_Quantity[Section],$C46,RM_PM_Quantity[RM Name],$E46),0)</f>
        <v>4375</v>
      </c>
      <c r="AB46" s="84">
        <f>SUMIFS(RM_PM_Quantity[Quantity],RM_PM_Quantity[Date],AB$1,RM_PM_Quantity[Location],$D46,RM_PM_Quantity[Section],$C46,RM_PM_Quantity[RM Name],$E46)+IF($D46="MIND/Pre-Production",SUMIFS(RM_PM_Quantity[Quantity],RM_PM_Quantity[Date],AB$1,RM_PM_Quantity[Location],"MIDC/Pre-Production",RM_PM_Quantity[Section],$C46,RM_PM_Quantity[RM Name],$E46),0)</f>
        <v>2300</v>
      </c>
      <c r="AC46" s="84">
        <f>SUMIFS(RM_PM_Quantity[Quantity],RM_PM_Quantity[Date],AC$1,RM_PM_Quantity[Location],$D46,RM_PM_Quantity[Section],$C46,RM_PM_Quantity[RM Name],$E46)+IF($D46="MIND/Pre-Production",SUMIFS(RM_PM_Quantity[Quantity],RM_PM_Quantity[Date],AC$1,RM_PM_Quantity[Location],"MIDC/Pre-Production",RM_PM_Quantity[Section],$C46,RM_PM_Quantity[RM Name],$E46),0)</f>
        <v>3150</v>
      </c>
      <c r="AD46" s="84">
        <f>SUMIFS(RM_PM_Quantity[Quantity],RM_PM_Quantity[Date],AD$1,RM_PM_Quantity[Location],$D46,RM_PM_Quantity[Section],$C46,RM_PM_Quantity[RM Name],$E46)+IF($D46="MIND/Pre-Production",SUMIFS(RM_PM_Quantity[Quantity],RM_PM_Quantity[Date],AD$1,RM_PM_Quantity[Location],"MIDC/Pre-Production",RM_PM_Quantity[Section],$C46,RM_PM_Quantity[RM Name],$E46),0)</f>
        <v>0</v>
      </c>
      <c r="AE46" s="84">
        <f>SUMIFS(RM_PM_Quantity[Quantity],RM_PM_Quantity[Date],AE$1,RM_PM_Quantity[Location],$D46,RM_PM_Quantity[Section],$C46,RM_PM_Quantity[RM Name],$E46)+IF($D46="MIND/Pre-Production",SUMIFS(RM_PM_Quantity[Quantity],RM_PM_Quantity[Date],AE$1,RM_PM_Quantity[Location],"MIDC/Pre-Production",RM_PM_Quantity[Section],$C46,RM_PM_Quantity[RM Name],$E46),0)</f>
        <v>0</v>
      </c>
      <c r="AF46" s="84">
        <f>SUMIFS(RM_PM_Quantity[Quantity],RM_PM_Quantity[Date],AF$1,RM_PM_Quantity[Location],$D46,RM_PM_Quantity[Section],$C46,RM_PM_Quantity[RM Name],$E46)+IF($D46="MIND/Pre-Production",SUMIFS(RM_PM_Quantity[Quantity],RM_PM_Quantity[Date],AF$1,RM_PM_Quantity[Location],"MIDC/Pre-Production",RM_PM_Quantity[Section],$C46,RM_PM_Quantity[RM Name],$E46),0)</f>
        <v>2375</v>
      </c>
      <c r="AG46" s="84">
        <f>SUMIFS(RM_PM_Quantity[Quantity],RM_PM_Quantity[Date],AG$1,RM_PM_Quantity[Location],$D46,RM_PM_Quantity[Section],$C46,RM_PM_Quantity[RM Name],$E46)+IF($D46="MIND/Pre-Production",SUMIFS(RM_PM_Quantity[Quantity],RM_PM_Quantity[Date],AG$1,RM_PM_Quantity[Location],"MIDC/Pre-Production",RM_PM_Quantity[Section],$C46,RM_PM_Quantity[RM Name],$E46),0)</f>
        <v>2560</v>
      </c>
      <c r="AH46" s="84">
        <f>SUMIFS(RM_PM_Quantity[Quantity],RM_PM_Quantity[Date],AH$1,RM_PM_Quantity[Location],$D46,RM_PM_Quantity[Section],$C46,RM_PM_Quantity[RM Name],$E46)+IF($D46="MIND/Pre-Production",SUMIFS(RM_PM_Quantity[Quantity],RM_PM_Quantity[Date],AH$1,RM_PM_Quantity[Location],"MIDC/Pre-Production",RM_PM_Quantity[Section],$C46,RM_PM_Quantity[RM Name],$E46),0)</f>
        <v>0</v>
      </c>
      <c r="AI46" s="84">
        <f>SUMIFS(RM_PM_Quantity[Quantity],RM_PM_Quantity[Date],AI$1,RM_PM_Quantity[Location],$D46,RM_PM_Quantity[Section],$C46,RM_PM_Quantity[RM Name],$E46)+IF($D46="MIND/Pre-Production",SUMIFS(RM_PM_Quantity[Quantity],RM_PM_Quantity[Date],AI$1,RM_PM_Quantity[Location],"MIDC/Pre-Production",RM_PM_Quantity[Section],$C46,RM_PM_Quantity[RM Name],$E46),0)</f>
        <v>6005</v>
      </c>
      <c r="AJ46" s="84">
        <f>SUMIFS(RM_PM_Quantity[Quantity],RM_PM_Quantity[Date],AJ$1,RM_PM_Quantity[Location],$D46,RM_PM_Quantity[Section],$C46,RM_PM_Quantity[RM Name],$E46)+IF($D46="MIND/Pre-Production",SUMIFS(RM_PM_Quantity[Quantity],RM_PM_Quantity[Date],AJ$1,RM_PM_Quantity[Location],"MIDC/Pre-Production",RM_PM_Quantity[Section],$C46,RM_PM_Quantity[RM Name],$E46),0)</f>
        <v>0</v>
      </c>
      <c r="AK46" s="84">
        <f>SUMIFS(RM_PM_Quantity[Quantity],RM_PM_Quantity[Date],AK$1,RM_PM_Quantity[Location],$D46,RM_PM_Quantity[Section],$C46,RM_PM_Quantity[RM Name],$E46)+IF($D46="MIND/Pre-Production",SUMIFS(RM_PM_Quantity[Quantity],RM_PM_Quantity[Date],AK$1,RM_PM_Quantity[Location],"MIDC/Pre-Production",RM_PM_Quantity[Section],$C46,RM_PM_Quantity[RM Name],$E46),0)</f>
        <v>0</v>
      </c>
      <c r="AL46" s="84">
        <f>SUMIFS(RM_PM_Quantity[Quantity],RM_PM_Quantity[Date],AL$1,RM_PM_Quantity[Location],$D46,RM_PM_Quantity[Section],$C46,RM_PM_Quantity[RM Name],$E46)+IF($D46="MIND/Pre-Production",SUMIFS(RM_PM_Quantity[Quantity],RM_PM_Quantity[Date],AL$1,RM_PM_Quantity[Location],"MIDC/Pre-Production",RM_PM_Quantity[Section],$C46,RM_PM_Quantity[RM Name],$E46),0)</f>
        <v>5400</v>
      </c>
      <c r="AM46" s="84">
        <f>SUMIFS(RM_PM_Quantity[Quantity],RM_PM_Quantity[Date],AM$1,RM_PM_Quantity[Location],$D46,RM_PM_Quantity[Section],$C46,RM_PM_Quantity[RM Name],$E46)+IF($D46="MIND/Pre-Production",SUMIFS(RM_PM_Quantity[Quantity],RM_PM_Quantity[Date],AM$1,RM_PM_Quantity[Location],"MIDC/Pre-Production",RM_PM_Quantity[Section],$C46,RM_PM_Quantity[RM Name],$E46),0)</f>
        <v>0</v>
      </c>
      <c r="AN46" s="84">
        <f>SUMIFS(RM_PM_Quantity[Quantity],RM_PM_Quantity[Date],AN$1,RM_PM_Quantity[Location],$D46,RM_PM_Quantity[Section],$C46,RM_PM_Quantity[RM Name],$E46)+IF($D46="MIND/Pre-Production",SUMIFS(RM_PM_Quantity[Quantity],RM_PM_Quantity[Date],AN$1,RM_PM_Quantity[Location],"MIDC/Pre-Production",RM_PM_Quantity[Section],$C46,RM_PM_Quantity[RM Name],$E46),0)</f>
        <v>0</v>
      </c>
      <c r="AO46" s="84">
        <f>SUMIFS(RM_PM_Quantity[Quantity],RM_PM_Quantity[Date],AO$1,RM_PM_Quantity[Location],$D46,RM_PM_Quantity[Section],$C46,RM_PM_Quantity[RM Name],$E46)+IF($D46="MIND/Pre-Production",SUMIFS(RM_PM_Quantity[Quantity],RM_PM_Quantity[Date],AO$1,RM_PM_Quantity[Location],"MIDC/Pre-Production",RM_PM_Quantity[Section],$C46,RM_PM_Quantity[RM Name],$E46),0)</f>
        <v>2800</v>
      </c>
      <c r="AP46" s="84">
        <f>SUMIFS(RM_PM_Quantity[Quantity],RM_PM_Quantity[Date],AP$1,RM_PM_Quantity[Location],$D46,RM_PM_Quantity[Section],$C46,RM_PM_Quantity[RM Name],$E46)+IF($D46="MIND/Pre-Production",SUMIFS(RM_PM_Quantity[Quantity],RM_PM_Quantity[Date],AP$1,RM_PM_Quantity[Location],"MIDC/Pre-Production",RM_PM_Quantity[Section],$C46,RM_PM_Quantity[RM Name],$E46),0)</f>
        <v>2800</v>
      </c>
      <c r="AQ46" s="84">
        <f>SUMIFS(RM_PM_Quantity[Quantity],RM_PM_Quantity[Date],AQ$1,RM_PM_Quantity[Location],$D46,RM_PM_Quantity[Section],$C46,RM_PM_Quantity[RM Name],$E46)+IF($D46="MIND/Pre-Production",SUMIFS(RM_PM_Quantity[Quantity],RM_PM_Quantity[Date],AQ$1,RM_PM_Quantity[Location],"MIDC/Pre-Production",RM_PM_Quantity[Section],$C46,RM_PM_Quantity[RM Name],$E46),0)</f>
        <v>0</v>
      </c>
      <c r="AR46" s="84">
        <f>SUMIFS(RM_PM_Quantity[Quantity],RM_PM_Quantity[Date],AR$1,RM_PM_Quantity[Location],$D46,RM_PM_Quantity[Section],$C46,RM_PM_Quantity[RM Name],$E46)+IF($D46="MIND/Pre-Production",SUMIFS(RM_PM_Quantity[Quantity],RM_PM_Quantity[Date],AR$1,RM_PM_Quantity[Location],"MIDC/Pre-Production",RM_PM_Quantity[Section],$C46,RM_PM_Quantity[RM Name],$E46),0)</f>
        <v>0</v>
      </c>
      <c r="AS46" s="84">
        <f>SUMIFS(RM_PM_Quantity[Quantity],RM_PM_Quantity[Date],AS$1,RM_PM_Quantity[Location],$D46,RM_PM_Quantity[Section],$C46,RM_PM_Quantity[RM Name],$E46)+IF($D46="MIND/Pre-Production",SUMIFS(RM_PM_Quantity[Quantity],RM_PM_Quantity[Date],AS$1,RM_PM_Quantity[Location],"MIDC/Pre-Production",RM_PM_Quantity[Section],$C46,RM_PM_Quantity[RM Name],$E46),0)</f>
        <v>6325</v>
      </c>
      <c r="AT46" s="84">
        <f>SUMIFS(RM_PM_Quantity[Quantity],RM_PM_Quantity[Date],AT$1,RM_PM_Quantity[Location],$D46,RM_PM_Quantity[Section],$C46,RM_PM_Quantity[RM Name],$E46)+IF($D46="MIND/Pre-Production",SUMIFS(RM_PM_Quantity[Quantity],RM_PM_Quantity[Date],AT$1,RM_PM_Quantity[Location],"MIDC/Pre-Production",RM_PM_Quantity[Section],$C46,RM_PM_Quantity[RM Name],$E46),0)</f>
        <v>2800</v>
      </c>
      <c r="AU46" s="84">
        <f>SUMIFS(RM_PM_Quantity[Quantity],RM_PM_Quantity[Date],AU$1,RM_PM_Quantity[Location],$D46,RM_PM_Quantity[Section],$C46,RM_PM_Quantity[RM Name],$E46)+IF($D46="MIND/Pre-Production",SUMIFS(RM_PM_Quantity[Quantity],RM_PM_Quantity[Date],AU$1,RM_PM_Quantity[Location],"MIDC/Pre-Production",RM_PM_Quantity[Section],$C46,RM_PM_Quantity[RM Name],$E46),0)</f>
        <v>4320</v>
      </c>
      <c r="AV46" s="84">
        <f>SUMIFS(RM_PM_Quantity[Quantity],RM_PM_Quantity[Date],AV$1,RM_PM_Quantity[Location],$D46,RM_PM_Quantity[Section],$C46,RM_PM_Quantity[RM Name],$E46)+IF($D46="MIND/Pre-Production",SUMIFS(RM_PM_Quantity[Quantity],RM_PM_Quantity[Date],AV$1,RM_PM_Quantity[Location],"MIDC/Pre-Production",RM_PM_Quantity[Section],$C46,RM_PM_Quantity[RM Name],$E46),0)</f>
        <v>0</v>
      </c>
      <c r="AW46" s="84">
        <f>SUMIFS(RM_PM_Quantity[Quantity],RM_PM_Quantity[Date],AW$1,RM_PM_Quantity[Location],$D46,RM_PM_Quantity[Section],$C46,RM_PM_Quantity[RM Name],$E46)+IF($D46="MIND/Pre-Production",SUMIFS(RM_PM_Quantity[Quantity],RM_PM_Quantity[Date],AW$1,RM_PM_Quantity[Location],"MIDC/Pre-Production",RM_PM_Quantity[Section],$C46,RM_PM_Quantity[RM Name],$E46),0)</f>
        <v>0</v>
      </c>
      <c r="AX46" s="84">
        <f>SUMIFS(RM_PM_Quantity[Quantity],RM_PM_Quantity[Date],AX$1,RM_PM_Quantity[Location],$D46,RM_PM_Quantity[Section],$C46,RM_PM_Quantity[RM Name],$E46)+IF($D46="MIND/Pre-Production",SUMIFS(RM_PM_Quantity[Quantity],RM_PM_Quantity[Date],AX$1,RM_PM_Quantity[Location],"MIDC/Pre-Production",RM_PM_Quantity[Section],$C46,RM_PM_Quantity[RM Name],$E46),0)</f>
        <v>12025</v>
      </c>
      <c r="AY46" s="84">
        <f>SUMIFS(RM_PM_Quantity[Quantity],RM_PM_Quantity[Date],AY$1,RM_PM_Quantity[Location],$D46,RM_PM_Quantity[Section],$C46,RM_PM_Quantity[RM Name],$E46)+IF($D46="MIND/Pre-Production",SUMIFS(RM_PM_Quantity[Quantity],RM_PM_Quantity[Date],AY$1,RM_PM_Quantity[Location],"MIDC/Pre-Production",RM_PM_Quantity[Section],$C46,RM_PM_Quantity[RM Name],$E46),0)</f>
        <v>0</v>
      </c>
      <c r="AZ46" s="84">
        <f>SUMIFS(RM_PM_Quantity[Quantity],RM_PM_Quantity[Date],AZ$1,RM_PM_Quantity[Location],$D46,RM_PM_Quantity[Section],$C46,RM_PM_Quantity[RM Name],$E46)+IF($D46="MIND/Pre-Production",SUMIFS(RM_PM_Quantity[Quantity],RM_PM_Quantity[Date],AZ$1,RM_PM_Quantity[Location],"MIDC/Pre-Production",RM_PM_Quantity[Section],$C46,RM_PM_Quantity[RM Name],$E46),0)</f>
        <v>4700</v>
      </c>
      <c r="BA46" s="84">
        <f>SUMIFS(RM_PM_Quantity[Quantity],RM_PM_Quantity[Date],BA$1,RM_PM_Quantity[Location],$D46,RM_PM_Quantity[Section],$C46,RM_PM_Quantity[RM Name],$E46)+IF($D46="MIND/Pre-Production",SUMIFS(RM_PM_Quantity[Quantity],RM_PM_Quantity[Date],BA$1,RM_PM_Quantity[Location],"MIDC/Pre-Production",RM_PM_Quantity[Section],$C46,RM_PM_Quantity[RM Name],$E46),0)</f>
        <v>4700</v>
      </c>
      <c r="BB46" s="84">
        <f>SUMIFS(RM_PM_Quantity[Quantity],RM_PM_Quantity[Date],BB$1,RM_PM_Quantity[Location],$D46,RM_PM_Quantity[Section],$C46,RM_PM_Quantity[RM Name],$E46)+IF($D46="MIND/Pre-Production",SUMIFS(RM_PM_Quantity[Quantity],RM_PM_Quantity[Date],BB$1,RM_PM_Quantity[Location],"MIDC/Pre-Production",RM_PM_Quantity[Section],$C46,RM_PM_Quantity[RM Name],$E46),0)</f>
        <v>5600</v>
      </c>
      <c r="BC46" s="84">
        <f>SUMIFS(RM_PM_Quantity[Quantity],RM_PM_Quantity[Date],BC$1,RM_PM_Quantity[Location],$D46,RM_PM_Quantity[Section],$C46,RM_PM_Quantity[RM Name],$E46)+IF($D46="MIND/Pre-Production",SUMIFS(RM_PM_Quantity[Quantity],RM_PM_Quantity[Date],BC$1,RM_PM_Quantity[Location],"MIDC/Pre-Production",RM_PM_Quantity[Section],$C46,RM_PM_Quantity[RM Name],$E46),0)</f>
        <v>9945</v>
      </c>
      <c r="BD46" s="84">
        <f>SUMIFS(RM_PM_Quantity[Quantity],RM_PM_Quantity[Date],BD$1,RM_PM_Quantity[Location],$D46,RM_PM_Quantity[Section],$C46,RM_PM_Quantity[RM Name],$E46)+IF($D46="MIND/Pre-Production",SUMIFS(RM_PM_Quantity[Quantity],RM_PM_Quantity[Date],BD$1,RM_PM_Quantity[Location],"MIDC/Pre-Production",RM_PM_Quantity[Section],$C46,RM_PM_Quantity[RM Name],$E46),0)</f>
        <v>6745</v>
      </c>
      <c r="BE46" s="84">
        <f>SUMIFS(RM_PM_Quantity[Quantity],RM_PM_Quantity[Date],BE$1,RM_PM_Quantity[Location],$D46,RM_PM_Quantity[Section],$C46,RM_PM_Quantity[RM Name],$E46)+IF($D46="MIND/Pre-Production",SUMIFS(RM_PM_Quantity[Quantity],RM_PM_Quantity[Date],BE$1,RM_PM_Quantity[Location],"MIDC/Pre-Production",RM_PM_Quantity[Section],$C46,RM_PM_Quantity[RM Name],$E46),0)</f>
        <v>0</v>
      </c>
      <c r="BF46" s="84">
        <f>SUMIFS(RM_PM_Quantity[Quantity],RM_PM_Quantity[Date],BF$1,RM_PM_Quantity[Location],$D46,RM_PM_Quantity[Section],$C46,RM_PM_Quantity[RM Name],$E46)+IF($D46="MIND/Pre-Production",SUMIFS(RM_PM_Quantity[Quantity],RM_PM_Quantity[Date],BF$1,RM_PM_Quantity[Location],"MIDC/Pre-Production",RM_PM_Quantity[Section],$C46,RM_PM_Quantity[RM Name],$E46),0)</f>
        <v>0</v>
      </c>
      <c r="BG46" s="84">
        <f>SUMIFS(RM_PM_Quantity[Quantity],RM_PM_Quantity[Date],BG$1,RM_PM_Quantity[Location],$D46,RM_PM_Quantity[Section],$C46,RM_PM_Quantity[RM Name],$E46)+IF($D46="MIND/Pre-Production",SUMIFS(RM_PM_Quantity[Quantity],RM_PM_Quantity[Date],BG$1,RM_PM_Quantity[Location],"MIDC/Pre-Production",RM_PM_Quantity[Section],$C46,RM_PM_Quantity[RM Name],$E46),0)</f>
        <v>0</v>
      </c>
      <c r="BH46" s="84">
        <f>SUMIFS(RM_PM_Quantity[Quantity],RM_PM_Quantity[Date],BH$1,RM_PM_Quantity[Location],$D46,RM_PM_Quantity[Section],$C46,RM_PM_Quantity[RM Name],$E46)+IF($D46="MIND/Pre-Production",SUMIFS(RM_PM_Quantity[Quantity],RM_PM_Quantity[Date],BH$1,RM_PM_Quantity[Location],"MIDC/Pre-Production",RM_PM_Quantity[Section],$C46,RM_PM_Quantity[RM Name],$E46),0)</f>
        <v>0</v>
      </c>
      <c r="BI46" s="84">
        <f>SUMIFS(RM_PM_Quantity[Quantity],RM_PM_Quantity[Date],BI$1,RM_PM_Quantity[Location],$D46,RM_PM_Quantity[Section],$C46,RM_PM_Quantity[RM Name],$E46)+IF($D46="MIND/Pre-Production",SUMIFS(RM_PM_Quantity[Quantity],RM_PM_Quantity[Date],BI$1,RM_PM_Quantity[Location],"MIDC/Pre-Production",RM_PM_Quantity[Section],$C46,RM_PM_Quantity[RM Name],$E46),0)</f>
        <v>0</v>
      </c>
      <c r="BJ46" s="84">
        <f>SUMIFS(RM_PM_Quantity[Quantity],RM_PM_Quantity[Date],BJ$1,RM_PM_Quantity[Location],$D46,RM_PM_Quantity[Section],$C46,RM_PM_Quantity[RM Name],$E46)+IF($D46="MIND/Pre-Production",SUMIFS(RM_PM_Quantity[Quantity],RM_PM_Quantity[Date],BJ$1,RM_PM_Quantity[Location],"MIDC/Pre-Production",RM_PM_Quantity[Section],$C46,RM_PM_Quantity[RM Name],$E46),0)</f>
        <v>0</v>
      </c>
      <c r="BK46" s="84">
        <f>SUMIFS(RM_PM_Quantity[Quantity],RM_PM_Quantity[Date],BK$1,RM_PM_Quantity[Location],$D46,RM_PM_Quantity[Section],$C46,RM_PM_Quantity[RM Name],$E46)+IF($D46="MIND/Pre-Production",SUMIFS(RM_PM_Quantity[Quantity],RM_PM_Quantity[Date],BK$1,RM_PM_Quantity[Location],"MIDC/Pre-Production",RM_PM_Quantity[Section],$C46,RM_PM_Quantity[RM Name],$E46),0)</f>
        <v>0</v>
      </c>
      <c r="BL46" s="84">
        <f>SUMIFS(RM_PM_Quantity[Quantity],RM_PM_Quantity[Date],BL$1,RM_PM_Quantity[Location],$D46,RM_PM_Quantity[Section],$C46,RM_PM_Quantity[RM Name],$E46)+IF($D46="MIND/Pre-Production",SUMIFS(RM_PM_Quantity[Quantity],RM_PM_Quantity[Date],BL$1,RM_PM_Quantity[Location],"MIDC/Pre-Production",RM_PM_Quantity[Section],$C46,RM_PM_Quantity[RM Name],$E46),0)</f>
        <v>0</v>
      </c>
      <c r="BM46" s="84">
        <f>SUMIFS(RM_PM_Quantity[Quantity],RM_PM_Quantity[Date],BM$1,RM_PM_Quantity[Location],$D46,RM_PM_Quantity[Section],$C46,RM_PM_Quantity[RM Name],$E46)+IF($D46="MIND/Pre-Production",SUMIFS(RM_PM_Quantity[Quantity],RM_PM_Quantity[Date],BM$1,RM_PM_Quantity[Location],"MIDC/Pre-Production",RM_PM_Quantity[Section],$C46,RM_PM_Quantity[RM Name],$E46),0)</f>
        <v>0</v>
      </c>
      <c r="BN46" s="84">
        <f>SUMIFS(RM_PM_Quantity[Quantity],RM_PM_Quantity[Date],BN$1,RM_PM_Quantity[Location],$D46,RM_PM_Quantity[Section],$C46,RM_PM_Quantity[RM Name],$E46)+IF($D46="MIND/Pre-Production",SUMIFS(RM_PM_Quantity[Quantity],RM_PM_Quantity[Date],BN$1,RM_PM_Quantity[Location],"MIDC/Pre-Production",RM_PM_Quantity[Section],$C46,RM_PM_Quantity[RM Name],$E46),0)</f>
        <v>0</v>
      </c>
      <c r="BO46" s="84">
        <f>SUMIFS(RM_PM_Quantity[Quantity],RM_PM_Quantity[Date],BO$1,RM_PM_Quantity[Location],$D46,RM_PM_Quantity[Section],$C46,RM_PM_Quantity[RM Name],$E46)+IF($D46="MIND/Pre-Production",SUMIFS(RM_PM_Quantity[Quantity],RM_PM_Quantity[Date],BO$1,RM_PM_Quantity[Location],"MIDC/Pre-Production",RM_PM_Quantity[Section],$C46,RM_PM_Quantity[RM Name],$E46),0)</f>
        <v>0</v>
      </c>
      <c r="BP46" s="84">
        <f>SUMIFS(RM_PM_Quantity[Quantity],RM_PM_Quantity[Date],BP$1,RM_PM_Quantity[Location],$D46,RM_PM_Quantity[Section],$C46,RM_PM_Quantity[RM Name],$E46)+IF($D46="MIND/Pre-Production",SUMIFS(RM_PM_Quantity[Quantity],RM_PM_Quantity[Date],BP$1,RM_PM_Quantity[Location],"MIDC/Pre-Production",RM_PM_Quantity[Section],$C46,RM_PM_Quantity[RM Name],$E46),0)</f>
        <v>0</v>
      </c>
      <c r="BQ46" s="84">
        <f>SUMIFS(RM_PM_Quantity[Quantity],RM_PM_Quantity[Date],BQ$1,RM_PM_Quantity[Location],$D46,RM_PM_Quantity[Section],$C46,RM_PM_Quantity[RM Name],$E46)+IF($D46="MIND/Pre-Production",SUMIFS(RM_PM_Quantity[Quantity],RM_PM_Quantity[Date],BQ$1,RM_PM_Quantity[Location],"MIDC/Pre-Production",RM_PM_Quantity[Section],$C46,RM_PM_Quantity[RM Name],$E46),0)</f>
        <v>0</v>
      </c>
      <c r="BR46" s="84">
        <f>SUMIFS(RM_PM_Quantity[Quantity],RM_PM_Quantity[Date],BR$1,RM_PM_Quantity[Location],$D46,RM_PM_Quantity[Section],$C46,RM_PM_Quantity[RM Name],$E46)+IF($D46="MIND/Pre-Production",SUMIFS(RM_PM_Quantity[Quantity],RM_PM_Quantity[Date],BR$1,RM_PM_Quantity[Location],"MIDC/Pre-Production",RM_PM_Quantity[Section],$C46,RM_PM_Quantity[RM Name],$E46),0)</f>
        <v>0</v>
      </c>
      <c r="BS46" s="84">
        <f>SUMIFS(RM_PM_Quantity[Quantity],RM_PM_Quantity[Date],BS$1,RM_PM_Quantity[Location],$D46,RM_PM_Quantity[Section],$C46,RM_PM_Quantity[RM Name],$E46)+IF($D46="MIND/Pre-Production",SUMIFS(RM_PM_Quantity[Quantity],RM_PM_Quantity[Date],BS$1,RM_PM_Quantity[Location],"MIDC/Pre-Production",RM_PM_Quantity[Section],$C46,RM_PM_Quantity[RM Name],$E46),0)</f>
        <v>0</v>
      </c>
      <c r="BT46" s="84">
        <f>SUMIFS(RM_PM_Quantity[ID],RM_PM_Quantity[Location],BT$1,RM_PM_Quantity[Section],$D46,RM_PM_Quantity[RM Name],$C46,RM_PM_Quantity[Quantity],$E46)+IF($D46="MIND/Pre-Production",SUMIFS(RM_PM_Quantity[ID],RM_PM_Quantity[Location],BT$1,RM_PM_Quantity[Section],"MIDC/Pre-Production",RM_PM_Quantity[RM Name],$C46,RM_PM_Quantity[Quantity],$E46),0)</f>
        <v>0</v>
      </c>
      <c r="BU46" s="84">
        <f>SUMIFS(RM_PM_Quantity[Name of Supervisor],RM_PM_Quantity[Section],BU$1,RM_PM_Quantity[RM Name],$D46,RM_PM_Quantity[Quantity],$C46,RM_PM_Quantity[ID],$E46)+IF($D46="MIND/Pre-Production",SUMIFS(RM_PM_Quantity[Name of Supervisor],RM_PM_Quantity[Section],BU$1,RM_PM_Quantity[RM Name],"MIDC/Pre-Production",RM_PM_Quantity[Quantity],$C46,RM_PM_Quantity[ID],$E46),0)</f>
        <v>0</v>
      </c>
      <c r="BV46" s="84">
        <f>SUMIFS(RM_PM_Quantity[Date],RM_PM_Quantity[RM Name],BV$1,RM_PM_Quantity[Quantity],$D46,RM_PM_Quantity[ID],$C46,RM_PM_Quantity[Name of Supervisor],$E46)+IF($D46="MIND/Pre-Production",SUMIFS(RM_PM_Quantity[Date],RM_PM_Quantity[RM Name],BV$1,RM_PM_Quantity[Quantity],"MIDC/Pre-Production",RM_PM_Quantity[ID],$C46,RM_PM_Quantity[Name of Supervisor],$E46),0)</f>
        <v>0</v>
      </c>
      <c r="BW46" s="84">
        <f>SUMIFS(RM_PM_Quantity[Location],RM_PM_Quantity[Quantity],BW$1,RM_PM_Quantity[ID],$D46,RM_PM_Quantity[Name of Supervisor],$C46,RM_PM_Quantity[Date],$E46)+IF($D46="MIND/Pre-Production",SUMIFS(RM_PM_Quantity[Location],RM_PM_Quantity[Quantity],BW$1,RM_PM_Quantity[ID],"MIDC/Pre-Production",RM_PM_Quantity[Name of Supervisor],$C46,RM_PM_Quantity[Date],$E46),0)</f>
        <v>0</v>
      </c>
      <c r="BX46" s="84">
        <f>SUMIFS(RM_PM_Quantity[Section],RM_PM_Quantity[ID],BX$1,RM_PM_Quantity[Name of Supervisor],$D46,RM_PM_Quantity[Date],$C46,RM_PM_Quantity[Location],$E46)+IF($D46="MIND/Pre-Production",SUMIFS(RM_PM_Quantity[Section],RM_PM_Quantity[ID],BX$1,RM_PM_Quantity[Name of Supervisor],"MIDC/Pre-Production",RM_PM_Quantity[Date],$C46,RM_PM_Quantity[Location],$E46),0)</f>
        <v>0</v>
      </c>
      <c r="BY46" s="84">
        <f>SUMIFS(RM_PM_Quantity[RM Name],RM_PM_Quantity[Name of Supervisor],BY$1,RM_PM_Quantity[Date],$D46,RM_PM_Quantity[Location],$C46,RM_PM_Quantity[Section],$E46)+IF($D46="MIND/Pre-Production",SUMIFS(RM_PM_Quantity[RM Name],RM_PM_Quantity[Name of Supervisor],BY$1,RM_PM_Quantity[Date],"MIDC/Pre-Production",RM_PM_Quantity[Location],$C46,RM_PM_Quantity[Section],$E46),0)</f>
        <v>0</v>
      </c>
    </row>
    <row r="47" spans="1:77" ht="45.75" customHeight="1">
      <c r="A47" s="79">
        <v>46</v>
      </c>
      <c r="B47" s="87" t="s">
        <v>136</v>
      </c>
      <c r="C47" s="80" t="s">
        <v>132</v>
      </c>
      <c r="D47" s="81" t="s">
        <v>54</v>
      </c>
      <c r="E47" s="82" t="s">
        <v>137</v>
      </c>
      <c r="F47" s="83">
        <f>IFERROR(_xlfn.XLOOKUP(B47,'[1]RM Tracker'!B:B,'[1]RM Tracker'!E:E),"0")</f>
        <v>0</v>
      </c>
      <c r="G47" s="85">
        <f t="shared" si="2"/>
        <v>0</v>
      </c>
      <c r="H47" s="85">
        <f t="shared" si="3"/>
        <v>0</v>
      </c>
      <c r="I47" s="91">
        <f t="shared" si="4"/>
        <v>0</v>
      </c>
      <c r="J47" s="84">
        <f>SUMIFS(RM_PM_Quantity[Quantity],RM_PM_Quantity[Date],J$1,RM_PM_Quantity[Location],$D47,RM_PM_Quantity[Section],$C47,RM_PM_Quantity[RM Name],$E47)+IF($D47="MIND/Pre-Production",SUMIFS(RM_PM_Quantity[Quantity],RM_PM_Quantity[Date],J$1,RM_PM_Quantity[Location],"MIDC/Pre-Production",RM_PM_Quantity[Section],$C47,RM_PM_Quantity[RM Name],$E47),0)</f>
        <v>0</v>
      </c>
      <c r="K47" s="84">
        <f>SUMIFS(RM_PM_Quantity[Quantity],RM_PM_Quantity[Date],K$1,RM_PM_Quantity[Location],$D47,RM_PM_Quantity[Section],$C47,RM_PM_Quantity[RM Name],$E47)+IF($D47="MIND/Pre-Production",SUMIFS(RM_PM_Quantity[Quantity],RM_PM_Quantity[Date],K$1,RM_PM_Quantity[Location],"MIDC/Pre-Production",RM_PM_Quantity[Section],$C47,RM_PM_Quantity[RM Name],$E47),0)</f>
        <v>0</v>
      </c>
      <c r="L47" s="84">
        <f>SUMIFS(RM_PM_Quantity[Quantity],RM_PM_Quantity[Date],L$1,RM_PM_Quantity[Location],$D47,RM_PM_Quantity[Section],$C47,RM_PM_Quantity[RM Name],$E47)+IF($D47="MIND/Pre-Production",SUMIFS(RM_PM_Quantity[Quantity],RM_PM_Quantity[Date],L$1,RM_PM_Quantity[Location],"MIDC/Pre-Production",RM_PM_Quantity[Section],$C47,RM_PM_Quantity[RM Name],$E47),0)</f>
        <v>0</v>
      </c>
      <c r="M47" s="84">
        <f>SUMIFS(RM_PM_Quantity[Quantity],RM_PM_Quantity[Date],M$1,RM_PM_Quantity[Location],$D47,RM_PM_Quantity[Section],$C47,RM_PM_Quantity[RM Name],$E47)+IF($D47="MIND/Pre-Production",SUMIFS(RM_PM_Quantity[Quantity],RM_PM_Quantity[Date],M$1,RM_PM_Quantity[Location],"MIDC/Pre-Production",RM_PM_Quantity[Section],$C47,RM_PM_Quantity[RM Name],$E47),0)</f>
        <v>0</v>
      </c>
      <c r="N47" s="84">
        <f>SUMIFS(RM_PM_Quantity[Quantity],RM_PM_Quantity[Date],N$1,RM_PM_Quantity[Location],$D47,RM_PM_Quantity[Section],$C47,RM_PM_Quantity[RM Name],$E47)+IF($D47="MIND/Pre-Production",SUMIFS(RM_PM_Quantity[Quantity],RM_PM_Quantity[Date],N$1,RM_PM_Quantity[Location],"MIDC/Pre-Production",RM_PM_Quantity[Section],$C47,RM_PM_Quantity[RM Name],$E47),0)</f>
        <v>0</v>
      </c>
      <c r="O47" s="84">
        <f>SUMIFS(RM_PM_Quantity[Quantity],RM_PM_Quantity[Date],O$1,RM_PM_Quantity[Location],$D47,RM_PM_Quantity[Section],$C47,RM_PM_Quantity[RM Name],$E47)+IF($D47="MIND/Pre-Production",SUMIFS(RM_PM_Quantity[Quantity],RM_PM_Quantity[Date],O$1,RM_PM_Quantity[Location],"MIDC/Pre-Production",RM_PM_Quantity[Section],$C47,RM_PM_Quantity[RM Name],$E47),0)</f>
        <v>0</v>
      </c>
      <c r="P47" s="84">
        <f>SUMIFS(RM_PM_Quantity[Quantity],RM_PM_Quantity[Date],P$1,RM_PM_Quantity[Location],$D47,RM_PM_Quantity[Section],$C47,RM_PM_Quantity[RM Name],$E47)+IF($D47="MIND/Pre-Production",SUMIFS(RM_PM_Quantity[Quantity],RM_PM_Quantity[Date],P$1,RM_PM_Quantity[Location],"MIDC/Pre-Production",RM_PM_Quantity[Section],$C47,RM_PM_Quantity[RM Name],$E47),0)</f>
        <v>0</v>
      </c>
      <c r="Q47" s="84">
        <f>SUMIFS(RM_PM_Quantity[Quantity],RM_PM_Quantity[Date],Q$1,RM_PM_Quantity[Location],$D47,RM_PM_Quantity[Section],$C47,RM_PM_Quantity[RM Name],$E47)+IF($D47="MIND/Pre-Production",SUMIFS(RM_PM_Quantity[Quantity],RM_PM_Quantity[Date],Q$1,RM_PM_Quantity[Location],"MIDC/Pre-Production",RM_PM_Quantity[Section],$C47,RM_PM_Quantity[RM Name],$E47),0)</f>
        <v>0</v>
      </c>
      <c r="R47" s="84">
        <f>SUMIFS(RM_PM_Quantity[Quantity],RM_PM_Quantity[Date],R$1,RM_PM_Quantity[Location],$D47,RM_PM_Quantity[Section],$C47,RM_PM_Quantity[RM Name],$E47)+IF($D47="MIND/Pre-Production",SUMIFS(RM_PM_Quantity[Quantity],RM_PM_Quantity[Date],R$1,RM_PM_Quantity[Location],"MIDC/Pre-Production",RM_PM_Quantity[Section],$C47,RM_PM_Quantity[RM Name],$E47),0)</f>
        <v>0</v>
      </c>
      <c r="S47" s="84">
        <f>SUMIFS(RM_PM_Quantity[Quantity],RM_PM_Quantity[Date],S$1,RM_PM_Quantity[Location],$D47,RM_PM_Quantity[Section],$C47,RM_PM_Quantity[RM Name],$E47)+IF($D47="MIND/Pre-Production",SUMIFS(RM_PM_Quantity[Quantity],RM_PM_Quantity[Date],S$1,RM_PM_Quantity[Location],"MIDC/Pre-Production",RM_PM_Quantity[Section],$C47,RM_PM_Quantity[RM Name],$E47),0)</f>
        <v>0</v>
      </c>
      <c r="T47" s="84">
        <f>SUMIFS(RM_PM_Quantity[Quantity],RM_PM_Quantity[Date],T$1,RM_PM_Quantity[Location],$D47,RM_PM_Quantity[Section],$C47,RM_PM_Quantity[RM Name],$E47)+IF($D47="MIND/Pre-Production",SUMIFS(RM_PM_Quantity[Quantity],RM_PM_Quantity[Date],T$1,RM_PM_Quantity[Location],"MIDC/Pre-Production",RM_PM_Quantity[Section],$C47,RM_PM_Quantity[RM Name],$E47),0)</f>
        <v>0</v>
      </c>
      <c r="U47" s="84">
        <f>SUMIFS(RM_PM_Quantity[Quantity],RM_PM_Quantity[Date],U$1,RM_PM_Quantity[Location],$D47,RM_PM_Quantity[Section],$C47,RM_PM_Quantity[RM Name],$E47)+IF($D47="MIND/Pre-Production",SUMIFS(RM_PM_Quantity[Quantity],RM_PM_Quantity[Date],U$1,RM_PM_Quantity[Location],"MIDC/Pre-Production",RM_PM_Quantity[Section],$C47,RM_PM_Quantity[RM Name],$E47),0)</f>
        <v>0</v>
      </c>
      <c r="V47" s="84">
        <f>SUMIFS(RM_PM_Quantity[Quantity],RM_PM_Quantity[Date],V$1,RM_PM_Quantity[Location],$D47,RM_PM_Quantity[Section],$C47,RM_PM_Quantity[RM Name],$E47)+IF($D47="MIND/Pre-Production",SUMIFS(RM_PM_Quantity[Quantity],RM_PM_Quantity[Date],V$1,RM_PM_Quantity[Location],"MIDC/Pre-Production",RM_PM_Quantity[Section],$C47,RM_PM_Quantity[RM Name],$E47),0)</f>
        <v>0</v>
      </c>
      <c r="W47" s="84">
        <f>SUMIFS(RM_PM_Quantity[Quantity],RM_PM_Quantity[Date],W$1,RM_PM_Quantity[Location],$D47,RM_PM_Quantity[Section],$C47,RM_PM_Quantity[RM Name],$E47)+IF($D47="MIND/Pre-Production",SUMIFS(RM_PM_Quantity[Quantity],RM_PM_Quantity[Date],W$1,RM_PM_Quantity[Location],"MIDC/Pre-Production",RM_PM_Quantity[Section],$C47,RM_PM_Quantity[RM Name],$E47),0)</f>
        <v>0</v>
      </c>
      <c r="X47" s="84">
        <f>SUMIFS(RM_PM_Quantity[Quantity],RM_PM_Quantity[Date],X$1,RM_PM_Quantity[Location],$D47,RM_PM_Quantity[Section],$C47,RM_PM_Quantity[RM Name],$E47)+IF($D47="MIND/Pre-Production",SUMIFS(RM_PM_Quantity[Quantity],RM_PM_Quantity[Date],X$1,RM_PM_Quantity[Location],"MIDC/Pre-Production",RM_PM_Quantity[Section],$C47,RM_PM_Quantity[RM Name],$E47),0)</f>
        <v>0</v>
      </c>
      <c r="Y47" s="84">
        <f>SUMIFS(RM_PM_Quantity[Quantity],RM_PM_Quantity[Date],Y$1,RM_PM_Quantity[Location],$D47,RM_PM_Quantity[Section],$C47,RM_PM_Quantity[RM Name],$E47)+IF($D47="MIND/Pre-Production",SUMIFS(RM_PM_Quantity[Quantity],RM_PM_Quantity[Date],Y$1,RM_PM_Quantity[Location],"MIDC/Pre-Production",RM_PM_Quantity[Section],$C47,RM_PM_Quantity[RM Name],$E47),0)</f>
        <v>0</v>
      </c>
      <c r="Z47" s="84">
        <f>SUMIFS(RM_PM_Quantity[Quantity],RM_PM_Quantity[Date],Z$1,RM_PM_Quantity[Location],$D47,RM_PM_Quantity[Section],$C47,RM_PM_Quantity[RM Name],$E47)+IF($D47="MIND/Pre-Production",SUMIFS(RM_PM_Quantity[Quantity],RM_PM_Quantity[Date],Z$1,RM_PM_Quantity[Location],"MIDC/Pre-Production",RM_PM_Quantity[Section],$C47,RM_PM_Quantity[RM Name],$E47),0)</f>
        <v>0</v>
      </c>
      <c r="AA47" s="84">
        <f>SUMIFS(RM_PM_Quantity[Quantity],RM_PM_Quantity[Date],AA$1,RM_PM_Quantity[Location],$D47,RM_PM_Quantity[Section],$C47,RM_PM_Quantity[RM Name],$E47)+IF($D47="MIND/Pre-Production",SUMIFS(RM_PM_Quantity[Quantity],RM_PM_Quantity[Date],AA$1,RM_PM_Quantity[Location],"MIDC/Pre-Production",RM_PM_Quantity[Section],$C47,RM_PM_Quantity[RM Name],$E47),0)</f>
        <v>0</v>
      </c>
      <c r="AB47" s="84">
        <f>SUMIFS(RM_PM_Quantity[Quantity],RM_PM_Quantity[Date],AB$1,RM_PM_Quantity[Location],$D47,RM_PM_Quantity[Section],$C47,RM_PM_Quantity[RM Name],$E47)+IF($D47="MIND/Pre-Production",SUMIFS(RM_PM_Quantity[Quantity],RM_PM_Quantity[Date],AB$1,RM_PM_Quantity[Location],"MIDC/Pre-Production",RM_PM_Quantity[Section],$C47,RM_PM_Quantity[RM Name],$E47),0)</f>
        <v>0</v>
      </c>
      <c r="AC47" s="84">
        <f>SUMIFS(RM_PM_Quantity[Quantity],RM_PM_Quantity[Date],AC$1,RM_PM_Quantity[Location],$D47,RM_PM_Quantity[Section],$C47,RM_PM_Quantity[RM Name],$E47)+IF($D47="MIND/Pre-Production",SUMIFS(RM_PM_Quantity[Quantity],RM_PM_Quantity[Date],AC$1,RM_PM_Quantity[Location],"MIDC/Pre-Production",RM_PM_Quantity[Section],$C47,RM_PM_Quantity[RM Name],$E47),0)</f>
        <v>0</v>
      </c>
      <c r="AD47" s="84">
        <f>SUMIFS(RM_PM_Quantity[Quantity],RM_PM_Quantity[Date],AD$1,RM_PM_Quantity[Location],$D47,RM_PM_Quantity[Section],$C47,RM_PM_Quantity[RM Name],$E47)+IF($D47="MIND/Pre-Production",SUMIFS(RM_PM_Quantity[Quantity],RM_PM_Quantity[Date],AD$1,RM_PM_Quantity[Location],"MIDC/Pre-Production",RM_PM_Quantity[Section],$C47,RM_PM_Quantity[RM Name],$E47),0)</f>
        <v>0</v>
      </c>
      <c r="AE47" s="84">
        <f>SUMIFS(RM_PM_Quantity[Quantity],RM_PM_Quantity[Date],AE$1,RM_PM_Quantity[Location],$D47,RM_PM_Quantity[Section],$C47,RM_PM_Quantity[RM Name],$E47)+IF($D47="MIND/Pre-Production",SUMIFS(RM_PM_Quantity[Quantity],RM_PM_Quantity[Date],AE$1,RM_PM_Quantity[Location],"MIDC/Pre-Production",RM_PM_Quantity[Section],$C47,RM_PM_Quantity[RM Name],$E47),0)</f>
        <v>0</v>
      </c>
      <c r="AF47" s="84">
        <f>SUMIFS(RM_PM_Quantity[Quantity],RM_PM_Quantity[Date],AF$1,RM_PM_Quantity[Location],$D47,RM_PM_Quantity[Section],$C47,RM_PM_Quantity[RM Name],$E47)+IF($D47="MIND/Pre-Production",SUMIFS(RM_PM_Quantity[Quantity],RM_PM_Quantity[Date],AF$1,RM_PM_Quantity[Location],"MIDC/Pre-Production",RM_PM_Quantity[Section],$C47,RM_PM_Quantity[RM Name],$E47),0)</f>
        <v>0</v>
      </c>
      <c r="AG47" s="84">
        <f>SUMIFS(RM_PM_Quantity[Quantity],RM_PM_Quantity[Date],AG$1,RM_PM_Quantity[Location],$D47,RM_PM_Quantity[Section],$C47,RM_PM_Quantity[RM Name],$E47)+IF($D47="MIND/Pre-Production",SUMIFS(RM_PM_Quantity[Quantity],RM_PM_Quantity[Date],AG$1,RM_PM_Quantity[Location],"MIDC/Pre-Production",RM_PM_Quantity[Section],$C47,RM_PM_Quantity[RM Name],$E47),0)</f>
        <v>0</v>
      </c>
      <c r="AH47" s="84">
        <f>SUMIFS(RM_PM_Quantity[Quantity],RM_PM_Quantity[Date],AH$1,RM_PM_Quantity[Location],$D47,RM_PM_Quantity[Section],$C47,RM_PM_Quantity[RM Name],$E47)+IF($D47="MIND/Pre-Production",SUMIFS(RM_PM_Quantity[Quantity],RM_PM_Quantity[Date],AH$1,RM_PM_Quantity[Location],"MIDC/Pre-Production",RM_PM_Quantity[Section],$C47,RM_PM_Quantity[RM Name],$E47),0)</f>
        <v>0</v>
      </c>
      <c r="AI47" s="84">
        <f>SUMIFS(RM_PM_Quantity[Quantity],RM_PM_Quantity[Date],AI$1,RM_PM_Quantity[Location],$D47,RM_PM_Quantity[Section],$C47,RM_PM_Quantity[RM Name],$E47)+IF($D47="MIND/Pre-Production",SUMIFS(RM_PM_Quantity[Quantity],RM_PM_Quantity[Date],AI$1,RM_PM_Quantity[Location],"MIDC/Pre-Production",RM_PM_Quantity[Section],$C47,RM_PM_Quantity[RM Name],$E47),0)</f>
        <v>0</v>
      </c>
      <c r="AJ47" s="84">
        <f>SUMIFS(RM_PM_Quantity[Quantity],RM_PM_Quantity[Date],AJ$1,RM_PM_Quantity[Location],$D47,RM_PM_Quantity[Section],$C47,RM_PM_Quantity[RM Name],$E47)+IF($D47="MIND/Pre-Production",SUMIFS(RM_PM_Quantity[Quantity],RM_PM_Quantity[Date],AJ$1,RM_PM_Quantity[Location],"MIDC/Pre-Production",RM_PM_Quantity[Section],$C47,RM_PM_Quantity[RM Name],$E47),0)</f>
        <v>0</v>
      </c>
      <c r="AK47" s="84">
        <f>SUMIFS(RM_PM_Quantity[Quantity],RM_PM_Quantity[Date],AK$1,RM_PM_Quantity[Location],$D47,RM_PM_Quantity[Section],$C47,RM_PM_Quantity[RM Name],$E47)+IF($D47="MIND/Pre-Production",SUMIFS(RM_PM_Quantity[Quantity],RM_PM_Quantity[Date],AK$1,RM_PM_Quantity[Location],"MIDC/Pre-Production",RM_PM_Quantity[Section],$C47,RM_PM_Quantity[RM Name],$E47),0)</f>
        <v>0</v>
      </c>
      <c r="AL47" s="84">
        <f>SUMIFS(RM_PM_Quantity[Quantity],RM_PM_Quantity[Date],AL$1,RM_PM_Quantity[Location],$D47,RM_PM_Quantity[Section],$C47,RM_PM_Quantity[RM Name],$E47)+IF($D47="MIND/Pre-Production",SUMIFS(RM_PM_Quantity[Quantity],RM_PM_Quantity[Date],AL$1,RM_PM_Quantity[Location],"MIDC/Pre-Production",RM_PM_Quantity[Section],$C47,RM_PM_Quantity[RM Name],$E47),0)</f>
        <v>0</v>
      </c>
      <c r="AM47" s="84">
        <f>SUMIFS(RM_PM_Quantity[Quantity],RM_PM_Quantity[Date],AM$1,RM_PM_Quantity[Location],$D47,RM_PM_Quantity[Section],$C47,RM_PM_Quantity[RM Name],$E47)+IF($D47="MIND/Pre-Production",SUMIFS(RM_PM_Quantity[Quantity],RM_PM_Quantity[Date],AM$1,RM_PM_Quantity[Location],"MIDC/Pre-Production",RM_PM_Quantity[Section],$C47,RM_PM_Quantity[RM Name],$E47),0)</f>
        <v>0</v>
      </c>
      <c r="AN47" s="84">
        <f>SUMIFS(RM_PM_Quantity[Quantity],RM_PM_Quantity[Date],AN$1,RM_PM_Quantity[Location],$D47,RM_PM_Quantity[Section],$C47,RM_PM_Quantity[RM Name],$E47)+IF($D47="MIND/Pre-Production",SUMIFS(RM_PM_Quantity[Quantity],RM_PM_Quantity[Date],AN$1,RM_PM_Quantity[Location],"MIDC/Pre-Production",RM_PM_Quantity[Section],$C47,RM_PM_Quantity[RM Name],$E47),0)</f>
        <v>0</v>
      </c>
      <c r="AO47" s="84">
        <f>SUMIFS(RM_PM_Quantity[Quantity],RM_PM_Quantity[Date],AO$1,RM_PM_Quantity[Location],$D47,RM_PM_Quantity[Section],$C47,RM_PM_Quantity[RM Name],$E47)+IF($D47="MIND/Pre-Production",SUMIFS(RM_PM_Quantity[Quantity],RM_PM_Quantity[Date],AO$1,RM_PM_Quantity[Location],"MIDC/Pre-Production",RM_PM_Quantity[Section],$C47,RM_PM_Quantity[RM Name],$E47),0)</f>
        <v>0</v>
      </c>
      <c r="AP47" s="84">
        <f>SUMIFS(RM_PM_Quantity[Quantity],RM_PM_Quantity[Date],AP$1,RM_PM_Quantity[Location],$D47,RM_PM_Quantity[Section],$C47,RM_PM_Quantity[RM Name],$E47)+IF($D47="MIND/Pre-Production",SUMIFS(RM_PM_Quantity[Quantity],RM_PM_Quantity[Date],AP$1,RM_PM_Quantity[Location],"MIDC/Pre-Production",RM_PM_Quantity[Section],$C47,RM_PM_Quantity[RM Name],$E47),0)</f>
        <v>0</v>
      </c>
      <c r="AQ47" s="84">
        <f>SUMIFS(RM_PM_Quantity[Quantity],RM_PM_Quantity[Date],AQ$1,RM_PM_Quantity[Location],$D47,RM_PM_Quantity[Section],$C47,RM_PM_Quantity[RM Name],$E47)+IF($D47="MIND/Pre-Production",SUMIFS(RM_PM_Quantity[Quantity],RM_PM_Quantity[Date],AQ$1,RM_PM_Quantity[Location],"MIDC/Pre-Production",RM_PM_Quantity[Section],$C47,RM_PM_Quantity[RM Name],$E47),0)</f>
        <v>0</v>
      </c>
      <c r="AR47" s="84">
        <f>SUMIFS(RM_PM_Quantity[Quantity],RM_PM_Quantity[Date],AR$1,RM_PM_Quantity[Location],$D47,RM_PM_Quantity[Section],$C47,RM_PM_Quantity[RM Name],$E47)+IF($D47="MIND/Pre-Production",SUMIFS(RM_PM_Quantity[Quantity],RM_PM_Quantity[Date],AR$1,RM_PM_Quantity[Location],"MIDC/Pre-Production",RM_PM_Quantity[Section],$C47,RM_PM_Quantity[RM Name],$E47),0)</f>
        <v>0</v>
      </c>
      <c r="AS47" s="84">
        <f>SUMIFS(RM_PM_Quantity[Quantity],RM_PM_Quantity[Date],AS$1,RM_PM_Quantity[Location],$D47,RM_PM_Quantity[Section],$C47,RM_PM_Quantity[RM Name],$E47)+IF($D47="MIND/Pre-Production",SUMIFS(RM_PM_Quantity[Quantity],RM_PM_Quantity[Date],AS$1,RM_PM_Quantity[Location],"MIDC/Pre-Production",RM_PM_Quantity[Section],$C47,RM_PM_Quantity[RM Name],$E47),0)</f>
        <v>0</v>
      </c>
      <c r="AT47" s="84">
        <f>SUMIFS(RM_PM_Quantity[Quantity],RM_PM_Quantity[Date],AT$1,RM_PM_Quantity[Location],$D47,RM_PM_Quantity[Section],$C47,RM_PM_Quantity[RM Name],$E47)+IF($D47="MIND/Pre-Production",SUMIFS(RM_PM_Quantity[Quantity],RM_PM_Quantity[Date],AT$1,RM_PM_Quantity[Location],"MIDC/Pre-Production",RM_PM_Quantity[Section],$C47,RM_PM_Quantity[RM Name],$E47),0)</f>
        <v>0</v>
      </c>
      <c r="AU47" s="84">
        <f>SUMIFS(RM_PM_Quantity[Quantity],RM_PM_Quantity[Date],AU$1,RM_PM_Quantity[Location],$D47,RM_PM_Quantity[Section],$C47,RM_PM_Quantity[RM Name],$E47)+IF($D47="MIND/Pre-Production",SUMIFS(RM_PM_Quantity[Quantity],RM_PM_Quantity[Date],AU$1,RM_PM_Quantity[Location],"MIDC/Pre-Production",RM_PM_Quantity[Section],$C47,RM_PM_Quantity[RM Name],$E47),0)</f>
        <v>0</v>
      </c>
      <c r="AV47" s="84">
        <f>SUMIFS(RM_PM_Quantity[Quantity],RM_PM_Quantity[Date],AV$1,RM_PM_Quantity[Location],$D47,RM_PM_Quantity[Section],$C47,RM_PM_Quantity[RM Name],$E47)+IF($D47="MIND/Pre-Production",SUMIFS(RM_PM_Quantity[Quantity],RM_PM_Quantity[Date],AV$1,RM_PM_Quantity[Location],"MIDC/Pre-Production",RM_PM_Quantity[Section],$C47,RM_PM_Quantity[RM Name],$E47),0)</f>
        <v>0</v>
      </c>
      <c r="AW47" s="84">
        <f>SUMIFS(RM_PM_Quantity[Quantity],RM_PM_Quantity[Date],AW$1,RM_PM_Quantity[Location],$D47,RM_PM_Quantity[Section],$C47,RM_PM_Quantity[RM Name],$E47)+IF($D47="MIND/Pre-Production",SUMIFS(RM_PM_Quantity[Quantity],RM_PM_Quantity[Date],AW$1,RM_PM_Quantity[Location],"MIDC/Pre-Production",RM_PM_Quantity[Section],$C47,RM_PM_Quantity[RM Name],$E47),0)</f>
        <v>0</v>
      </c>
      <c r="AX47" s="84">
        <f>SUMIFS(RM_PM_Quantity[Quantity],RM_PM_Quantity[Date],AX$1,RM_PM_Quantity[Location],$D47,RM_PM_Quantity[Section],$C47,RM_PM_Quantity[RM Name],$E47)+IF($D47="MIND/Pre-Production",SUMIFS(RM_PM_Quantity[Quantity],RM_PM_Quantity[Date],AX$1,RM_PM_Quantity[Location],"MIDC/Pre-Production",RM_PM_Quantity[Section],$C47,RM_PM_Quantity[RM Name],$E47),0)</f>
        <v>0</v>
      </c>
      <c r="AY47" s="84">
        <f>SUMIFS(RM_PM_Quantity[Quantity],RM_PM_Quantity[Date],AY$1,RM_PM_Quantity[Location],$D47,RM_PM_Quantity[Section],$C47,RM_PM_Quantity[RM Name],$E47)+IF($D47="MIND/Pre-Production",SUMIFS(RM_PM_Quantity[Quantity],RM_PM_Quantity[Date],AY$1,RM_PM_Quantity[Location],"MIDC/Pre-Production",RM_PM_Quantity[Section],$C47,RM_PM_Quantity[RM Name],$E47),0)</f>
        <v>0</v>
      </c>
      <c r="AZ47" s="84">
        <f>SUMIFS(RM_PM_Quantity[Quantity],RM_PM_Quantity[Date],AZ$1,RM_PM_Quantity[Location],$D47,RM_PM_Quantity[Section],$C47,RM_PM_Quantity[RM Name],$E47)+IF($D47="MIND/Pre-Production",SUMIFS(RM_PM_Quantity[Quantity],RM_PM_Quantity[Date],AZ$1,RM_PM_Quantity[Location],"MIDC/Pre-Production",RM_PM_Quantity[Section],$C47,RM_PM_Quantity[RM Name],$E47),0)</f>
        <v>0</v>
      </c>
      <c r="BA47" s="84">
        <f>SUMIFS(RM_PM_Quantity[Quantity],RM_PM_Quantity[Date],BA$1,RM_PM_Quantity[Location],$D47,RM_PM_Quantity[Section],$C47,RM_PM_Quantity[RM Name],$E47)+IF($D47="MIND/Pre-Production",SUMIFS(RM_PM_Quantity[Quantity],RM_PM_Quantity[Date],BA$1,RM_PM_Quantity[Location],"MIDC/Pre-Production",RM_PM_Quantity[Section],$C47,RM_PM_Quantity[RM Name],$E47),0)</f>
        <v>0</v>
      </c>
      <c r="BB47" s="84">
        <f>SUMIFS(RM_PM_Quantity[Quantity],RM_PM_Quantity[Date],BB$1,RM_PM_Quantity[Location],$D47,RM_PM_Quantity[Section],$C47,RM_PM_Quantity[RM Name],$E47)+IF($D47="MIND/Pre-Production",SUMIFS(RM_PM_Quantity[Quantity],RM_PM_Quantity[Date],BB$1,RM_PM_Quantity[Location],"MIDC/Pre-Production",RM_PM_Quantity[Section],$C47,RM_PM_Quantity[RM Name],$E47),0)</f>
        <v>0</v>
      </c>
      <c r="BC47" s="84">
        <f>SUMIFS(RM_PM_Quantity[Quantity],RM_PM_Quantity[Date],BC$1,RM_PM_Quantity[Location],$D47,RM_PM_Quantity[Section],$C47,RM_PM_Quantity[RM Name],$E47)+IF($D47="MIND/Pre-Production",SUMIFS(RM_PM_Quantity[Quantity],RM_PM_Quantity[Date],BC$1,RM_PM_Quantity[Location],"MIDC/Pre-Production",RM_PM_Quantity[Section],$C47,RM_PM_Quantity[RM Name],$E47),0)</f>
        <v>0</v>
      </c>
      <c r="BD47" s="84">
        <f>SUMIFS(RM_PM_Quantity[Quantity],RM_PM_Quantity[Date],BD$1,RM_PM_Quantity[Location],$D47,RM_PM_Quantity[Section],$C47,RM_PM_Quantity[RM Name],$E47)+IF($D47="MIND/Pre-Production",SUMIFS(RM_PM_Quantity[Quantity],RM_PM_Quantity[Date],BD$1,RM_PM_Quantity[Location],"MIDC/Pre-Production",RM_PM_Quantity[Section],$C47,RM_PM_Quantity[RM Name],$E47),0)</f>
        <v>0</v>
      </c>
      <c r="BE47" s="84">
        <f>SUMIFS(RM_PM_Quantity[Quantity],RM_PM_Quantity[Date],BE$1,RM_PM_Quantity[Location],$D47,RM_PM_Quantity[Section],$C47,RM_PM_Quantity[RM Name],$E47)+IF($D47="MIND/Pre-Production",SUMIFS(RM_PM_Quantity[Quantity],RM_PM_Quantity[Date],BE$1,RM_PM_Quantity[Location],"MIDC/Pre-Production",RM_PM_Quantity[Section],$C47,RM_PM_Quantity[RM Name],$E47),0)</f>
        <v>0</v>
      </c>
      <c r="BF47" s="84">
        <f>SUMIFS(RM_PM_Quantity[Quantity],RM_PM_Quantity[Date],BF$1,RM_PM_Quantity[Location],$D47,RM_PM_Quantity[Section],$C47,RM_PM_Quantity[RM Name],$E47)+IF($D47="MIND/Pre-Production",SUMIFS(RM_PM_Quantity[Quantity],RM_PM_Quantity[Date],BF$1,RM_PM_Quantity[Location],"MIDC/Pre-Production",RM_PM_Quantity[Section],$C47,RM_PM_Quantity[RM Name],$E47),0)</f>
        <v>0</v>
      </c>
      <c r="BG47" s="84">
        <f>SUMIFS(RM_PM_Quantity[Quantity],RM_PM_Quantity[Date],BG$1,RM_PM_Quantity[Location],$D47,RM_PM_Quantity[Section],$C47,RM_PM_Quantity[RM Name],$E47)+IF($D47="MIND/Pre-Production",SUMIFS(RM_PM_Quantity[Quantity],RM_PM_Quantity[Date],BG$1,RM_PM_Quantity[Location],"MIDC/Pre-Production",RM_PM_Quantity[Section],$C47,RM_PM_Quantity[RM Name],$E47),0)</f>
        <v>0</v>
      </c>
      <c r="BH47" s="84">
        <f>SUMIFS(RM_PM_Quantity[Quantity],RM_PM_Quantity[Date],BH$1,RM_PM_Quantity[Location],$D47,RM_PM_Quantity[Section],$C47,RM_PM_Quantity[RM Name],$E47)+IF($D47="MIND/Pre-Production",SUMIFS(RM_PM_Quantity[Quantity],RM_PM_Quantity[Date],BH$1,RM_PM_Quantity[Location],"MIDC/Pre-Production",RM_PM_Quantity[Section],$C47,RM_PM_Quantity[RM Name],$E47),0)</f>
        <v>0</v>
      </c>
      <c r="BI47" s="84">
        <f>SUMIFS(RM_PM_Quantity[Quantity],RM_PM_Quantity[Date],BI$1,RM_PM_Quantity[Location],$D47,RM_PM_Quantity[Section],$C47,RM_PM_Quantity[RM Name],$E47)+IF($D47="MIND/Pre-Production",SUMIFS(RM_PM_Quantity[Quantity],RM_PM_Quantity[Date],BI$1,RM_PM_Quantity[Location],"MIDC/Pre-Production",RM_PM_Quantity[Section],$C47,RM_PM_Quantity[RM Name],$E47),0)</f>
        <v>0</v>
      </c>
      <c r="BJ47" s="84">
        <f>SUMIFS(RM_PM_Quantity[Quantity],RM_PM_Quantity[Date],BJ$1,RM_PM_Quantity[Location],$D47,RM_PM_Quantity[Section],$C47,RM_PM_Quantity[RM Name],$E47)+IF($D47="MIND/Pre-Production",SUMIFS(RM_PM_Quantity[Quantity],RM_PM_Quantity[Date],BJ$1,RM_PM_Quantity[Location],"MIDC/Pre-Production",RM_PM_Quantity[Section],$C47,RM_PM_Quantity[RM Name],$E47),0)</f>
        <v>0</v>
      </c>
      <c r="BK47" s="84">
        <f>SUMIFS(RM_PM_Quantity[Quantity],RM_PM_Quantity[Date],BK$1,RM_PM_Quantity[Location],$D47,RM_PM_Quantity[Section],$C47,RM_PM_Quantity[RM Name],$E47)+IF($D47="MIND/Pre-Production",SUMIFS(RM_PM_Quantity[Quantity],RM_PM_Quantity[Date],BK$1,RM_PM_Quantity[Location],"MIDC/Pre-Production",RM_PM_Quantity[Section],$C47,RM_PM_Quantity[RM Name],$E47),0)</f>
        <v>0</v>
      </c>
      <c r="BL47" s="84">
        <f>SUMIFS(RM_PM_Quantity[Quantity],RM_PM_Quantity[Date],BL$1,RM_PM_Quantity[Location],$D47,RM_PM_Quantity[Section],$C47,RM_PM_Quantity[RM Name],$E47)+IF($D47="MIND/Pre-Production",SUMIFS(RM_PM_Quantity[Quantity],RM_PM_Quantity[Date],BL$1,RM_PM_Quantity[Location],"MIDC/Pre-Production",RM_PM_Quantity[Section],$C47,RM_PM_Quantity[RM Name],$E47),0)</f>
        <v>0</v>
      </c>
      <c r="BM47" s="84">
        <f>SUMIFS(RM_PM_Quantity[Quantity],RM_PM_Quantity[Date],BM$1,RM_PM_Quantity[Location],$D47,RM_PM_Quantity[Section],$C47,RM_PM_Quantity[RM Name],$E47)+IF($D47="MIND/Pre-Production",SUMIFS(RM_PM_Quantity[Quantity],RM_PM_Quantity[Date],BM$1,RM_PM_Quantity[Location],"MIDC/Pre-Production",RM_PM_Quantity[Section],$C47,RM_PM_Quantity[RM Name],$E47),0)</f>
        <v>0</v>
      </c>
      <c r="BN47" s="84">
        <f>SUMIFS(RM_PM_Quantity[Quantity],RM_PM_Quantity[Date],BN$1,RM_PM_Quantity[Location],$D47,RM_PM_Quantity[Section],$C47,RM_PM_Quantity[RM Name],$E47)+IF($D47="MIND/Pre-Production",SUMIFS(RM_PM_Quantity[Quantity],RM_PM_Quantity[Date],BN$1,RM_PM_Quantity[Location],"MIDC/Pre-Production",RM_PM_Quantity[Section],$C47,RM_PM_Quantity[RM Name],$E47),0)</f>
        <v>0</v>
      </c>
      <c r="BO47" s="84">
        <f>SUMIFS(RM_PM_Quantity[Quantity],RM_PM_Quantity[Date],BO$1,RM_PM_Quantity[Location],$D47,RM_PM_Quantity[Section],$C47,RM_PM_Quantity[RM Name],$E47)+IF($D47="MIND/Pre-Production",SUMIFS(RM_PM_Quantity[Quantity],RM_PM_Quantity[Date],BO$1,RM_PM_Quantity[Location],"MIDC/Pre-Production",RM_PM_Quantity[Section],$C47,RM_PM_Quantity[RM Name],$E47),0)</f>
        <v>0</v>
      </c>
      <c r="BP47" s="84">
        <f>SUMIFS(RM_PM_Quantity[Quantity],RM_PM_Quantity[Date],BP$1,RM_PM_Quantity[Location],$D47,RM_PM_Quantity[Section],$C47,RM_PM_Quantity[RM Name],$E47)+IF($D47="MIND/Pre-Production",SUMIFS(RM_PM_Quantity[Quantity],RM_PM_Quantity[Date],BP$1,RM_PM_Quantity[Location],"MIDC/Pre-Production",RM_PM_Quantity[Section],$C47,RM_PM_Quantity[RM Name],$E47),0)</f>
        <v>0</v>
      </c>
      <c r="BQ47" s="84">
        <f>SUMIFS(RM_PM_Quantity[Quantity],RM_PM_Quantity[Date],BQ$1,RM_PM_Quantity[Location],$D47,RM_PM_Quantity[Section],$C47,RM_PM_Quantity[RM Name],$E47)+IF($D47="MIND/Pre-Production",SUMIFS(RM_PM_Quantity[Quantity],RM_PM_Quantity[Date],BQ$1,RM_PM_Quantity[Location],"MIDC/Pre-Production",RM_PM_Quantity[Section],$C47,RM_PM_Quantity[RM Name],$E47),0)</f>
        <v>0</v>
      </c>
      <c r="BR47" s="84">
        <f>SUMIFS(RM_PM_Quantity[Quantity],RM_PM_Quantity[Date],BR$1,RM_PM_Quantity[Location],$D47,RM_PM_Quantity[Section],$C47,RM_PM_Quantity[RM Name],$E47)+IF($D47="MIND/Pre-Production",SUMIFS(RM_PM_Quantity[Quantity],RM_PM_Quantity[Date],BR$1,RM_PM_Quantity[Location],"MIDC/Pre-Production",RM_PM_Quantity[Section],$C47,RM_PM_Quantity[RM Name],$E47),0)</f>
        <v>0</v>
      </c>
      <c r="BS47" s="84">
        <f>SUMIFS(RM_PM_Quantity[Quantity],RM_PM_Quantity[Date],BS$1,RM_PM_Quantity[Location],$D47,RM_PM_Quantity[Section],$C47,RM_PM_Quantity[RM Name],$E47)+IF($D47="MIND/Pre-Production",SUMIFS(RM_PM_Quantity[Quantity],RM_PM_Quantity[Date],BS$1,RM_PM_Quantity[Location],"MIDC/Pre-Production",RM_PM_Quantity[Section],$C47,RM_PM_Quantity[RM Name],$E47),0)</f>
        <v>0</v>
      </c>
      <c r="BT47" s="84">
        <f>SUMIFS(RM_PM_Quantity[ID],RM_PM_Quantity[Location],BT$1,RM_PM_Quantity[Section],$D47,RM_PM_Quantity[RM Name],$C47,RM_PM_Quantity[Quantity],$E47)+IF($D47="MIND/Pre-Production",SUMIFS(RM_PM_Quantity[ID],RM_PM_Quantity[Location],BT$1,RM_PM_Quantity[Section],"MIDC/Pre-Production",RM_PM_Quantity[RM Name],$C47,RM_PM_Quantity[Quantity],$E47),0)</f>
        <v>0</v>
      </c>
      <c r="BU47" s="84">
        <f>SUMIFS(RM_PM_Quantity[Name of Supervisor],RM_PM_Quantity[Section],BU$1,RM_PM_Quantity[RM Name],$D47,RM_PM_Quantity[Quantity],$C47,RM_PM_Quantity[ID],$E47)+IF($D47="MIND/Pre-Production",SUMIFS(RM_PM_Quantity[Name of Supervisor],RM_PM_Quantity[Section],BU$1,RM_PM_Quantity[RM Name],"MIDC/Pre-Production",RM_PM_Quantity[Quantity],$C47,RM_PM_Quantity[ID],$E47),0)</f>
        <v>0</v>
      </c>
      <c r="BV47" s="84">
        <f>SUMIFS(RM_PM_Quantity[Date],RM_PM_Quantity[RM Name],BV$1,RM_PM_Quantity[Quantity],$D47,RM_PM_Quantity[ID],$C47,RM_PM_Quantity[Name of Supervisor],$E47)+IF($D47="MIND/Pre-Production",SUMIFS(RM_PM_Quantity[Date],RM_PM_Quantity[RM Name],BV$1,RM_PM_Quantity[Quantity],"MIDC/Pre-Production",RM_PM_Quantity[ID],$C47,RM_PM_Quantity[Name of Supervisor],$E47),0)</f>
        <v>0</v>
      </c>
      <c r="BW47" s="84">
        <f>SUMIFS(RM_PM_Quantity[Location],RM_PM_Quantity[Quantity],BW$1,RM_PM_Quantity[ID],$D47,RM_PM_Quantity[Name of Supervisor],$C47,RM_PM_Quantity[Date],$E47)+IF($D47="MIND/Pre-Production",SUMIFS(RM_PM_Quantity[Location],RM_PM_Quantity[Quantity],BW$1,RM_PM_Quantity[ID],"MIDC/Pre-Production",RM_PM_Quantity[Name of Supervisor],$C47,RM_PM_Quantity[Date],$E47),0)</f>
        <v>0</v>
      </c>
      <c r="BX47" s="84">
        <f>SUMIFS(RM_PM_Quantity[Section],RM_PM_Quantity[ID],BX$1,RM_PM_Quantity[Name of Supervisor],$D47,RM_PM_Quantity[Date],$C47,RM_PM_Quantity[Location],$E47)+IF($D47="MIND/Pre-Production",SUMIFS(RM_PM_Quantity[Section],RM_PM_Quantity[ID],BX$1,RM_PM_Quantity[Name of Supervisor],"MIDC/Pre-Production",RM_PM_Quantity[Date],$C47,RM_PM_Quantity[Location],$E47),0)</f>
        <v>0</v>
      </c>
      <c r="BY47" s="84">
        <f>SUMIFS(RM_PM_Quantity[RM Name],RM_PM_Quantity[Name of Supervisor],BY$1,RM_PM_Quantity[Date],$D47,RM_PM_Quantity[Location],$C47,RM_PM_Quantity[Section],$E47)+IF($D47="MIND/Pre-Production",SUMIFS(RM_PM_Quantity[RM Name],RM_PM_Quantity[Name of Supervisor],BY$1,RM_PM_Quantity[Date],"MIDC/Pre-Production",RM_PM_Quantity[Location],$C47,RM_PM_Quantity[Section],$E47),0)</f>
        <v>0</v>
      </c>
    </row>
    <row r="48" spans="1:77" ht="45.75" customHeight="1">
      <c r="A48" s="79">
        <v>47</v>
      </c>
      <c r="B48" s="79" t="s">
        <v>138</v>
      </c>
      <c r="C48" s="80" t="s">
        <v>132</v>
      </c>
      <c r="D48" s="81" t="s">
        <v>54</v>
      </c>
      <c r="E48" s="82" t="s">
        <v>139</v>
      </c>
      <c r="F48" s="83">
        <f>IFERROR(_xlfn.XLOOKUP(B48,'[1]RM Tracker'!B:B,'[1]RM Tracker'!E:E),"0")</f>
        <v>117200.82</v>
      </c>
      <c r="G48" s="85">
        <f t="shared" si="2"/>
        <v>53078</v>
      </c>
      <c r="H48" s="85">
        <f t="shared" si="3"/>
        <v>-64122.820000000007</v>
      </c>
      <c r="I48" s="91">
        <f t="shared" si="4"/>
        <v>0.45288079042450385</v>
      </c>
      <c r="J48" s="84">
        <f>SUMIFS(RM_PM_Quantity[Quantity],RM_PM_Quantity[Date],J$1,RM_PM_Quantity[Location],$D48,RM_PM_Quantity[Section],$C48,RM_PM_Quantity[RM Name],$E48)+IF($D48="MIND/Pre-Production",SUMIFS(RM_PM_Quantity[Quantity],RM_PM_Quantity[Date],J$1,RM_PM_Quantity[Location],"MIDC/Pre-Production",RM_PM_Quantity[Section],$C48,RM_PM_Quantity[RM Name],$E48),0)</f>
        <v>0</v>
      </c>
      <c r="K48" s="84">
        <f>SUMIFS(RM_PM_Quantity[Quantity],RM_PM_Quantity[Date],K$1,RM_PM_Quantity[Location],$D48,RM_PM_Quantity[Section],$C48,RM_PM_Quantity[RM Name],$E48)+IF($D48="MIND/Pre-Production",SUMIFS(RM_PM_Quantity[Quantity],RM_PM_Quantity[Date],K$1,RM_PM_Quantity[Location],"MIDC/Pre-Production",RM_PM_Quantity[Section],$C48,RM_PM_Quantity[RM Name],$E48),0)</f>
        <v>0</v>
      </c>
      <c r="L48" s="84">
        <f>SUMIFS(RM_PM_Quantity[Quantity],RM_PM_Quantity[Date],L$1,RM_PM_Quantity[Location],$D48,RM_PM_Quantity[Section],$C48,RM_PM_Quantity[RM Name],$E48)+IF($D48="MIND/Pre-Production",SUMIFS(RM_PM_Quantity[Quantity],RM_PM_Quantity[Date],L$1,RM_PM_Quantity[Location],"MIDC/Pre-Production",RM_PM_Quantity[Section],$C48,RM_PM_Quantity[RM Name],$E48),0)</f>
        <v>0</v>
      </c>
      <c r="M48" s="84">
        <f>SUMIFS(RM_PM_Quantity[Quantity],RM_PM_Quantity[Date],M$1,RM_PM_Quantity[Location],$D48,RM_PM_Quantity[Section],$C48,RM_PM_Quantity[RM Name],$E48)+IF($D48="MIND/Pre-Production",SUMIFS(RM_PM_Quantity[Quantity],RM_PM_Quantity[Date],M$1,RM_PM_Quantity[Location],"MIDC/Pre-Production",RM_PM_Quantity[Section],$C48,RM_PM_Quantity[RM Name],$E48),0)</f>
        <v>0</v>
      </c>
      <c r="N48" s="84">
        <f>SUMIFS(RM_PM_Quantity[Quantity],RM_PM_Quantity[Date],N$1,RM_PM_Quantity[Location],$D48,RM_PM_Quantity[Section],$C48,RM_PM_Quantity[RM Name],$E48)+IF($D48="MIND/Pre-Production",SUMIFS(RM_PM_Quantity[Quantity],RM_PM_Quantity[Date],N$1,RM_PM_Quantity[Location],"MIDC/Pre-Production",RM_PM_Quantity[Section],$C48,RM_PM_Quantity[RM Name],$E48),0)</f>
        <v>0</v>
      </c>
      <c r="O48" s="84">
        <f>SUMIFS(RM_PM_Quantity[Quantity],RM_PM_Quantity[Date],O$1,RM_PM_Quantity[Location],$D48,RM_PM_Quantity[Section],$C48,RM_PM_Quantity[RM Name],$E48)+IF($D48="MIND/Pre-Production",SUMIFS(RM_PM_Quantity[Quantity],RM_PM_Quantity[Date],O$1,RM_PM_Quantity[Location],"MIDC/Pre-Production",RM_PM_Quantity[Section],$C48,RM_PM_Quantity[RM Name],$E48),0)</f>
        <v>0</v>
      </c>
      <c r="P48" s="84">
        <f>SUMIFS(RM_PM_Quantity[Quantity],RM_PM_Quantity[Date],P$1,RM_PM_Quantity[Location],$D48,RM_PM_Quantity[Section],$C48,RM_PM_Quantity[RM Name],$E48)+IF($D48="MIND/Pre-Production",SUMIFS(RM_PM_Quantity[Quantity],RM_PM_Quantity[Date],P$1,RM_PM_Quantity[Location],"MIDC/Pre-Production",RM_PM_Quantity[Section],$C48,RM_PM_Quantity[RM Name],$E48),0)</f>
        <v>0</v>
      </c>
      <c r="Q48" s="84">
        <f>SUMIFS(RM_PM_Quantity[Quantity],RM_PM_Quantity[Date],Q$1,RM_PM_Quantity[Location],$D48,RM_PM_Quantity[Section],$C48,RM_PM_Quantity[RM Name],$E48)+IF($D48="MIND/Pre-Production",SUMIFS(RM_PM_Quantity[Quantity],RM_PM_Quantity[Date],Q$1,RM_PM_Quantity[Location],"MIDC/Pre-Production",RM_PM_Quantity[Section],$C48,RM_PM_Quantity[RM Name],$E48),0)</f>
        <v>0</v>
      </c>
      <c r="R48" s="84">
        <f>SUMIFS(RM_PM_Quantity[Quantity],RM_PM_Quantity[Date],R$1,RM_PM_Quantity[Location],$D48,RM_PM_Quantity[Section],$C48,RM_PM_Quantity[RM Name],$E48)+IF($D48="MIND/Pre-Production",SUMIFS(RM_PM_Quantity[Quantity],RM_PM_Quantity[Date],R$1,RM_PM_Quantity[Location],"MIDC/Pre-Production",RM_PM_Quantity[Section],$C48,RM_PM_Quantity[RM Name],$E48),0)</f>
        <v>0</v>
      </c>
      <c r="S48" s="84">
        <f>SUMIFS(RM_PM_Quantity[Quantity],RM_PM_Quantity[Date],S$1,RM_PM_Quantity[Location],$D48,RM_PM_Quantity[Section],$C48,RM_PM_Quantity[RM Name],$E48)+IF($D48="MIND/Pre-Production",SUMIFS(RM_PM_Quantity[Quantity],RM_PM_Quantity[Date],S$1,RM_PM_Quantity[Location],"MIDC/Pre-Production",RM_PM_Quantity[Section],$C48,RM_PM_Quantity[RM Name],$E48),0)</f>
        <v>0</v>
      </c>
      <c r="T48" s="84">
        <f>SUMIFS(RM_PM_Quantity[Quantity],RM_PM_Quantity[Date],T$1,RM_PM_Quantity[Location],$D48,RM_PM_Quantity[Section],$C48,RM_PM_Quantity[RM Name],$E48)+IF($D48="MIND/Pre-Production",SUMIFS(RM_PM_Quantity[Quantity],RM_PM_Quantity[Date],T$1,RM_PM_Quantity[Location],"MIDC/Pre-Production",RM_PM_Quantity[Section],$C48,RM_PM_Quantity[RM Name],$E48),0)</f>
        <v>0</v>
      </c>
      <c r="U48" s="84">
        <f>SUMIFS(RM_PM_Quantity[Quantity],RM_PM_Quantity[Date],U$1,RM_PM_Quantity[Location],$D48,RM_PM_Quantity[Section],$C48,RM_PM_Quantity[RM Name],$E48)+IF($D48="MIND/Pre-Production",SUMIFS(RM_PM_Quantity[Quantity],RM_PM_Quantity[Date],U$1,RM_PM_Quantity[Location],"MIDC/Pre-Production",RM_PM_Quantity[Section],$C48,RM_PM_Quantity[RM Name],$E48),0)</f>
        <v>5100</v>
      </c>
      <c r="V48" s="84">
        <f>SUMIFS(RM_PM_Quantity[Quantity],RM_PM_Quantity[Date],V$1,RM_PM_Quantity[Location],$D48,RM_PM_Quantity[Section],$C48,RM_PM_Quantity[RM Name],$E48)+IF($D48="MIND/Pre-Production",SUMIFS(RM_PM_Quantity[Quantity],RM_PM_Quantity[Date],V$1,RM_PM_Quantity[Location],"MIDC/Pre-Production",RM_PM_Quantity[Section],$C48,RM_PM_Quantity[RM Name],$E48),0)</f>
        <v>1975</v>
      </c>
      <c r="W48" s="84">
        <f>SUMIFS(RM_PM_Quantity[Quantity],RM_PM_Quantity[Date],W$1,RM_PM_Quantity[Location],$D48,RM_PM_Quantity[Section],$C48,RM_PM_Quantity[RM Name],$E48)+IF($D48="MIND/Pre-Production",SUMIFS(RM_PM_Quantity[Quantity],RM_PM_Quantity[Date],W$1,RM_PM_Quantity[Location],"MIDC/Pre-Production",RM_PM_Quantity[Section],$C48,RM_PM_Quantity[RM Name],$E48),0)</f>
        <v>0</v>
      </c>
      <c r="X48" s="84">
        <f>SUMIFS(RM_PM_Quantity[Quantity],RM_PM_Quantity[Date],X$1,RM_PM_Quantity[Location],$D48,RM_PM_Quantity[Section],$C48,RM_PM_Quantity[RM Name],$E48)+IF($D48="MIND/Pre-Production",SUMIFS(RM_PM_Quantity[Quantity],RM_PM_Quantity[Date],X$1,RM_PM_Quantity[Location],"MIDC/Pre-Production",RM_PM_Quantity[Section],$C48,RM_PM_Quantity[RM Name],$E48),0)</f>
        <v>3400</v>
      </c>
      <c r="Y48" s="84">
        <f>SUMIFS(RM_PM_Quantity[Quantity],RM_PM_Quantity[Date],Y$1,RM_PM_Quantity[Location],$D48,RM_PM_Quantity[Section],$C48,RM_PM_Quantity[RM Name],$E48)+IF($D48="MIND/Pre-Production",SUMIFS(RM_PM_Quantity[Quantity],RM_PM_Quantity[Date],Y$1,RM_PM_Quantity[Location],"MIDC/Pre-Production",RM_PM_Quantity[Section],$C48,RM_PM_Quantity[RM Name],$E48),0)</f>
        <v>5700</v>
      </c>
      <c r="Z48" s="84">
        <f>SUMIFS(RM_PM_Quantity[Quantity],RM_PM_Quantity[Date],Z$1,RM_PM_Quantity[Location],$D48,RM_PM_Quantity[Section],$C48,RM_PM_Quantity[RM Name],$E48)+IF($D48="MIND/Pre-Production",SUMIFS(RM_PM_Quantity[Quantity],RM_PM_Quantity[Date],Z$1,RM_PM_Quantity[Location],"MIDC/Pre-Production",RM_PM_Quantity[Section],$C48,RM_PM_Quantity[RM Name],$E48),0)</f>
        <v>0</v>
      </c>
      <c r="AA48" s="84">
        <f>SUMIFS(RM_PM_Quantity[Quantity],RM_PM_Quantity[Date],AA$1,RM_PM_Quantity[Location],$D48,RM_PM_Quantity[Section],$C48,RM_PM_Quantity[RM Name],$E48)+IF($D48="MIND/Pre-Production",SUMIFS(RM_PM_Quantity[Quantity],RM_PM_Quantity[Date],AA$1,RM_PM_Quantity[Location],"MIDC/Pre-Production",RM_PM_Quantity[Section],$C48,RM_PM_Quantity[RM Name],$E48),0)</f>
        <v>14631</v>
      </c>
      <c r="AB48" s="84">
        <f>SUMIFS(RM_PM_Quantity[Quantity],RM_PM_Quantity[Date],AB$1,RM_PM_Quantity[Location],$D48,RM_PM_Quantity[Section],$C48,RM_PM_Quantity[RM Name],$E48)+IF($D48="MIND/Pre-Production",SUMIFS(RM_PM_Quantity[Quantity],RM_PM_Quantity[Date],AB$1,RM_PM_Quantity[Location],"MIDC/Pre-Production",RM_PM_Quantity[Section],$C48,RM_PM_Quantity[RM Name],$E48),0)</f>
        <v>9810</v>
      </c>
      <c r="AC48" s="84">
        <f>SUMIFS(RM_PM_Quantity[Quantity],RM_PM_Quantity[Date],AC$1,RM_PM_Quantity[Location],$D48,RM_PM_Quantity[Section],$C48,RM_PM_Quantity[RM Name],$E48)+IF($D48="MIND/Pre-Production",SUMIFS(RM_PM_Quantity[Quantity],RM_PM_Quantity[Date],AC$1,RM_PM_Quantity[Location],"MIDC/Pre-Production",RM_PM_Quantity[Section],$C48,RM_PM_Quantity[RM Name],$E48),0)</f>
        <v>2214</v>
      </c>
      <c r="AD48" s="84">
        <f>SUMIFS(RM_PM_Quantity[Quantity],RM_PM_Quantity[Date],AD$1,RM_PM_Quantity[Location],$D48,RM_PM_Quantity[Section],$C48,RM_PM_Quantity[RM Name],$E48)+IF($D48="MIND/Pre-Production",SUMIFS(RM_PM_Quantity[Quantity],RM_PM_Quantity[Date],AD$1,RM_PM_Quantity[Location],"MIDC/Pre-Production",RM_PM_Quantity[Section],$C48,RM_PM_Quantity[RM Name],$E48),0)</f>
        <v>0</v>
      </c>
      <c r="AE48" s="84">
        <f>SUMIFS(RM_PM_Quantity[Quantity],RM_PM_Quantity[Date],AE$1,RM_PM_Quantity[Location],$D48,RM_PM_Quantity[Section],$C48,RM_PM_Quantity[RM Name],$E48)+IF($D48="MIND/Pre-Production",SUMIFS(RM_PM_Quantity[Quantity],RM_PM_Quantity[Date],AE$1,RM_PM_Quantity[Location],"MIDC/Pre-Production",RM_PM_Quantity[Section],$C48,RM_PM_Quantity[RM Name],$E48),0)</f>
        <v>0</v>
      </c>
      <c r="AF48" s="84">
        <f>SUMIFS(RM_PM_Quantity[Quantity],RM_PM_Quantity[Date],AF$1,RM_PM_Quantity[Location],$D48,RM_PM_Quantity[Section],$C48,RM_PM_Quantity[RM Name],$E48)+IF($D48="MIND/Pre-Production",SUMIFS(RM_PM_Quantity[Quantity],RM_PM_Quantity[Date],AF$1,RM_PM_Quantity[Location],"MIDC/Pre-Production",RM_PM_Quantity[Section],$C48,RM_PM_Quantity[RM Name],$E48),0)</f>
        <v>19666</v>
      </c>
      <c r="AG48" s="84">
        <f>SUMIFS(RM_PM_Quantity[Quantity],RM_PM_Quantity[Date],AG$1,RM_PM_Quantity[Location],$D48,RM_PM_Quantity[Section],$C48,RM_PM_Quantity[RM Name],$E48)+IF($D48="MIND/Pre-Production",SUMIFS(RM_PM_Quantity[Quantity],RM_PM_Quantity[Date],AG$1,RM_PM_Quantity[Location],"MIDC/Pre-Production",RM_PM_Quantity[Section],$C48,RM_PM_Quantity[RM Name],$E48),0)</f>
        <v>5101</v>
      </c>
      <c r="AH48" s="84">
        <f>SUMIFS(RM_PM_Quantity[Quantity],RM_PM_Quantity[Date],AH$1,RM_PM_Quantity[Location],$D48,RM_PM_Quantity[Section],$C48,RM_PM_Quantity[RM Name],$E48)+IF($D48="MIND/Pre-Production",SUMIFS(RM_PM_Quantity[Quantity],RM_PM_Quantity[Date],AH$1,RM_PM_Quantity[Location],"MIDC/Pre-Production",RM_PM_Quantity[Section],$C48,RM_PM_Quantity[RM Name],$E48),0)</f>
        <v>6300</v>
      </c>
      <c r="AI48" s="84">
        <f>SUMIFS(RM_PM_Quantity[Quantity],RM_PM_Quantity[Date],AI$1,RM_PM_Quantity[Location],$D48,RM_PM_Quantity[Section],$C48,RM_PM_Quantity[RM Name],$E48)+IF($D48="MIND/Pre-Production",SUMIFS(RM_PM_Quantity[Quantity],RM_PM_Quantity[Date],AI$1,RM_PM_Quantity[Location],"MIDC/Pre-Production",RM_PM_Quantity[Section],$C48,RM_PM_Quantity[RM Name],$E48),0)</f>
        <v>15731</v>
      </c>
      <c r="AJ48" s="84">
        <f>SUMIFS(RM_PM_Quantity[Quantity],RM_PM_Quantity[Date],AJ$1,RM_PM_Quantity[Location],$D48,RM_PM_Quantity[Section],$C48,RM_PM_Quantity[RM Name],$E48)+IF($D48="MIND/Pre-Production",SUMIFS(RM_PM_Quantity[Quantity],RM_PM_Quantity[Date],AJ$1,RM_PM_Quantity[Location],"MIDC/Pre-Production",RM_PM_Quantity[Section],$C48,RM_PM_Quantity[RM Name],$E48),0)</f>
        <v>0</v>
      </c>
      <c r="AK48" s="84">
        <f>SUMIFS(RM_PM_Quantity[Quantity],RM_PM_Quantity[Date],AK$1,RM_PM_Quantity[Location],$D48,RM_PM_Quantity[Section],$C48,RM_PM_Quantity[RM Name],$E48)+IF($D48="MIND/Pre-Production",SUMIFS(RM_PM_Quantity[Quantity],RM_PM_Quantity[Date],AK$1,RM_PM_Quantity[Location],"MIDC/Pre-Production",RM_PM_Quantity[Section],$C48,RM_PM_Quantity[RM Name],$E48),0)</f>
        <v>0</v>
      </c>
      <c r="AL48" s="84">
        <f>SUMIFS(RM_PM_Quantity[Quantity],RM_PM_Quantity[Date],AL$1,RM_PM_Quantity[Location],$D48,RM_PM_Quantity[Section],$C48,RM_PM_Quantity[RM Name],$E48)+IF($D48="MIND/Pre-Production",SUMIFS(RM_PM_Quantity[Quantity],RM_PM_Quantity[Date],AL$1,RM_PM_Quantity[Location],"MIDC/Pre-Production",RM_PM_Quantity[Section],$C48,RM_PM_Quantity[RM Name],$E48),0)</f>
        <v>20222</v>
      </c>
      <c r="AM48" s="84">
        <f>SUMIFS(RM_PM_Quantity[Quantity],RM_PM_Quantity[Date],AM$1,RM_PM_Quantity[Location],$D48,RM_PM_Quantity[Section],$C48,RM_PM_Quantity[RM Name],$E48)+IF($D48="MIND/Pre-Production",SUMIFS(RM_PM_Quantity[Quantity],RM_PM_Quantity[Date],AM$1,RM_PM_Quantity[Location],"MIDC/Pre-Production",RM_PM_Quantity[Section],$C48,RM_PM_Quantity[RM Name],$E48),0)</f>
        <v>0</v>
      </c>
      <c r="AN48" s="84">
        <f>SUMIFS(RM_PM_Quantity[Quantity],RM_PM_Quantity[Date],AN$1,RM_PM_Quantity[Location],$D48,RM_PM_Quantity[Section],$C48,RM_PM_Quantity[RM Name],$E48)+IF($D48="MIND/Pre-Production",SUMIFS(RM_PM_Quantity[Quantity],RM_PM_Quantity[Date],AN$1,RM_PM_Quantity[Location],"MIDC/Pre-Production",RM_PM_Quantity[Section],$C48,RM_PM_Quantity[RM Name],$E48),0)</f>
        <v>0</v>
      </c>
      <c r="AO48" s="84">
        <f>SUMIFS(RM_PM_Quantity[Quantity],RM_PM_Quantity[Date],AO$1,RM_PM_Quantity[Location],$D48,RM_PM_Quantity[Section],$C48,RM_PM_Quantity[RM Name],$E48)+IF($D48="MIND/Pre-Production",SUMIFS(RM_PM_Quantity[Quantity],RM_PM_Quantity[Date],AO$1,RM_PM_Quantity[Location],"MIDC/Pre-Production",RM_PM_Quantity[Section],$C48,RM_PM_Quantity[RM Name],$E48),0)</f>
        <v>7440</v>
      </c>
      <c r="AP48" s="84">
        <f>SUMIFS(RM_PM_Quantity[Quantity],RM_PM_Quantity[Date],AP$1,RM_PM_Quantity[Location],$D48,RM_PM_Quantity[Section],$C48,RM_PM_Quantity[RM Name],$E48)+IF($D48="MIND/Pre-Production",SUMIFS(RM_PM_Quantity[Quantity],RM_PM_Quantity[Date],AP$1,RM_PM_Quantity[Location],"MIDC/Pre-Production",RM_PM_Quantity[Section],$C48,RM_PM_Quantity[RM Name],$E48),0)</f>
        <v>9170</v>
      </c>
      <c r="AQ48" s="84">
        <f>SUMIFS(RM_PM_Quantity[Quantity],RM_PM_Quantity[Date],AQ$1,RM_PM_Quantity[Location],$D48,RM_PM_Quantity[Section],$C48,RM_PM_Quantity[RM Name],$E48)+IF($D48="MIND/Pre-Production",SUMIFS(RM_PM_Quantity[Quantity],RM_PM_Quantity[Date],AQ$1,RM_PM_Quantity[Location],"MIDC/Pre-Production",RM_PM_Quantity[Section],$C48,RM_PM_Quantity[RM Name],$E48),0)</f>
        <v>8701</v>
      </c>
      <c r="AR48" s="84">
        <f>SUMIFS(RM_PM_Quantity[Quantity],RM_PM_Quantity[Date],AR$1,RM_PM_Quantity[Location],$D48,RM_PM_Quantity[Section],$C48,RM_PM_Quantity[RM Name],$E48)+IF($D48="MIND/Pre-Production",SUMIFS(RM_PM_Quantity[Quantity],RM_PM_Quantity[Date],AR$1,RM_PM_Quantity[Location],"MIDC/Pre-Production",RM_PM_Quantity[Section],$C48,RM_PM_Quantity[RM Name],$E48),0)</f>
        <v>0</v>
      </c>
      <c r="AS48" s="84">
        <f>SUMIFS(RM_PM_Quantity[Quantity],RM_PM_Quantity[Date],AS$1,RM_PM_Quantity[Location],$D48,RM_PM_Quantity[Section],$C48,RM_PM_Quantity[RM Name],$E48)+IF($D48="MIND/Pre-Production",SUMIFS(RM_PM_Quantity[Quantity],RM_PM_Quantity[Date],AS$1,RM_PM_Quantity[Location],"MIDC/Pre-Production",RM_PM_Quantity[Section],$C48,RM_PM_Quantity[RM Name],$E48),0)</f>
        <v>17982</v>
      </c>
      <c r="AT48" s="84">
        <f>SUMIFS(RM_PM_Quantity[Quantity],RM_PM_Quantity[Date],AT$1,RM_PM_Quantity[Location],$D48,RM_PM_Quantity[Section],$C48,RM_PM_Quantity[RM Name],$E48)+IF($D48="MIND/Pre-Production",SUMIFS(RM_PM_Quantity[Quantity],RM_PM_Quantity[Date],AT$1,RM_PM_Quantity[Location],"MIDC/Pre-Production",RM_PM_Quantity[Section],$C48,RM_PM_Quantity[RM Name],$E48),0)</f>
        <v>14611</v>
      </c>
      <c r="AU48" s="84">
        <f>SUMIFS(RM_PM_Quantity[Quantity],RM_PM_Quantity[Date],AU$1,RM_PM_Quantity[Location],$D48,RM_PM_Quantity[Section],$C48,RM_PM_Quantity[RM Name],$E48)+IF($D48="MIND/Pre-Production",SUMIFS(RM_PM_Quantity[Quantity],RM_PM_Quantity[Date],AU$1,RM_PM_Quantity[Location],"MIDC/Pre-Production",RM_PM_Quantity[Section],$C48,RM_PM_Quantity[RM Name],$E48),0)</f>
        <v>8701</v>
      </c>
      <c r="AV48" s="84">
        <f>SUMIFS(RM_PM_Quantity[Quantity],RM_PM_Quantity[Date],AV$1,RM_PM_Quantity[Location],$D48,RM_PM_Quantity[Section],$C48,RM_PM_Quantity[RM Name],$E48)+IF($D48="MIND/Pre-Production",SUMIFS(RM_PM_Quantity[Quantity],RM_PM_Quantity[Date],AV$1,RM_PM_Quantity[Location],"MIDC/Pre-Production",RM_PM_Quantity[Section],$C48,RM_PM_Quantity[RM Name],$E48),0)</f>
        <v>7980</v>
      </c>
      <c r="AW48" s="84">
        <f>SUMIFS(RM_PM_Quantity[Quantity],RM_PM_Quantity[Date],AW$1,RM_PM_Quantity[Location],$D48,RM_PM_Quantity[Section],$C48,RM_PM_Quantity[RM Name],$E48)+IF($D48="MIND/Pre-Production",SUMIFS(RM_PM_Quantity[Quantity],RM_PM_Quantity[Date],AW$1,RM_PM_Quantity[Location],"MIDC/Pre-Production",RM_PM_Quantity[Section],$C48,RM_PM_Quantity[RM Name],$E48),0)</f>
        <v>0</v>
      </c>
      <c r="AX48" s="84">
        <f>SUMIFS(RM_PM_Quantity[Quantity],RM_PM_Quantity[Date],AX$1,RM_PM_Quantity[Location],$D48,RM_PM_Quantity[Section],$C48,RM_PM_Quantity[RM Name],$E48)+IF($D48="MIND/Pre-Production",SUMIFS(RM_PM_Quantity[Quantity],RM_PM_Quantity[Date],AX$1,RM_PM_Quantity[Location],"MIDC/Pre-Production",RM_PM_Quantity[Section],$C48,RM_PM_Quantity[RM Name],$E48),0)</f>
        <v>11312</v>
      </c>
      <c r="AY48" s="84">
        <f>SUMIFS(RM_PM_Quantity[Quantity],RM_PM_Quantity[Date],AY$1,RM_PM_Quantity[Location],$D48,RM_PM_Quantity[Section],$C48,RM_PM_Quantity[RM Name],$E48)+IF($D48="MIND/Pre-Production",SUMIFS(RM_PM_Quantity[Quantity],RM_PM_Quantity[Date],AY$1,RM_PM_Quantity[Location],"MIDC/Pre-Production",RM_PM_Quantity[Section],$C48,RM_PM_Quantity[RM Name],$E48),0)</f>
        <v>0</v>
      </c>
      <c r="AZ48" s="84">
        <f>SUMIFS(RM_PM_Quantity[Quantity],RM_PM_Quantity[Date],AZ$1,RM_PM_Quantity[Location],$D48,RM_PM_Quantity[Section],$C48,RM_PM_Quantity[RM Name],$E48)+IF($D48="MIND/Pre-Production",SUMIFS(RM_PM_Quantity[Quantity],RM_PM_Quantity[Date],AZ$1,RM_PM_Quantity[Location],"MIDC/Pre-Production",RM_PM_Quantity[Section],$C48,RM_PM_Quantity[RM Name],$E48),0)</f>
        <v>14372</v>
      </c>
      <c r="BA48" s="84">
        <f>SUMIFS(RM_PM_Quantity[Quantity],RM_PM_Quantity[Date],BA$1,RM_PM_Quantity[Location],$D48,RM_PM_Quantity[Section],$C48,RM_PM_Quantity[RM Name],$E48)+IF($D48="MIND/Pre-Production",SUMIFS(RM_PM_Quantity[Quantity],RM_PM_Quantity[Date],BA$1,RM_PM_Quantity[Location],"MIDC/Pre-Production",RM_PM_Quantity[Section],$C48,RM_PM_Quantity[RM Name],$E48),0)</f>
        <v>2970</v>
      </c>
      <c r="BB48" s="84">
        <f>SUMIFS(RM_PM_Quantity[Quantity],RM_PM_Quantity[Date],BB$1,RM_PM_Quantity[Location],$D48,RM_PM_Quantity[Section],$C48,RM_PM_Quantity[RM Name],$E48)+IF($D48="MIND/Pre-Production",SUMIFS(RM_PM_Quantity[Quantity],RM_PM_Quantity[Date],BB$1,RM_PM_Quantity[Location],"MIDC/Pre-Production",RM_PM_Quantity[Section],$C48,RM_PM_Quantity[RM Name],$E48),0)</f>
        <v>5910</v>
      </c>
      <c r="BC48" s="84">
        <f>SUMIFS(RM_PM_Quantity[Quantity],RM_PM_Quantity[Date],BC$1,RM_PM_Quantity[Location],$D48,RM_PM_Quantity[Section],$C48,RM_PM_Quantity[RM Name],$E48)+IF($D48="MIND/Pre-Production",SUMIFS(RM_PM_Quantity[Quantity],RM_PM_Quantity[Date],BC$1,RM_PM_Quantity[Location],"MIDC/Pre-Production",RM_PM_Quantity[Section],$C48,RM_PM_Quantity[RM Name],$E48),0)</f>
        <v>5252</v>
      </c>
      <c r="BD48" s="84">
        <f>SUMIFS(RM_PM_Quantity[Quantity],RM_PM_Quantity[Date],BD$1,RM_PM_Quantity[Location],$D48,RM_PM_Quantity[Section],$C48,RM_PM_Quantity[RM Name],$E48)+IF($D48="MIND/Pre-Production",SUMIFS(RM_PM_Quantity[Quantity],RM_PM_Quantity[Date],BD$1,RM_PM_Quantity[Location],"MIDC/Pre-Production",RM_PM_Quantity[Section],$C48,RM_PM_Quantity[RM Name],$E48),0)</f>
        <v>5282</v>
      </c>
      <c r="BE48" s="84">
        <f>SUMIFS(RM_PM_Quantity[Quantity],RM_PM_Quantity[Date],BE$1,RM_PM_Quantity[Location],$D48,RM_PM_Quantity[Section],$C48,RM_PM_Quantity[RM Name],$E48)+IF($D48="MIND/Pre-Production",SUMIFS(RM_PM_Quantity[Quantity],RM_PM_Quantity[Date],BE$1,RM_PM_Quantity[Location],"MIDC/Pre-Production",RM_PM_Quantity[Section],$C48,RM_PM_Quantity[RM Name],$E48),0)</f>
        <v>0</v>
      </c>
      <c r="BF48" s="84">
        <f>SUMIFS(RM_PM_Quantity[Quantity],RM_PM_Quantity[Date],BF$1,RM_PM_Quantity[Location],$D48,RM_PM_Quantity[Section],$C48,RM_PM_Quantity[RM Name],$E48)+IF($D48="MIND/Pre-Production",SUMIFS(RM_PM_Quantity[Quantity],RM_PM_Quantity[Date],BF$1,RM_PM_Quantity[Location],"MIDC/Pre-Production",RM_PM_Quantity[Section],$C48,RM_PM_Quantity[RM Name],$E48),0)</f>
        <v>0</v>
      </c>
      <c r="BG48" s="84">
        <f>SUMIFS(RM_PM_Quantity[Quantity],RM_PM_Quantity[Date],BG$1,RM_PM_Quantity[Location],$D48,RM_PM_Quantity[Section],$C48,RM_PM_Quantity[RM Name],$E48)+IF($D48="MIND/Pre-Production",SUMIFS(RM_PM_Quantity[Quantity],RM_PM_Quantity[Date],BG$1,RM_PM_Quantity[Location],"MIDC/Pre-Production",RM_PM_Quantity[Section],$C48,RM_PM_Quantity[RM Name],$E48),0)</f>
        <v>0</v>
      </c>
      <c r="BH48" s="84">
        <f>SUMIFS(RM_PM_Quantity[Quantity],RM_PM_Quantity[Date],BH$1,RM_PM_Quantity[Location],$D48,RM_PM_Quantity[Section],$C48,RM_PM_Quantity[RM Name],$E48)+IF($D48="MIND/Pre-Production",SUMIFS(RM_PM_Quantity[Quantity],RM_PM_Quantity[Date],BH$1,RM_PM_Quantity[Location],"MIDC/Pre-Production",RM_PM_Quantity[Section],$C48,RM_PM_Quantity[RM Name],$E48),0)</f>
        <v>0</v>
      </c>
      <c r="BI48" s="84">
        <f>SUMIFS(RM_PM_Quantity[Quantity],RM_PM_Quantity[Date],BI$1,RM_PM_Quantity[Location],$D48,RM_PM_Quantity[Section],$C48,RM_PM_Quantity[RM Name],$E48)+IF($D48="MIND/Pre-Production",SUMIFS(RM_PM_Quantity[Quantity],RM_PM_Quantity[Date],BI$1,RM_PM_Quantity[Location],"MIDC/Pre-Production",RM_PM_Quantity[Section],$C48,RM_PM_Quantity[RM Name],$E48),0)</f>
        <v>0</v>
      </c>
      <c r="BJ48" s="84">
        <f>SUMIFS(RM_PM_Quantity[Quantity],RM_PM_Quantity[Date],BJ$1,RM_PM_Quantity[Location],$D48,RM_PM_Quantity[Section],$C48,RM_PM_Quantity[RM Name],$E48)+IF($D48="MIND/Pre-Production",SUMIFS(RM_PM_Quantity[Quantity],RM_PM_Quantity[Date],BJ$1,RM_PM_Quantity[Location],"MIDC/Pre-Production",RM_PM_Quantity[Section],$C48,RM_PM_Quantity[RM Name],$E48),0)</f>
        <v>0</v>
      </c>
      <c r="BK48" s="84">
        <f>SUMIFS(RM_PM_Quantity[Quantity],RM_PM_Quantity[Date],BK$1,RM_PM_Quantity[Location],$D48,RM_PM_Quantity[Section],$C48,RM_PM_Quantity[RM Name],$E48)+IF($D48="MIND/Pre-Production",SUMIFS(RM_PM_Quantity[Quantity],RM_PM_Quantity[Date],BK$1,RM_PM_Quantity[Location],"MIDC/Pre-Production",RM_PM_Quantity[Section],$C48,RM_PM_Quantity[RM Name],$E48),0)</f>
        <v>0</v>
      </c>
      <c r="BL48" s="84">
        <f>SUMIFS(RM_PM_Quantity[Quantity],RM_PM_Quantity[Date],BL$1,RM_PM_Quantity[Location],$D48,RM_PM_Quantity[Section],$C48,RM_PM_Quantity[RM Name],$E48)+IF($D48="MIND/Pre-Production",SUMIFS(RM_PM_Quantity[Quantity],RM_PM_Quantity[Date],BL$1,RM_PM_Quantity[Location],"MIDC/Pre-Production",RM_PM_Quantity[Section],$C48,RM_PM_Quantity[RM Name],$E48),0)</f>
        <v>0</v>
      </c>
      <c r="BM48" s="84">
        <f>SUMIFS(RM_PM_Quantity[Quantity],RM_PM_Quantity[Date],BM$1,RM_PM_Quantity[Location],$D48,RM_PM_Quantity[Section],$C48,RM_PM_Quantity[RM Name],$E48)+IF($D48="MIND/Pre-Production",SUMIFS(RM_PM_Quantity[Quantity],RM_PM_Quantity[Date],BM$1,RM_PM_Quantity[Location],"MIDC/Pre-Production",RM_PM_Quantity[Section],$C48,RM_PM_Quantity[RM Name],$E48),0)</f>
        <v>0</v>
      </c>
      <c r="BN48" s="84">
        <f>SUMIFS(RM_PM_Quantity[Quantity],RM_PM_Quantity[Date],BN$1,RM_PM_Quantity[Location],$D48,RM_PM_Quantity[Section],$C48,RM_PM_Quantity[RM Name],$E48)+IF($D48="MIND/Pre-Production",SUMIFS(RM_PM_Quantity[Quantity],RM_PM_Quantity[Date],BN$1,RM_PM_Quantity[Location],"MIDC/Pre-Production",RM_PM_Quantity[Section],$C48,RM_PM_Quantity[RM Name],$E48),0)</f>
        <v>0</v>
      </c>
      <c r="BO48" s="84">
        <f>SUMIFS(RM_PM_Quantity[Quantity],RM_PM_Quantity[Date],BO$1,RM_PM_Quantity[Location],$D48,RM_PM_Quantity[Section],$C48,RM_PM_Quantity[RM Name],$E48)+IF($D48="MIND/Pre-Production",SUMIFS(RM_PM_Quantity[Quantity],RM_PM_Quantity[Date],BO$1,RM_PM_Quantity[Location],"MIDC/Pre-Production",RM_PM_Quantity[Section],$C48,RM_PM_Quantity[RM Name],$E48),0)</f>
        <v>0</v>
      </c>
      <c r="BP48" s="84">
        <f>SUMIFS(RM_PM_Quantity[Quantity],RM_PM_Quantity[Date],BP$1,RM_PM_Quantity[Location],$D48,RM_PM_Quantity[Section],$C48,RM_PM_Quantity[RM Name],$E48)+IF($D48="MIND/Pre-Production",SUMIFS(RM_PM_Quantity[Quantity],RM_PM_Quantity[Date],BP$1,RM_PM_Quantity[Location],"MIDC/Pre-Production",RM_PM_Quantity[Section],$C48,RM_PM_Quantity[RM Name],$E48),0)</f>
        <v>0</v>
      </c>
      <c r="BQ48" s="84">
        <f>SUMIFS(RM_PM_Quantity[Quantity],RM_PM_Quantity[Date],BQ$1,RM_PM_Quantity[Location],$D48,RM_PM_Quantity[Section],$C48,RM_PM_Quantity[RM Name],$E48)+IF($D48="MIND/Pre-Production",SUMIFS(RM_PM_Quantity[Quantity],RM_PM_Quantity[Date],BQ$1,RM_PM_Quantity[Location],"MIDC/Pre-Production",RM_PM_Quantity[Section],$C48,RM_PM_Quantity[RM Name],$E48),0)</f>
        <v>0</v>
      </c>
      <c r="BR48" s="84">
        <f>SUMIFS(RM_PM_Quantity[Quantity],RM_PM_Quantity[Date],BR$1,RM_PM_Quantity[Location],$D48,RM_PM_Quantity[Section],$C48,RM_PM_Quantity[RM Name],$E48)+IF($D48="MIND/Pre-Production",SUMIFS(RM_PM_Quantity[Quantity],RM_PM_Quantity[Date],BR$1,RM_PM_Quantity[Location],"MIDC/Pre-Production",RM_PM_Quantity[Section],$C48,RM_PM_Quantity[RM Name],$E48),0)</f>
        <v>0</v>
      </c>
      <c r="BS48" s="84">
        <f>SUMIFS(RM_PM_Quantity[Quantity],RM_PM_Quantity[Date],BS$1,RM_PM_Quantity[Location],$D48,RM_PM_Quantity[Section],$C48,RM_PM_Quantity[RM Name],$E48)+IF($D48="MIND/Pre-Production",SUMIFS(RM_PM_Quantity[Quantity],RM_PM_Quantity[Date],BS$1,RM_PM_Quantity[Location],"MIDC/Pre-Production",RM_PM_Quantity[Section],$C48,RM_PM_Quantity[RM Name],$E48),0)</f>
        <v>0</v>
      </c>
      <c r="BT48" s="84">
        <f>SUMIFS(RM_PM_Quantity[ID],RM_PM_Quantity[Location],BT$1,RM_PM_Quantity[Section],$D48,RM_PM_Quantity[RM Name],$C48,RM_PM_Quantity[Quantity],$E48)+IF($D48="MIND/Pre-Production",SUMIFS(RM_PM_Quantity[ID],RM_PM_Quantity[Location],BT$1,RM_PM_Quantity[Section],"MIDC/Pre-Production",RM_PM_Quantity[RM Name],$C48,RM_PM_Quantity[Quantity],$E48),0)</f>
        <v>0</v>
      </c>
      <c r="BU48" s="84">
        <f>SUMIFS(RM_PM_Quantity[Name of Supervisor],RM_PM_Quantity[Section],BU$1,RM_PM_Quantity[RM Name],$D48,RM_PM_Quantity[Quantity],$C48,RM_PM_Quantity[ID],$E48)+IF($D48="MIND/Pre-Production",SUMIFS(RM_PM_Quantity[Name of Supervisor],RM_PM_Quantity[Section],BU$1,RM_PM_Quantity[RM Name],"MIDC/Pre-Production",RM_PM_Quantity[Quantity],$C48,RM_PM_Quantity[ID],$E48),0)</f>
        <v>0</v>
      </c>
      <c r="BV48" s="84">
        <f>SUMIFS(RM_PM_Quantity[Date],RM_PM_Quantity[RM Name],BV$1,RM_PM_Quantity[Quantity],$D48,RM_PM_Quantity[ID],$C48,RM_PM_Quantity[Name of Supervisor],$E48)+IF($D48="MIND/Pre-Production",SUMIFS(RM_PM_Quantity[Date],RM_PM_Quantity[RM Name],BV$1,RM_PM_Quantity[Quantity],"MIDC/Pre-Production",RM_PM_Quantity[ID],$C48,RM_PM_Quantity[Name of Supervisor],$E48),0)</f>
        <v>0</v>
      </c>
      <c r="BW48" s="84">
        <f>SUMIFS(RM_PM_Quantity[Location],RM_PM_Quantity[Quantity],BW$1,RM_PM_Quantity[ID],$D48,RM_PM_Quantity[Name of Supervisor],$C48,RM_PM_Quantity[Date],$E48)+IF($D48="MIND/Pre-Production",SUMIFS(RM_PM_Quantity[Location],RM_PM_Quantity[Quantity],BW$1,RM_PM_Quantity[ID],"MIDC/Pre-Production",RM_PM_Quantity[Name of Supervisor],$C48,RM_PM_Quantity[Date],$E48),0)</f>
        <v>0</v>
      </c>
      <c r="BX48" s="84">
        <f>SUMIFS(RM_PM_Quantity[Section],RM_PM_Quantity[ID],BX$1,RM_PM_Quantity[Name of Supervisor],$D48,RM_PM_Quantity[Date],$C48,RM_PM_Quantity[Location],$E48)+IF($D48="MIND/Pre-Production",SUMIFS(RM_PM_Quantity[Section],RM_PM_Quantity[ID],BX$1,RM_PM_Quantity[Name of Supervisor],"MIDC/Pre-Production",RM_PM_Quantity[Date],$C48,RM_PM_Quantity[Location],$E48),0)</f>
        <v>0</v>
      </c>
      <c r="BY48" s="84">
        <f>SUMIFS(RM_PM_Quantity[RM Name],RM_PM_Quantity[Name of Supervisor],BY$1,RM_PM_Quantity[Date],$D48,RM_PM_Quantity[Location],$C48,RM_PM_Quantity[Section],$E48)+IF($D48="MIND/Pre-Production",SUMIFS(RM_PM_Quantity[RM Name],RM_PM_Quantity[Name of Supervisor],BY$1,RM_PM_Quantity[Date],"MIDC/Pre-Production",RM_PM_Quantity[Location],$C48,RM_PM_Quantity[Section],$E48),0)</f>
        <v>0</v>
      </c>
    </row>
    <row r="49" spans="1:77" ht="45.75" customHeight="1">
      <c r="A49" s="79">
        <v>48</v>
      </c>
      <c r="B49" s="87" t="s">
        <v>140</v>
      </c>
      <c r="C49" s="80" t="s">
        <v>141</v>
      </c>
      <c r="D49" s="81" t="s">
        <v>54</v>
      </c>
      <c r="E49" s="82" t="s">
        <v>142</v>
      </c>
      <c r="F49" s="83">
        <f>IFERROR(_xlfn.XLOOKUP(B49,'[1]RM Tracker'!B:B,'[1]RM Tracker'!E:E),"0")</f>
        <v>2786.48</v>
      </c>
      <c r="G49" s="85">
        <f t="shared" si="2"/>
        <v>2000</v>
      </c>
      <c r="H49" s="85">
        <f t="shared" si="3"/>
        <v>-786.48</v>
      </c>
      <c r="I49" s="91">
        <f t="shared" si="4"/>
        <v>0.71775142832534233</v>
      </c>
      <c r="J49" s="84">
        <f>SUMIFS(RM_PM_Quantity[Quantity],RM_PM_Quantity[Date],J$1,RM_PM_Quantity[Location],$D49,RM_PM_Quantity[Section],$C49,RM_PM_Quantity[RM Name],$E49)+IF($D49="MIND/Pre-Production",SUMIFS(RM_PM_Quantity[Quantity],RM_PM_Quantity[Date],J$1,RM_PM_Quantity[Location],"MIDC/Pre-Production",RM_PM_Quantity[Section],$C49,RM_PM_Quantity[RM Name],$E49),0)</f>
        <v>0</v>
      </c>
      <c r="K49" s="84">
        <f>SUMIFS(RM_PM_Quantity[Quantity],RM_PM_Quantity[Date],K$1,RM_PM_Quantity[Location],$D49,RM_PM_Quantity[Section],$C49,RM_PM_Quantity[RM Name],$E49)+IF($D49="MIND/Pre-Production",SUMIFS(RM_PM_Quantity[Quantity],RM_PM_Quantity[Date],K$1,RM_PM_Quantity[Location],"MIDC/Pre-Production",RM_PM_Quantity[Section],$C49,RM_PM_Quantity[RM Name],$E49),0)</f>
        <v>0</v>
      </c>
      <c r="L49" s="84">
        <f>SUMIFS(RM_PM_Quantity[Quantity],RM_PM_Quantity[Date],L$1,RM_PM_Quantity[Location],$D49,RM_PM_Quantity[Section],$C49,RM_PM_Quantity[RM Name],$E49)+IF($D49="MIND/Pre-Production",SUMIFS(RM_PM_Quantity[Quantity],RM_PM_Quantity[Date],L$1,RM_PM_Quantity[Location],"MIDC/Pre-Production",RM_PM_Quantity[Section],$C49,RM_PM_Quantity[RM Name],$E49),0)</f>
        <v>0</v>
      </c>
      <c r="M49" s="84">
        <f>SUMIFS(RM_PM_Quantity[Quantity],RM_PM_Quantity[Date],M$1,RM_PM_Quantity[Location],$D49,RM_PM_Quantity[Section],$C49,RM_PM_Quantity[RM Name],$E49)+IF($D49="MIND/Pre-Production",SUMIFS(RM_PM_Quantity[Quantity],RM_PM_Quantity[Date],M$1,RM_PM_Quantity[Location],"MIDC/Pre-Production",RM_PM_Quantity[Section],$C49,RM_PM_Quantity[RM Name],$E49),0)</f>
        <v>600</v>
      </c>
      <c r="N49" s="84">
        <f>SUMIFS(RM_PM_Quantity[Quantity],RM_PM_Quantity[Date],N$1,RM_PM_Quantity[Location],$D49,RM_PM_Quantity[Section],$C49,RM_PM_Quantity[RM Name],$E49)+IF($D49="MIND/Pre-Production",SUMIFS(RM_PM_Quantity[Quantity],RM_PM_Quantity[Date],N$1,RM_PM_Quantity[Location],"MIDC/Pre-Production",RM_PM_Quantity[Section],$C49,RM_PM_Quantity[RM Name],$E49),0)</f>
        <v>0</v>
      </c>
      <c r="O49" s="84">
        <f>SUMIFS(RM_PM_Quantity[Quantity],RM_PM_Quantity[Date],O$1,RM_PM_Quantity[Location],$D49,RM_PM_Quantity[Section],$C49,RM_PM_Quantity[RM Name],$E49)+IF($D49="MIND/Pre-Production",SUMIFS(RM_PM_Quantity[Quantity],RM_PM_Quantity[Date],O$1,RM_PM_Quantity[Location],"MIDC/Pre-Production",RM_PM_Quantity[Section],$C49,RM_PM_Quantity[RM Name],$E49),0)</f>
        <v>0</v>
      </c>
      <c r="P49" s="84">
        <f>SUMIFS(RM_PM_Quantity[Quantity],RM_PM_Quantity[Date],P$1,RM_PM_Quantity[Location],$D49,RM_PM_Quantity[Section],$C49,RM_PM_Quantity[RM Name],$E49)+IF($D49="MIND/Pre-Production",SUMIFS(RM_PM_Quantity[Quantity],RM_PM_Quantity[Date],P$1,RM_PM_Quantity[Location],"MIDC/Pre-Production",RM_PM_Quantity[Section],$C49,RM_PM_Quantity[RM Name],$E49),0)</f>
        <v>0</v>
      </c>
      <c r="Q49" s="84">
        <f>SUMIFS(RM_PM_Quantity[Quantity],RM_PM_Quantity[Date],Q$1,RM_PM_Quantity[Location],$D49,RM_PM_Quantity[Section],$C49,RM_PM_Quantity[RM Name],$E49)+IF($D49="MIND/Pre-Production",SUMIFS(RM_PM_Quantity[Quantity],RM_PM_Quantity[Date],Q$1,RM_PM_Quantity[Location],"MIDC/Pre-Production",RM_PM_Quantity[Section],$C49,RM_PM_Quantity[RM Name],$E49),0)</f>
        <v>0</v>
      </c>
      <c r="R49" s="84">
        <f>SUMIFS(RM_PM_Quantity[Quantity],RM_PM_Quantity[Date],R$1,RM_PM_Quantity[Location],$D49,RM_PM_Quantity[Section],$C49,RM_PM_Quantity[RM Name],$E49)+IF($D49="MIND/Pre-Production",SUMIFS(RM_PM_Quantity[Quantity],RM_PM_Quantity[Date],R$1,RM_PM_Quantity[Location],"MIDC/Pre-Production",RM_PM_Quantity[Section],$C49,RM_PM_Quantity[RM Name],$E49),0)</f>
        <v>0</v>
      </c>
      <c r="S49" s="84">
        <f>SUMIFS(RM_PM_Quantity[Quantity],RM_PM_Quantity[Date],S$1,RM_PM_Quantity[Location],$D49,RM_PM_Quantity[Section],$C49,RM_PM_Quantity[RM Name],$E49)+IF($D49="MIND/Pre-Production",SUMIFS(RM_PM_Quantity[Quantity],RM_PM_Quantity[Date],S$1,RM_PM_Quantity[Location],"MIDC/Pre-Production",RM_PM_Quantity[Section],$C49,RM_PM_Quantity[RM Name],$E49),0)</f>
        <v>0</v>
      </c>
      <c r="T49" s="84">
        <f>SUMIFS(RM_PM_Quantity[Quantity],RM_PM_Quantity[Date],T$1,RM_PM_Quantity[Location],$D49,RM_PM_Quantity[Section],$C49,RM_PM_Quantity[RM Name],$E49)+IF($D49="MIND/Pre-Production",SUMIFS(RM_PM_Quantity[Quantity],RM_PM_Quantity[Date],T$1,RM_PM_Quantity[Location],"MIDC/Pre-Production",RM_PM_Quantity[Section],$C49,RM_PM_Quantity[RM Name],$E49),0)</f>
        <v>1000</v>
      </c>
      <c r="U49" s="84">
        <f>SUMIFS(RM_PM_Quantity[Quantity],RM_PM_Quantity[Date],U$1,RM_PM_Quantity[Location],$D49,RM_PM_Quantity[Section],$C49,RM_PM_Quantity[RM Name],$E49)+IF($D49="MIND/Pre-Production",SUMIFS(RM_PM_Quantity[Quantity],RM_PM_Quantity[Date],U$1,RM_PM_Quantity[Location],"MIDC/Pre-Production",RM_PM_Quantity[Section],$C49,RM_PM_Quantity[RM Name],$E49),0)</f>
        <v>0</v>
      </c>
      <c r="V49" s="84">
        <f>SUMIFS(RM_PM_Quantity[Quantity],RM_PM_Quantity[Date],V$1,RM_PM_Quantity[Location],$D49,RM_PM_Quantity[Section],$C49,RM_PM_Quantity[RM Name],$E49)+IF($D49="MIND/Pre-Production",SUMIFS(RM_PM_Quantity[Quantity],RM_PM_Quantity[Date],V$1,RM_PM_Quantity[Location],"MIDC/Pre-Production",RM_PM_Quantity[Section],$C49,RM_PM_Quantity[RM Name],$E49),0)</f>
        <v>0</v>
      </c>
      <c r="W49" s="84">
        <f>SUMIFS(RM_PM_Quantity[Quantity],RM_PM_Quantity[Date],W$1,RM_PM_Quantity[Location],$D49,RM_PM_Quantity[Section],$C49,RM_PM_Quantity[RM Name],$E49)+IF($D49="MIND/Pre-Production",SUMIFS(RM_PM_Quantity[Quantity],RM_PM_Quantity[Date],W$1,RM_PM_Quantity[Location],"MIDC/Pre-Production",RM_PM_Quantity[Section],$C49,RM_PM_Quantity[RM Name],$E49),0)</f>
        <v>0</v>
      </c>
      <c r="X49" s="84">
        <f>SUMIFS(RM_PM_Quantity[Quantity],RM_PM_Quantity[Date],X$1,RM_PM_Quantity[Location],$D49,RM_PM_Quantity[Section],$C49,RM_PM_Quantity[RM Name],$E49)+IF($D49="MIND/Pre-Production",SUMIFS(RM_PM_Quantity[Quantity],RM_PM_Quantity[Date],X$1,RM_PM_Quantity[Location],"MIDC/Pre-Production",RM_PM_Quantity[Section],$C49,RM_PM_Quantity[RM Name],$E49),0)</f>
        <v>0</v>
      </c>
      <c r="Y49" s="84">
        <f>SUMIFS(RM_PM_Quantity[Quantity],RM_PM_Quantity[Date],Y$1,RM_PM_Quantity[Location],$D49,RM_PM_Quantity[Section],$C49,RM_PM_Quantity[RM Name],$E49)+IF($D49="MIND/Pre-Production",SUMIFS(RM_PM_Quantity[Quantity],RM_PM_Quantity[Date],Y$1,RM_PM_Quantity[Location],"MIDC/Pre-Production",RM_PM_Quantity[Section],$C49,RM_PM_Quantity[RM Name],$E49),0)</f>
        <v>0</v>
      </c>
      <c r="Z49" s="84">
        <f>SUMIFS(RM_PM_Quantity[Quantity],RM_PM_Quantity[Date],Z$1,RM_PM_Quantity[Location],$D49,RM_PM_Quantity[Section],$C49,RM_PM_Quantity[RM Name],$E49)+IF($D49="MIND/Pre-Production",SUMIFS(RM_PM_Quantity[Quantity],RM_PM_Quantity[Date],Z$1,RM_PM_Quantity[Location],"MIDC/Pre-Production",RM_PM_Quantity[Section],$C49,RM_PM_Quantity[RM Name],$E49),0)</f>
        <v>0</v>
      </c>
      <c r="AA49" s="84">
        <f>SUMIFS(RM_PM_Quantity[Quantity],RM_PM_Quantity[Date],AA$1,RM_PM_Quantity[Location],$D49,RM_PM_Quantity[Section],$C49,RM_PM_Quantity[RM Name],$E49)+IF($D49="MIND/Pre-Production",SUMIFS(RM_PM_Quantity[Quantity],RM_PM_Quantity[Date],AA$1,RM_PM_Quantity[Location],"MIDC/Pre-Production",RM_PM_Quantity[Section],$C49,RM_PM_Quantity[RM Name],$E49),0)</f>
        <v>0</v>
      </c>
      <c r="AB49" s="84">
        <f>SUMIFS(RM_PM_Quantity[Quantity],RM_PM_Quantity[Date],AB$1,RM_PM_Quantity[Location],$D49,RM_PM_Quantity[Section],$C49,RM_PM_Quantity[RM Name],$E49)+IF($D49="MIND/Pre-Production",SUMIFS(RM_PM_Quantity[Quantity],RM_PM_Quantity[Date],AB$1,RM_PM_Quantity[Location],"MIDC/Pre-Production",RM_PM_Quantity[Section],$C49,RM_PM_Quantity[RM Name],$E49),0)</f>
        <v>0</v>
      </c>
      <c r="AC49" s="84">
        <f>SUMIFS(RM_PM_Quantity[Quantity],RM_PM_Quantity[Date],AC$1,RM_PM_Quantity[Location],$D49,RM_PM_Quantity[Section],$C49,RM_PM_Quantity[RM Name],$E49)+IF($D49="MIND/Pre-Production",SUMIFS(RM_PM_Quantity[Quantity],RM_PM_Quantity[Date],AC$1,RM_PM_Quantity[Location],"MIDC/Pre-Production",RM_PM_Quantity[Section],$C49,RM_PM_Quantity[RM Name],$E49),0)</f>
        <v>0</v>
      </c>
      <c r="AD49" s="84">
        <f>SUMIFS(RM_PM_Quantity[Quantity],RM_PM_Quantity[Date],AD$1,RM_PM_Quantity[Location],$D49,RM_PM_Quantity[Section],$C49,RM_PM_Quantity[RM Name],$E49)+IF($D49="MIND/Pre-Production",SUMIFS(RM_PM_Quantity[Quantity],RM_PM_Quantity[Date],AD$1,RM_PM_Quantity[Location],"MIDC/Pre-Production",RM_PM_Quantity[Section],$C49,RM_PM_Quantity[RM Name],$E49),0)</f>
        <v>0</v>
      </c>
      <c r="AE49" s="84">
        <f>SUMIFS(RM_PM_Quantity[Quantity],RM_PM_Quantity[Date],AE$1,RM_PM_Quantity[Location],$D49,RM_PM_Quantity[Section],$C49,RM_PM_Quantity[RM Name],$E49)+IF($D49="MIND/Pre-Production",SUMIFS(RM_PM_Quantity[Quantity],RM_PM_Quantity[Date],AE$1,RM_PM_Quantity[Location],"MIDC/Pre-Production",RM_PM_Quantity[Section],$C49,RM_PM_Quantity[RM Name],$E49),0)</f>
        <v>0</v>
      </c>
      <c r="AF49" s="84">
        <f>SUMIFS(RM_PM_Quantity[Quantity],RM_PM_Quantity[Date],AF$1,RM_PM_Quantity[Location],$D49,RM_PM_Quantity[Section],$C49,RM_PM_Quantity[RM Name],$E49)+IF($D49="MIND/Pre-Production",SUMIFS(RM_PM_Quantity[Quantity],RM_PM_Quantity[Date],AF$1,RM_PM_Quantity[Location],"MIDC/Pre-Production",RM_PM_Quantity[Section],$C49,RM_PM_Quantity[RM Name],$E49),0)</f>
        <v>0</v>
      </c>
      <c r="AG49" s="84">
        <f>SUMIFS(RM_PM_Quantity[Quantity],RM_PM_Quantity[Date],AG$1,RM_PM_Quantity[Location],$D49,RM_PM_Quantity[Section],$C49,RM_PM_Quantity[RM Name],$E49)+IF($D49="MIND/Pre-Production",SUMIFS(RM_PM_Quantity[Quantity],RM_PM_Quantity[Date],AG$1,RM_PM_Quantity[Location],"MIDC/Pre-Production",RM_PM_Quantity[Section],$C49,RM_PM_Quantity[RM Name],$E49),0)</f>
        <v>0</v>
      </c>
      <c r="AH49" s="84">
        <f>SUMIFS(RM_PM_Quantity[Quantity],RM_PM_Quantity[Date],AH$1,RM_PM_Quantity[Location],$D49,RM_PM_Quantity[Section],$C49,RM_PM_Quantity[RM Name],$E49)+IF($D49="MIND/Pre-Production",SUMIFS(RM_PM_Quantity[Quantity],RM_PM_Quantity[Date],AH$1,RM_PM_Quantity[Location],"MIDC/Pre-Production",RM_PM_Quantity[Section],$C49,RM_PM_Quantity[RM Name],$E49),0)</f>
        <v>0</v>
      </c>
      <c r="AI49" s="84">
        <f>SUMIFS(RM_PM_Quantity[Quantity],RM_PM_Quantity[Date],AI$1,RM_PM_Quantity[Location],$D49,RM_PM_Quantity[Section],$C49,RM_PM_Quantity[RM Name],$E49)+IF($D49="MIND/Pre-Production",SUMIFS(RM_PM_Quantity[Quantity],RM_PM_Quantity[Date],AI$1,RM_PM_Quantity[Location],"MIDC/Pre-Production",RM_PM_Quantity[Section],$C49,RM_PM_Quantity[RM Name],$E49),0)</f>
        <v>0</v>
      </c>
      <c r="AJ49" s="84">
        <f>SUMIFS(RM_PM_Quantity[Quantity],RM_PM_Quantity[Date],AJ$1,RM_PM_Quantity[Location],$D49,RM_PM_Quantity[Section],$C49,RM_PM_Quantity[RM Name],$E49)+IF($D49="MIND/Pre-Production",SUMIFS(RM_PM_Quantity[Quantity],RM_PM_Quantity[Date],AJ$1,RM_PM_Quantity[Location],"MIDC/Pre-Production",RM_PM_Quantity[Section],$C49,RM_PM_Quantity[RM Name],$E49),0)</f>
        <v>0</v>
      </c>
      <c r="AK49" s="84">
        <f>SUMIFS(RM_PM_Quantity[Quantity],RM_PM_Quantity[Date],AK$1,RM_PM_Quantity[Location],$D49,RM_PM_Quantity[Section],$C49,RM_PM_Quantity[RM Name],$E49)+IF($D49="MIND/Pre-Production",SUMIFS(RM_PM_Quantity[Quantity],RM_PM_Quantity[Date],AK$1,RM_PM_Quantity[Location],"MIDC/Pre-Production",RM_PM_Quantity[Section],$C49,RM_PM_Quantity[RM Name],$E49),0)</f>
        <v>0</v>
      </c>
      <c r="AL49" s="84">
        <f>SUMIFS(RM_PM_Quantity[Quantity],RM_PM_Quantity[Date],AL$1,RM_PM_Quantity[Location],$D49,RM_PM_Quantity[Section],$C49,RM_PM_Quantity[RM Name],$E49)+IF($D49="MIND/Pre-Production",SUMIFS(RM_PM_Quantity[Quantity],RM_PM_Quantity[Date],AL$1,RM_PM_Quantity[Location],"MIDC/Pre-Production",RM_PM_Quantity[Section],$C49,RM_PM_Quantity[RM Name],$E49),0)</f>
        <v>0</v>
      </c>
      <c r="AM49" s="84">
        <f>SUMIFS(RM_PM_Quantity[Quantity],RM_PM_Quantity[Date],AM$1,RM_PM_Quantity[Location],$D49,RM_PM_Quantity[Section],$C49,RM_PM_Quantity[RM Name],$E49)+IF($D49="MIND/Pre-Production",SUMIFS(RM_PM_Quantity[Quantity],RM_PM_Quantity[Date],AM$1,RM_PM_Quantity[Location],"MIDC/Pre-Production",RM_PM_Quantity[Section],$C49,RM_PM_Quantity[RM Name],$E49),0)</f>
        <v>0</v>
      </c>
      <c r="AN49" s="84">
        <f>SUMIFS(RM_PM_Quantity[Quantity],RM_PM_Quantity[Date],AN$1,RM_PM_Quantity[Location],$D49,RM_PM_Quantity[Section],$C49,RM_PM_Quantity[RM Name],$E49)+IF($D49="MIND/Pre-Production",SUMIFS(RM_PM_Quantity[Quantity],RM_PM_Quantity[Date],AN$1,RM_PM_Quantity[Location],"MIDC/Pre-Production",RM_PM_Quantity[Section],$C49,RM_PM_Quantity[RM Name],$E49),0)</f>
        <v>0</v>
      </c>
      <c r="AO49" s="84">
        <f>SUMIFS(RM_PM_Quantity[Quantity],RM_PM_Quantity[Date],AO$1,RM_PM_Quantity[Location],$D49,RM_PM_Quantity[Section],$C49,RM_PM_Quantity[RM Name],$E49)+IF($D49="MIND/Pre-Production",SUMIFS(RM_PM_Quantity[Quantity],RM_PM_Quantity[Date],AO$1,RM_PM_Quantity[Location],"MIDC/Pre-Production",RM_PM_Quantity[Section],$C49,RM_PM_Quantity[RM Name],$E49),0)</f>
        <v>0</v>
      </c>
      <c r="AP49" s="84">
        <f>SUMIFS(RM_PM_Quantity[Quantity],RM_PM_Quantity[Date],AP$1,RM_PM_Quantity[Location],$D49,RM_PM_Quantity[Section],$C49,RM_PM_Quantity[RM Name],$E49)+IF($D49="MIND/Pre-Production",SUMIFS(RM_PM_Quantity[Quantity],RM_PM_Quantity[Date],AP$1,RM_PM_Quantity[Location],"MIDC/Pre-Production",RM_PM_Quantity[Section],$C49,RM_PM_Quantity[RM Name],$E49),0)</f>
        <v>0</v>
      </c>
      <c r="AQ49" s="84">
        <f>SUMIFS(RM_PM_Quantity[Quantity],RM_PM_Quantity[Date],AQ$1,RM_PM_Quantity[Location],$D49,RM_PM_Quantity[Section],$C49,RM_PM_Quantity[RM Name],$E49)+IF($D49="MIND/Pre-Production",SUMIFS(RM_PM_Quantity[Quantity],RM_PM_Quantity[Date],AQ$1,RM_PM_Quantity[Location],"MIDC/Pre-Production",RM_PM_Quantity[Section],$C49,RM_PM_Quantity[RM Name],$E49),0)</f>
        <v>0</v>
      </c>
      <c r="AR49" s="84">
        <f>SUMIFS(RM_PM_Quantity[Quantity],RM_PM_Quantity[Date],AR$1,RM_PM_Quantity[Location],$D49,RM_PM_Quantity[Section],$C49,RM_PM_Quantity[RM Name],$E49)+IF($D49="MIND/Pre-Production",SUMIFS(RM_PM_Quantity[Quantity],RM_PM_Quantity[Date],AR$1,RM_PM_Quantity[Location],"MIDC/Pre-Production",RM_PM_Quantity[Section],$C49,RM_PM_Quantity[RM Name],$E49),0)</f>
        <v>0</v>
      </c>
      <c r="AS49" s="84">
        <f>SUMIFS(RM_PM_Quantity[Quantity],RM_PM_Quantity[Date],AS$1,RM_PM_Quantity[Location],$D49,RM_PM_Quantity[Section],$C49,RM_PM_Quantity[RM Name],$E49)+IF($D49="MIND/Pre-Production",SUMIFS(RM_PM_Quantity[Quantity],RM_PM_Quantity[Date],AS$1,RM_PM_Quantity[Location],"MIDC/Pre-Production",RM_PM_Quantity[Section],$C49,RM_PM_Quantity[RM Name],$E49),0)</f>
        <v>1560</v>
      </c>
      <c r="AT49" s="84">
        <f>SUMIFS(RM_PM_Quantity[Quantity],RM_PM_Quantity[Date],AT$1,RM_PM_Quantity[Location],$D49,RM_PM_Quantity[Section],$C49,RM_PM_Quantity[RM Name],$E49)+IF($D49="MIND/Pre-Production",SUMIFS(RM_PM_Quantity[Quantity],RM_PM_Quantity[Date],AT$1,RM_PM_Quantity[Location],"MIDC/Pre-Production",RM_PM_Quantity[Section],$C49,RM_PM_Quantity[RM Name],$E49),0)</f>
        <v>0</v>
      </c>
      <c r="AU49" s="84">
        <f>SUMIFS(RM_PM_Quantity[Quantity],RM_PM_Quantity[Date],AU$1,RM_PM_Quantity[Location],$D49,RM_PM_Quantity[Section],$C49,RM_PM_Quantity[RM Name],$E49)+IF($D49="MIND/Pre-Production",SUMIFS(RM_PM_Quantity[Quantity],RM_PM_Quantity[Date],AU$1,RM_PM_Quantity[Location],"MIDC/Pre-Production",RM_PM_Quantity[Section],$C49,RM_PM_Quantity[RM Name],$E49),0)</f>
        <v>0</v>
      </c>
      <c r="AV49" s="84">
        <f>SUMIFS(RM_PM_Quantity[Quantity],RM_PM_Quantity[Date],AV$1,RM_PM_Quantity[Location],$D49,RM_PM_Quantity[Section],$C49,RM_PM_Quantity[RM Name],$E49)+IF($D49="MIND/Pre-Production",SUMIFS(RM_PM_Quantity[Quantity],RM_PM_Quantity[Date],AV$1,RM_PM_Quantity[Location],"MIDC/Pre-Production",RM_PM_Quantity[Section],$C49,RM_PM_Quantity[RM Name],$E49),0)</f>
        <v>0</v>
      </c>
      <c r="AW49" s="84">
        <f>SUMIFS(RM_PM_Quantity[Quantity],RM_PM_Quantity[Date],AW$1,RM_PM_Quantity[Location],$D49,RM_PM_Quantity[Section],$C49,RM_PM_Quantity[RM Name],$E49)+IF($D49="MIND/Pre-Production",SUMIFS(RM_PM_Quantity[Quantity],RM_PM_Quantity[Date],AW$1,RM_PM_Quantity[Location],"MIDC/Pre-Production",RM_PM_Quantity[Section],$C49,RM_PM_Quantity[RM Name],$E49),0)</f>
        <v>0</v>
      </c>
      <c r="AX49" s="84">
        <f>SUMIFS(RM_PM_Quantity[Quantity],RM_PM_Quantity[Date],AX$1,RM_PM_Quantity[Location],$D49,RM_PM_Quantity[Section],$C49,RM_PM_Quantity[RM Name],$E49)+IF($D49="MIND/Pre-Production",SUMIFS(RM_PM_Quantity[Quantity],RM_PM_Quantity[Date],AX$1,RM_PM_Quantity[Location],"MIDC/Pre-Production",RM_PM_Quantity[Section],$C49,RM_PM_Quantity[RM Name],$E49),0)</f>
        <v>0</v>
      </c>
      <c r="AY49" s="84">
        <f>SUMIFS(RM_PM_Quantity[Quantity],RM_PM_Quantity[Date],AY$1,RM_PM_Quantity[Location],$D49,RM_PM_Quantity[Section],$C49,RM_PM_Quantity[RM Name],$E49)+IF($D49="MIND/Pre-Production",SUMIFS(RM_PM_Quantity[Quantity],RM_PM_Quantity[Date],AY$1,RM_PM_Quantity[Location],"MIDC/Pre-Production",RM_PM_Quantity[Section],$C49,RM_PM_Quantity[RM Name],$E49),0)</f>
        <v>0</v>
      </c>
      <c r="AZ49" s="84">
        <f>SUMIFS(RM_PM_Quantity[Quantity],RM_PM_Quantity[Date],AZ$1,RM_PM_Quantity[Location],$D49,RM_PM_Quantity[Section],$C49,RM_PM_Quantity[RM Name],$E49)+IF($D49="MIND/Pre-Production",SUMIFS(RM_PM_Quantity[Quantity],RM_PM_Quantity[Date],AZ$1,RM_PM_Quantity[Location],"MIDC/Pre-Production",RM_PM_Quantity[Section],$C49,RM_PM_Quantity[RM Name],$E49),0)</f>
        <v>2000</v>
      </c>
      <c r="BA49" s="84">
        <f>SUMIFS(RM_PM_Quantity[Quantity],RM_PM_Quantity[Date],BA$1,RM_PM_Quantity[Location],$D49,RM_PM_Quantity[Section],$C49,RM_PM_Quantity[RM Name],$E49)+IF($D49="MIND/Pre-Production",SUMIFS(RM_PM_Quantity[Quantity],RM_PM_Quantity[Date],BA$1,RM_PM_Quantity[Location],"MIDC/Pre-Production",RM_PM_Quantity[Section],$C49,RM_PM_Quantity[RM Name],$E49),0)</f>
        <v>0</v>
      </c>
      <c r="BB49" s="84">
        <f>SUMIFS(RM_PM_Quantity[Quantity],RM_PM_Quantity[Date],BB$1,RM_PM_Quantity[Location],$D49,RM_PM_Quantity[Section],$C49,RM_PM_Quantity[RM Name],$E49)+IF($D49="MIND/Pre-Production",SUMIFS(RM_PM_Quantity[Quantity],RM_PM_Quantity[Date],BB$1,RM_PM_Quantity[Location],"MIDC/Pre-Production",RM_PM_Quantity[Section],$C49,RM_PM_Quantity[RM Name],$E49),0)</f>
        <v>0</v>
      </c>
      <c r="BC49" s="84">
        <f>SUMIFS(RM_PM_Quantity[Quantity],RM_PM_Quantity[Date],BC$1,RM_PM_Quantity[Location],$D49,RM_PM_Quantity[Section],$C49,RM_PM_Quantity[RM Name],$E49)+IF($D49="MIND/Pre-Production",SUMIFS(RM_PM_Quantity[Quantity],RM_PM_Quantity[Date],BC$1,RM_PM_Quantity[Location],"MIDC/Pre-Production",RM_PM_Quantity[Section],$C49,RM_PM_Quantity[RM Name],$E49),0)</f>
        <v>0</v>
      </c>
      <c r="BD49" s="84">
        <f>SUMIFS(RM_PM_Quantity[Quantity],RM_PM_Quantity[Date],BD$1,RM_PM_Quantity[Location],$D49,RM_PM_Quantity[Section],$C49,RM_PM_Quantity[RM Name],$E49)+IF($D49="MIND/Pre-Production",SUMIFS(RM_PM_Quantity[Quantity],RM_PM_Quantity[Date],BD$1,RM_PM_Quantity[Location],"MIDC/Pre-Production",RM_PM_Quantity[Section],$C49,RM_PM_Quantity[RM Name],$E49),0)</f>
        <v>0</v>
      </c>
      <c r="BE49" s="84">
        <f>SUMIFS(RM_PM_Quantity[Quantity],RM_PM_Quantity[Date],BE$1,RM_PM_Quantity[Location],$D49,RM_PM_Quantity[Section],$C49,RM_PM_Quantity[RM Name],$E49)+IF($D49="MIND/Pre-Production",SUMIFS(RM_PM_Quantity[Quantity],RM_PM_Quantity[Date],BE$1,RM_PM_Quantity[Location],"MIDC/Pre-Production",RM_PM_Quantity[Section],$C49,RM_PM_Quantity[RM Name],$E49),0)</f>
        <v>0</v>
      </c>
      <c r="BF49" s="84">
        <f>SUMIFS(RM_PM_Quantity[Quantity],RM_PM_Quantity[Date],BF$1,RM_PM_Quantity[Location],$D49,RM_PM_Quantity[Section],$C49,RM_PM_Quantity[RM Name],$E49)+IF($D49="MIND/Pre-Production",SUMIFS(RM_PM_Quantity[Quantity],RM_PM_Quantity[Date],BF$1,RM_PM_Quantity[Location],"MIDC/Pre-Production",RM_PM_Quantity[Section],$C49,RM_PM_Quantity[RM Name],$E49),0)</f>
        <v>0</v>
      </c>
      <c r="BG49" s="84">
        <f>SUMIFS(RM_PM_Quantity[Quantity],RM_PM_Quantity[Date],BG$1,RM_PM_Quantity[Location],$D49,RM_PM_Quantity[Section],$C49,RM_PM_Quantity[RM Name],$E49)+IF($D49="MIND/Pre-Production",SUMIFS(RM_PM_Quantity[Quantity],RM_PM_Quantity[Date],BG$1,RM_PM_Quantity[Location],"MIDC/Pre-Production",RM_PM_Quantity[Section],$C49,RM_PM_Quantity[RM Name],$E49),0)</f>
        <v>0</v>
      </c>
      <c r="BH49" s="84">
        <f>SUMIFS(RM_PM_Quantity[Quantity],RM_PM_Quantity[Date],BH$1,RM_PM_Quantity[Location],$D49,RM_PM_Quantity[Section],$C49,RM_PM_Quantity[RM Name],$E49)+IF($D49="MIND/Pre-Production",SUMIFS(RM_PM_Quantity[Quantity],RM_PM_Quantity[Date],BH$1,RM_PM_Quantity[Location],"MIDC/Pre-Production",RM_PM_Quantity[Section],$C49,RM_PM_Quantity[RM Name],$E49),0)</f>
        <v>0</v>
      </c>
      <c r="BI49" s="84">
        <f>SUMIFS(RM_PM_Quantity[Quantity],RM_PM_Quantity[Date],BI$1,RM_PM_Quantity[Location],$D49,RM_PM_Quantity[Section],$C49,RM_PM_Quantity[RM Name],$E49)+IF($D49="MIND/Pre-Production",SUMIFS(RM_PM_Quantity[Quantity],RM_PM_Quantity[Date],BI$1,RM_PM_Quantity[Location],"MIDC/Pre-Production",RM_PM_Quantity[Section],$C49,RM_PM_Quantity[RM Name],$E49),0)</f>
        <v>0</v>
      </c>
      <c r="BJ49" s="84">
        <f>SUMIFS(RM_PM_Quantity[Quantity],RM_PM_Quantity[Date],BJ$1,RM_PM_Quantity[Location],$D49,RM_PM_Quantity[Section],$C49,RM_PM_Quantity[RM Name],$E49)+IF($D49="MIND/Pre-Production",SUMIFS(RM_PM_Quantity[Quantity],RM_PM_Quantity[Date],BJ$1,RM_PM_Quantity[Location],"MIDC/Pre-Production",RM_PM_Quantity[Section],$C49,RM_PM_Quantity[RM Name],$E49),0)</f>
        <v>0</v>
      </c>
      <c r="BK49" s="84">
        <f>SUMIFS(RM_PM_Quantity[Quantity],RM_PM_Quantity[Date],BK$1,RM_PM_Quantity[Location],$D49,RM_PM_Quantity[Section],$C49,RM_PM_Quantity[RM Name],$E49)+IF($D49="MIND/Pre-Production",SUMIFS(RM_PM_Quantity[Quantity],RM_PM_Quantity[Date],BK$1,RM_PM_Quantity[Location],"MIDC/Pre-Production",RM_PM_Quantity[Section],$C49,RM_PM_Quantity[RM Name],$E49),0)</f>
        <v>0</v>
      </c>
      <c r="BL49" s="84">
        <f>SUMIFS(RM_PM_Quantity[Quantity],RM_PM_Quantity[Date],BL$1,RM_PM_Quantity[Location],$D49,RM_PM_Quantity[Section],$C49,RM_PM_Quantity[RM Name],$E49)+IF($D49="MIND/Pre-Production",SUMIFS(RM_PM_Quantity[Quantity],RM_PM_Quantity[Date],BL$1,RM_PM_Quantity[Location],"MIDC/Pre-Production",RM_PM_Quantity[Section],$C49,RM_PM_Quantity[RM Name],$E49),0)</f>
        <v>0</v>
      </c>
      <c r="BM49" s="84">
        <f>SUMIFS(RM_PM_Quantity[Quantity],RM_PM_Quantity[Date],BM$1,RM_PM_Quantity[Location],$D49,RM_PM_Quantity[Section],$C49,RM_PM_Quantity[RM Name],$E49)+IF($D49="MIND/Pre-Production",SUMIFS(RM_PM_Quantity[Quantity],RM_PM_Quantity[Date],BM$1,RM_PM_Quantity[Location],"MIDC/Pre-Production",RM_PM_Quantity[Section],$C49,RM_PM_Quantity[RM Name],$E49),0)</f>
        <v>0</v>
      </c>
      <c r="BN49" s="84">
        <f>SUMIFS(RM_PM_Quantity[Quantity],RM_PM_Quantity[Date],BN$1,RM_PM_Quantity[Location],$D49,RM_PM_Quantity[Section],$C49,RM_PM_Quantity[RM Name],$E49)+IF($D49="MIND/Pre-Production",SUMIFS(RM_PM_Quantity[Quantity],RM_PM_Quantity[Date],BN$1,RM_PM_Quantity[Location],"MIDC/Pre-Production",RM_PM_Quantity[Section],$C49,RM_PM_Quantity[RM Name],$E49),0)</f>
        <v>0</v>
      </c>
      <c r="BO49" s="84">
        <f>SUMIFS(RM_PM_Quantity[Quantity],RM_PM_Quantity[Date],BO$1,RM_PM_Quantity[Location],$D49,RM_PM_Quantity[Section],$C49,RM_PM_Quantity[RM Name],$E49)+IF($D49="MIND/Pre-Production",SUMIFS(RM_PM_Quantity[Quantity],RM_PM_Quantity[Date],BO$1,RM_PM_Quantity[Location],"MIDC/Pre-Production",RM_PM_Quantity[Section],$C49,RM_PM_Quantity[RM Name],$E49),0)</f>
        <v>0</v>
      </c>
      <c r="BP49" s="84">
        <f>SUMIFS(RM_PM_Quantity[Quantity],RM_PM_Quantity[Date],BP$1,RM_PM_Quantity[Location],$D49,RM_PM_Quantity[Section],$C49,RM_PM_Quantity[RM Name],$E49)+IF($D49="MIND/Pre-Production",SUMIFS(RM_PM_Quantity[Quantity],RM_PM_Quantity[Date],BP$1,RM_PM_Quantity[Location],"MIDC/Pre-Production",RM_PM_Quantity[Section],$C49,RM_PM_Quantity[RM Name],$E49),0)</f>
        <v>0</v>
      </c>
      <c r="BQ49" s="84">
        <f>SUMIFS(RM_PM_Quantity[Quantity],RM_PM_Quantity[Date],BQ$1,RM_PM_Quantity[Location],$D49,RM_PM_Quantity[Section],$C49,RM_PM_Quantity[RM Name],$E49)+IF($D49="MIND/Pre-Production",SUMIFS(RM_PM_Quantity[Quantity],RM_PM_Quantity[Date],BQ$1,RM_PM_Quantity[Location],"MIDC/Pre-Production",RM_PM_Quantity[Section],$C49,RM_PM_Quantity[RM Name],$E49),0)</f>
        <v>0</v>
      </c>
      <c r="BR49" s="84">
        <f>SUMIFS(RM_PM_Quantity[Quantity],RM_PM_Quantity[Date],BR$1,RM_PM_Quantity[Location],$D49,RM_PM_Quantity[Section],$C49,RM_PM_Quantity[RM Name],$E49)+IF($D49="MIND/Pre-Production",SUMIFS(RM_PM_Quantity[Quantity],RM_PM_Quantity[Date],BR$1,RM_PM_Quantity[Location],"MIDC/Pre-Production",RM_PM_Quantity[Section],$C49,RM_PM_Quantity[RM Name],$E49),0)</f>
        <v>0</v>
      </c>
      <c r="BS49" s="84">
        <f>SUMIFS(RM_PM_Quantity[Quantity],RM_PM_Quantity[Date],BS$1,RM_PM_Quantity[Location],$D49,RM_PM_Quantity[Section],$C49,RM_PM_Quantity[RM Name],$E49)+IF($D49="MIND/Pre-Production",SUMIFS(RM_PM_Quantity[Quantity],RM_PM_Quantity[Date],BS$1,RM_PM_Quantity[Location],"MIDC/Pre-Production",RM_PM_Quantity[Section],$C49,RM_PM_Quantity[RM Name],$E49),0)</f>
        <v>0</v>
      </c>
      <c r="BT49" s="84">
        <f>SUMIFS(RM_PM_Quantity[ID],RM_PM_Quantity[Location],BT$1,RM_PM_Quantity[Section],$D49,RM_PM_Quantity[RM Name],$C49,RM_PM_Quantity[Quantity],$E49)+IF($D49="MIND/Pre-Production",SUMIFS(RM_PM_Quantity[ID],RM_PM_Quantity[Location],BT$1,RM_PM_Quantity[Section],"MIDC/Pre-Production",RM_PM_Quantity[RM Name],$C49,RM_PM_Quantity[Quantity],$E49),0)</f>
        <v>0</v>
      </c>
      <c r="BU49" s="84">
        <f>SUMIFS(RM_PM_Quantity[Name of Supervisor],RM_PM_Quantity[Section],BU$1,RM_PM_Quantity[RM Name],$D49,RM_PM_Quantity[Quantity],$C49,RM_PM_Quantity[ID],$E49)+IF($D49="MIND/Pre-Production",SUMIFS(RM_PM_Quantity[Name of Supervisor],RM_PM_Quantity[Section],BU$1,RM_PM_Quantity[RM Name],"MIDC/Pre-Production",RM_PM_Quantity[Quantity],$C49,RM_PM_Quantity[ID],$E49),0)</f>
        <v>0</v>
      </c>
      <c r="BV49" s="84">
        <f>SUMIFS(RM_PM_Quantity[Date],RM_PM_Quantity[RM Name],BV$1,RM_PM_Quantity[Quantity],$D49,RM_PM_Quantity[ID],$C49,RM_PM_Quantity[Name of Supervisor],$E49)+IF($D49="MIND/Pre-Production",SUMIFS(RM_PM_Quantity[Date],RM_PM_Quantity[RM Name],BV$1,RM_PM_Quantity[Quantity],"MIDC/Pre-Production",RM_PM_Quantity[ID],$C49,RM_PM_Quantity[Name of Supervisor],$E49),0)</f>
        <v>0</v>
      </c>
      <c r="BW49" s="84">
        <f>SUMIFS(RM_PM_Quantity[Location],RM_PM_Quantity[Quantity],BW$1,RM_PM_Quantity[ID],$D49,RM_PM_Quantity[Name of Supervisor],$C49,RM_PM_Quantity[Date],$E49)+IF($D49="MIND/Pre-Production",SUMIFS(RM_PM_Quantity[Location],RM_PM_Quantity[Quantity],BW$1,RM_PM_Quantity[ID],"MIDC/Pre-Production",RM_PM_Quantity[Name of Supervisor],$C49,RM_PM_Quantity[Date],$E49),0)</f>
        <v>0</v>
      </c>
      <c r="BX49" s="84">
        <f>SUMIFS(RM_PM_Quantity[Section],RM_PM_Quantity[ID],BX$1,RM_PM_Quantity[Name of Supervisor],$D49,RM_PM_Quantity[Date],$C49,RM_PM_Quantity[Location],$E49)+IF($D49="MIND/Pre-Production",SUMIFS(RM_PM_Quantity[Section],RM_PM_Quantity[ID],BX$1,RM_PM_Quantity[Name of Supervisor],"MIDC/Pre-Production",RM_PM_Quantity[Date],$C49,RM_PM_Quantity[Location],$E49),0)</f>
        <v>0</v>
      </c>
      <c r="BY49" s="84">
        <f>SUMIFS(RM_PM_Quantity[RM Name],RM_PM_Quantity[Name of Supervisor],BY$1,RM_PM_Quantity[Date],$D49,RM_PM_Quantity[Location],$C49,RM_PM_Quantity[Section],$E49)+IF($D49="MIND/Pre-Production",SUMIFS(RM_PM_Quantity[RM Name],RM_PM_Quantity[Name of Supervisor],BY$1,RM_PM_Quantity[Date],"MIDC/Pre-Production",RM_PM_Quantity[Location],$C49,RM_PM_Quantity[Section],$E49),0)</f>
        <v>0</v>
      </c>
    </row>
    <row r="50" spans="1:77" ht="45.75" customHeight="1">
      <c r="A50" s="79">
        <v>49</v>
      </c>
      <c r="B50" s="79" t="s">
        <v>143</v>
      </c>
      <c r="C50" s="80" t="s">
        <v>141</v>
      </c>
      <c r="D50" s="81" t="s">
        <v>54</v>
      </c>
      <c r="E50" s="82" t="s">
        <v>144</v>
      </c>
      <c r="F50" s="83">
        <f>IFERROR(_xlfn.XLOOKUP(B50,'[1]RM Tracker'!B:B,'[1]RM Tracker'!E:E),"0")</f>
        <v>0</v>
      </c>
      <c r="G50" s="85">
        <f t="shared" si="2"/>
        <v>0</v>
      </c>
      <c r="H50" s="85">
        <f t="shared" si="3"/>
        <v>0</v>
      </c>
      <c r="I50" s="91">
        <f t="shared" si="4"/>
        <v>0</v>
      </c>
      <c r="J50" s="84">
        <f>SUMIFS(RM_PM_Quantity[Quantity],RM_PM_Quantity[Date],J$1,RM_PM_Quantity[Location],$D50,RM_PM_Quantity[Section],$C50,RM_PM_Quantity[RM Name],$E50)+IF($D50="MIND/Pre-Production",SUMIFS(RM_PM_Quantity[Quantity],RM_PM_Quantity[Date],J$1,RM_PM_Quantity[Location],"MIDC/Pre-Production",RM_PM_Quantity[Section],$C50,RM_PM_Quantity[RM Name],$E50),0)</f>
        <v>0</v>
      </c>
      <c r="K50" s="84">
        <f>SUMIFS(RM_PM_Quantity[Quantity],RM_PM_Quantity[Date],K$1,RM_PM_Quantity[Location],$D50,RM_PM_Quantity[Section],$C50,RM_PM_Quantity[RM Name],$E50)+IF($D50="MIND/Pre-Production",SUMIFS(RM_PM_Quantity[Quantity],RM_PM_Quantity[Date],K$1,RM_PM_Quantity[Location],"MIDC/Pre-Production",RM_PM_Quantity[Section],$C50,RM_PM_Quantity[RM Name],$E50),0)</f>
        <v>0</v>
      </c>
      <c r="L50" s="84">
        <f>SUMIFS(RM_PM_Quantity[Quantity],RM_PM_Quantity[Date],L$1,RM_PM_Quantity[Location],$D50,RM_PM_Quantity[Section],$C50,RM_PM_Quantity[RM Name],$E50)+IF($D50="MIND/Pre-Production",SUMIFS(RM_PM_Quantity[Quantity],RM_PM_Quantity[Date],L$1,RM_PM_Quantity[Location],"MIDC/Pre-Production",RM_PM_Quantity[Section],$C50,RM_PM_Quantity[RM Name],$E50),0)</f>
        <v>0</v>
      </c>
      <c r="M50" s="84">
        <f>SUMIFS(RM_PM_Quantity[Quantity],RM_PM_Quantity[Date],M$1,RM_PM_Quantity[Location],$D50,RM_PM_Quantity[Section],$C50,RM_PM_Quantity[RM Name],$E50)+IF($D50="MIND/Pre-Production",SUMIFS(RM_PM_Quantity[Quantity],RM_PM_Quantity[Date],M$1,RM_PM_Quantity[Location],"MIDC/Pre-Production",RM_PM_Quantity[Section],$C50,RM_PM_Quantity[RM Name],$E50),0)</f>
        <v>0</v>
      </c>
      <c r="N50" s="84">
        <f>SUMIFS(RM_PM_Quantity[Quantity],RM_PM_Quantity[Date],N$1,RM_PM_Quantity[Location],$D50,RM_PM_Quantity[Section],$C50,RM_PM_Quantity[RM Name],$E50)+IF($D50="MIND/Pre-Production",SUMIFS(RM_PM_Quantity[Quantity],RM_PM_Quantity[Date],N$1,RM_PM_Quantity[Location],"MIDC/Pre-Production",RM_PM_Quantity[Section],$C50,RM_PM_Quantity[RM Name],$E50),0)</f>
        <v>0</v>
      </c>
      <c r="O50" s="84">
        <f>SUMIFS(RM_PM_Quantity[Quantity],RM_PM_Quantity[Date],O$1,RM_PM_Quantity[Location],$D50,RM_PM_Quantity[Section],$C50,RM_PM_Quantity[RM Name],$E50)+IF($D50="MIND/Pre-Production",SUMIFS(RM_PM_Quantity[Quantity],RM_PM_Quantity[Date],O$1,RM_PM_Quantity[Location],"MIDC/Pre-Production",RM_PM_Quantity[Section],$C50,RM_PM_Quantity[RM Name],$E50),0)</f>
        <v>0</v>
      </c>
      <c r="P50" s="84">
        <f>SUMIFS(RM_PM_Quantity[Quantity],RM_PM_Quantity[Date],P$1,RM_PM_Quantity[Location],$D50,RM_PM_Quantity[Section],$C50,RM_PM_Quantity[RM Name],$E50)+IF($D50="MIND/Pre-Production",SUMIFS(RM_PM_Quantity[Quantity],RM_PM_Quantity[Date],P$1,RM_PM_Quantity[Location],"MIDC/Pre-Production",RM_PM_Quantity[Section],$C50,RM_PM_Quantity[RM Name],$E50),0)</f>
        <v>0</v>
      </c>
      <c r="Q50" s="84">
        <f>SUMIFS(RM_PM_Quantity[Quantity],RM_PM_Quantity[Date],Q$1,RM_PM_Quantity[Location],$D50,RM_PM_Quantity[Section],$C50,RM_PM_Quantity[RM Name],$E50)+IF($D50="MIND/Pre-Production",SUMIFS(RM_PM_Quantity[Quantity],RM_PM_Quantity[Date],Q$1,RM_PM_Quantity[Location],"MIDC/Pre-Production",RM_PM_Quantity[Section],$C50,RM_PM_Quantity[RM Name],$E50),0)</f>
        <v>0</v>
      </c>
      <c r="R50" s="84">
        <f>SUMIFS(RM_PM_Quantity[Quantity],RM_PM_Quantity[Date],R$1,RM_PM_Quantity[Location],$D50,RM_PM_Quantity[Section],$C50,RM_PM_Quantity[RM Name],$E50)+IF($D50="MIND/Pre-Production",SUMIFS(RM_PM_Quantity[Quantity],RM_PM_Quantity[Date],R$1,RM_PM_Quantity[Location],"MIDC/Pre-Production",RM_PM_Quantity[Section],$C50,RM_PM_Quantity[RM Name],$E50),0)</f>
        <v>0</v>
      </c>
      <c r="S50" s="84">
        <f>SUMIFS(RM_PM_Quantity[Quantity],RM_PM_Quantity[Date],S$1,RM_PM_Quantity[Location],$D50,RM_PM_Quantity[Section],$C50,RM_PM_Quantity[RM Name],$E50)+IF($D50="MIND/Pre-Production",SUMIFS(RM_PM_Quantity[Quantity],RM_PM_Quantity[Date],S$1,RM_PM_Quantity[Location],"MIDC/Pre-Production",RM_PM_Quantity[Section],$C50,RM_PM_Quantity[RM Name],$E50),0)</f>
        <v>0</v>
      </c>
      <c r="T50" s="84">
        <f>SUMIFS(RM_PM_Quantity[Quantity],RM_PM_Quantity[Date],T$1,RM_PM_Quantity[Location],$D50,RM_PM_Quantity[Section],$C50,RM_PM_Quantity[RM Name],$E50)+IF($D50="MIND/Pre-Production",SUMIFS(RM_PM_Quantity[Quantity],RM_PM_Quantity[Date],T$1,RM_PM_Quantity[Location],"MIDC/Pre-Production",RM_PM_Quantity[Section],$C50,RM_PM_Quantity[RM Name],$E50),0)</f>
        <v>0</v>
      </c>
      <c r="U50" s="84">
        <f>SUMIFS(RM_PM_Quantity[Quantity],RM_PM_Quantity[Date],U$1,RM_PM_Quantity[Location],$D50,RM_PM_Quantity[Section],$C50,RM_PM_Quantity[RM Name],$E50)+IF($D50="MIND/Pre-Production",SUMIFS(RM_PM_Quantity[Quantity],RM_PM_Quantity[Date],U$1,RM_PM_Quantity[Location],"MIDC/Pre-Production",RM_PM_Quantity[Section],$C50,RM_PM_Quantity[RM Name],$E50),0)</f>
        <v>0</v>
      </c>
      <c r="V50" s="84">
        <f>SUMIFS(RM_PM_Quantity[Quantity],RM_PM_Quantity[Date],V$1,RM_PM_Quantity[Location],$D50,RM_PM_Quantity[Section],$C50,RM_PM_Quantity[RM Name],$E50)+IF($D50="MIND/Pre-Production",SUMIFS(RM_PM_Quantity[Quantity],RM_PM_Quantity[Date],V$1,RM_PM_Quantity[Location],"MIDC/Pre-Production",RM_PM_Quantity[Section],$C50,RM_PM_Quantity[RM Name],$E50),0)</f>
        <v>0</v>
      </c>
      <c r="W50" s="84">
        <f>SUMIFS(RM_PM_Quantity[Quantity],RM_PM_Quantity[Date],W$1,RM_PM_Quantity[Location],$D50,RM_PM_Quantity[Section],$C50,RM_PM_Quantity[RM Name],$E50)+IF($D50="MIND/Pre-Production",SUMIFS(RM_PM_Quantity[Quantity],RM_PM_Quantity[Date],W$1,RM_PM_Quantity[Location],"MIDC/Pre-Production",RM_PM_Quantity[Section],$C50,RM_PM_Quantity[RM Name],$E50),0)</f>
        <v>0</v>
      </c>
      <c r="X50" s="84">
        <f>SUMIFS(RM_PM_Quantity[Quantity],RM_PM_Quantity[Date],X$1,RM_PM_Quantity[Location],$D50,RM_PM_Quantity[Section],$C50,RM_PM_Quantity[RM Name],$E50)+IF($D50="MIND/Pre-Production",SUMIFS(RM_PM_Quantity[Quantity],RM_PM_Quantity[Date],X$1,RM_PM_Quantity[Location],"MIDC/Pre-Production",RM_PM_Quantity[Section],$C50,RM_PM_Quantity[RM Name],$E50),0)</f>
        <v>0</v>
      </c>
      <c r="Y50" s="84">
        <f>SUMIFS(RM_PM_Quantity[Quantity],RM_PM_Quantity[Date],Y$1,RM_PM_Quantity[Location],$D50,RM_PM_Quantity[Section],$C50,RM_PM_Quantity[RM Name],$E50)+IF($D50="MIND/Pre-Production",SUMIFS(RM_PM_Quantity[Quantity],RM_PM_Quantity[Date],Y$1,RM_PM_Quantity[Location],"MIDC/Pre-Production",RM_PM_Quantity[Section],$C50,RM_PM_Quantity[RM Name],$E50),0)</f>
        <v>0</v>
      </c>
      <c r="Z50" s="84">
        <f>SUMIFS(RM_PM_Quantity[Quantity],RM_PM_Quantity[Date],Z$1,RM_PM_Quantity[Location],$D50,RM_PM_Quantity[Section],$C50,RM_PM_Quantity[RM Name],$E50)+IF($D50="MIND/Pre-Production",SUMIFS(RM_PM_Quantity[Quantity],RM_PM_Quantity[Date],Z$1,RM_PM_Quantity[Location],"MIDC/Pre-Production",RM_PM_Quantity[Section],$C50,RM_PM_Quantity[RM Name],$E50),0)</f>
        <v>0</v>
      </c>
      <c r="AA50" s="84">
        <f>SUMIFS(RM_PM_Quantity[Quantity],RM_PM_Quantity[Date],AA$1,RM_PM_Quantity[Location],$D50,RM_PM_Quantity[Section],$C50,RM_PM_Quantity[RM Name],$E50)+IF($D50="MIND/Pre-Production",SUMIFS(RM_PM_Quantity[Quantity],RM_PM_Quantity[Date],AA$1,RM_PM_Quantity[Location],"MIDC/Pre-Production",RM_PM_Quantity[Section],$C50,RM_PM_Quantity[RM Name],$E50),0)</f>
        <v>0</v>
      </c>
      <c r="AB50" s="84">
        <f>SUMIFS(RM_PM_Quantity[Quantity],RM_PM_Quantity[Date],AB$1,RM_PM_Quantity[Location],$D50,RM_PM_Quantity[Section],$C50,RM_PM_Quantity[RM Name],$E50)+IF($D50="MIND/Pre-Production",SUMIFS(RM_PM_Quantity[Quantity],RM_PM_Quantity[Date],AB$1,RM_PM_Quantity[Location],"MIDC/Pre-Production",RM_PM_Quantity[Section],$C50,RM_PM_Quantity[RM Name],$E50),0)</f>
        <v>0</v>
      </c>
      <c r="AC50" s="84">
        <f>SUMIFS(RM_PM_Quantity[Quantity],RM_PM_Quantity[Date],AC$1,RM_PM_Quantity[Location],$D50,RM_PM_Quantity[Section],$C50,RM_PM_Quantity[RM Name],$E50)+IF($D50="MIND/Pre-Production",SUMIFS(RM_PM_Quantity[Quantity],RM_PM_Quantity[Date],AC$1,RM_PM_Quantity[Location],"MIDC/Pre-Production",RM_PM_Quantity[Section],$C50,RM_PM_Quantity[RM Name],$E50),0)</f>
        <v>0</v>
      </c>
      <c r="AD50" s="84">
        <f>SUMIFS(RM_PM_Quantity[Quantity],RM_PM_Quantity[Date],AD$1,RM_PM_Quantity[Location],$D50,RM_PM_Quantity[Section],$C50,RM_PM_Quantity[RM Name],$E50)+IF($D50="MIND/Pre-Production",SUMIFS(RM_PM_Quantity[Quantity],RM_PM_Quantity[Date],AD$1,RM_PM_Quantity[Location],"MIDC/Pre-Production",RM_PM_Quantity[Section],$C50,RM_PM_Quantity[RM Name],$E50),0)</f>
        <v>0</v>
      </c>
      <c r="AE50" s="84">
        <f>SUMIFS(RM_PM_Quantity[Quantity],RM_PM_Quantity[Date],AE$1,RM_PM_Quantity[Location],$D50,RM_PM_Quantity[Section],$C50,RM_PM_Quantity[RM Name],$E50)+IF($D50="MIND/Pre-Production",SUMIFS(RM_PM_Quantity[Quantity],RM_PM_Quantity[Date],AE$1,RM_PM_Quantity[Location],"MIDC/Pre-Production",RM_PM_Quantity[Section],$C50,RM_PM_Quantity[RM Name],$E50),0)</f>
        <v>0</v>
      </c>
      <c r="AF50" s="84">
        <f>SUMIFS(RM_PM_Quantity[Quantity],RM_PM_Quantity[Date],AF$1,RM_PM_Quantity[Location],$D50,RM_PM_Quantity[Section],$C50,RM_PM_Quantity[RM Name],$E50)+IF($D50="MIND/Pre-Production",SUMIFS(RM_PM_Quantity[Quantity],RM_PM_Quantity[Date],AF$1,RM_PM_Quantity[Location],"MIDC/Pre-Production",RM_PM_Quantity[Section],$C50,RM_PM_Quantity[RM Name],$E50),0)</f>
        <v>0</v>
      </c>
      <c r="AG50" s="84">
        <f>SUMIFS(RM_PM_Quantity[Quantity],RM_PM_Quantity[Date],AG$1,RM_PM_Quantity[Location],$D50,RM_PM_Quantity[Section],$C50,RM_PM_Quantity[RM Name],$E50)+IF($D50="MIND/Pre-Production",SUMIFS(RM_PM_Quantity[Quantity],RM_PM_Quantity[Date],AG$1,RM_PM_Quantity[Location],"MIDC/Pre-Production",RM_PM_Quantity[Section],$C50,RM_PM_Quantity[RM Name],$E50),0)</f>
        <v>0</v>
      </c>
      <c r="AH50" s="84">
        <f>SUMIFS(RM_PM_Quantity[Quantity],RM_PM_Quantity[Date],AH$1,RM_PM_Quantity[Location],$D50,RM_PM_Quantity[Section],$C50,RM_PM_Quantity[RM Name],$E50)+IF($D50="MIND/Pre-Production",SUMIFS(RM_PM_Quantity[Quantity],RM_PM_Quantity[Date],AH$1,RM_PM_Quantity[Location],"MIDC/Pre-Production",RM_PM_Quantity[Section],$C50,RM_PM_Quantity[RM Name],$E50),0)</f>
        <v>0</v>
      </c>
      <c r="AI50" s="84">
        <f>SUMIFS(RM_PM_Quantity[Quantity],RM_PM_Quantity[Date],AI$1,RM_PM_Quantity[Location],$D50,RM_PM_Quantity[Section],$C50,RM_PM_Quantity[RM Name],$E50)+IF($D50="MIND/Pre-Production",SUMIFS(RM_PM_Quantity[Quantity],RM_PM_Quantity[Date],AI$1,RM_PM_Quantity[Location],"MIDC/Pre-Production",RM_PM_Quantity[Section],$C50,RM_PM_Quantity[RM Name],$E50),0)</f>
        <v>0</v>
      </c>
      <c r="AJ50" s="84">
        <f>SUMIFS(RM_PM_Quantity[Quantity],RM_PM_Quantity[Date],AJ$1,RM_PM_Quantity[Location],$D50,RM_PM_Quantity[Section],$C50,RM_PM_Quantity[RM Name],$E50)+IF($D50="MIND/Pre-Production",SUMIFS(RM_PM_Quantity[Quantity],RM_PM_Quantity[Date],AJ$1,RM_PM_Quantity[Location],"MIDC/Pre-Production",RM_PM_Quantity[Section],$C50,RM_PM_Quantity[RM Name],$E50),0)</f>
        <v>0</v>
      </c>
      <c r="AK50" s="84">
        <f>SUMIFS(RM_PM_Quantity[Quantity],RM_PM_Quantity[Date],AK$1,RM_PM_Quantity[Location],$D50,RM_PM_Quantity[Section],$C50,RM_PM_Quantity[RM Name],$E50)+IF($D50="MIND/Pre-Production",SUMIFS(RM_PM_Quantity[Quantity],RM_PM_Quantity[Date],AK$1,RM_PM_Quantity[Location],"MIDC/Pre-Production",RM_PM_Quantity[Section],$C50,RM_PM_Quantity[RM Name],$E50),0)</f>
        <v>0</v>
      </c>
      <c r="AL50" s="84">
        <f>SUMIFS(RM_PM_Quantity[Quantity],RM_PM_Quantity[Date],AL$1,RM_PM_Quantity[Location],$D50,RM_PM_Quantity[Section],$C50,RM_PM_Quantity[RM Name],$E50)+IF($D50="MIND/Pre-Production",SUMIFS(RM_PM_Quantity[Quantity],RM_PM_Quantity[Date],AL$1,RM_PM_Quantity[Location],"MIDC/Pre-Production",RM_PM_Quantity[Section],$C50,RM_PM_Quantity[RM Name],$E50),0)</f>
        <v>0</v>
      </c>
      <c r="AM50" s="84">
        <f>SUMIFS(RM_PM_Quantity[Quantity],RM_PM_Quantity[Date],AM$1,RM_PM_Quantity[Location],$D50,RM_PM_Quantity[Section],$C50,RM_PM_Quantity[RM Name],$E50)+IF($D50="MIND/Pre-Production",SUMIFS(RM_PM_Quantity[Quantity],RM_PM_Quantity[Date],AM$1,RM_PM_Quantity[Location],"MIDC/Pre-Production",RM_PM_Quantity[Section],$C50,RM_PM_Quantity[RM Name],$E50),0)</f>
        <v>0</v>
      </c>
      <c r="AN50" s="84">
        <f>SUMIFS(RM_PM_Quantity[Quantity],RM_PM_Quantity[Date],AN$1,RM_PM_Quantity[Location],$D50,RM_PM_Quantity[Section],$C50,RM_PM_Quantity[RM Name],$E50)+IF($D50="MIND/Pre-Production",SUMIFS(RM_PM_Quantity[Quantity],RM_PM_Quantity[Date],AN$1,RM_PM_Quantity[Location],"MIDC/Pre-Production",RM_PM_Quantity[Section],$C50,RM_PM_Quantity[RM Name],$E50),0)</f>
        <v>0</v>
      </c>
      <c r="AO50" s="84">
        <f>SUMIFS(RM_PM_Quantity[Quantity],RM_PM_Quantity[Date],AO$1,RM_PM_Quantity[Location],$D50,RM_PM_Quantity[Section],$C50,RM_PM_Quantity[RM Name],$E50)+IF($D50="MIND/Pre-Production",SUMIFS(RM_PM_Quantity[Quantity],RM_PM_Quantity[Date],AO$1,RM_PM_Quantity[Location],"MIDC/Pre-Production",RM_PM_Quantity[Section],$C50,RM_PM_Quantity[RM Name],$E50),0)</f>
        <v>0</v>
      </c>
      <c r="AP50" s="84">
        <f>SUMIFS(RM_PM_Quantity[Quantity],RM_PM_Quantity[Date],AP$1,RM_PM_Quantity[Location],$D50,RM_PM_Quantity[Section],$C50,RM_PM_Quantity[RM Name],$E50)+IF($D50="MIND/Pre-Production",SUMIFS(RM_PM_Quantity[Quantity],RM_PM_Quantity[Date],AP$1,RM_PM_Quantity[Location],"MIDC/Pre-Production",RM_PM_Quantity[Section],$C50,RM_PM_Quantity[RM Name],$E50),0)</f>
        <v>0</v>
      </c>
      <c r="AQ50" s="84">
        <f>SUMIFS(RM_PM_Quantity[Quantity],RM_PM_Quantity[Date],AQ$1,RM_PM_Quantity[Location],$D50,RM_PM_Quantity[Section],$C50,RM_PM_Quantity[RM Name],$E50)+IF($D50="MIND/Pre-Production",SUMIFS(RM_PM_Quantity[Quantity],RM_PM_Quantity[Date],AQ$1,RM_PM_Quantity[Location],"MIDC/Pre-Production",RM_PM_Quantity[Section],$C50,RM_PM_Quantity[RM Name],$E50),0)</f>
        <v>0</v>
      </c>
      <c r="AR50" s="84">
        <f>SUMIFS(RM_PM_Quantity[Quantity],RM_PM_Quantity[Date],AR$1,RM_PM_Quantity[Location],$D50,RM_PM_Quantity[Section],$C50,RM_PM_Quantity[RM Name],$E50)+IF($D50="MIND/Pre-Production",SUMIFS(RM_PM_Quantity[Quantity],RM_PM_Quantity[Date],AR$1,RM_PM_Quantity[Location],"MIDC/Pre-Production",RM_PM_Quantity[Section],$C50,RM_PM_Quantity[RM Name],$E50),0)</f>
        <v>0</v>
      </c>
      <c r="AS50" s="84">
        <f>SUMIFS(RM_PM_Quantity[Quantity],RM_PM_Quantity[Date],AS$1,RM_PM_Quantity[Location],$D50,RM_PM_Quantity[Section],$C50,RM_PM_Quantity[RM Name],$E50)+IF($D50="MIND/Pre-Production",SUMIFS(RM_PM_Quantity[Quantity],RM_PM_Quantity[Date],AS$1,RM_PM_Quantity[Location],"MIDC/Pre-Production",RM_PM_Quantity[Section],$C50,RM_PM_Quantity[RM Name],$E50),0)</f>
        <v>0</v>
      </c>
      <c r="AT50" s="84">
        <f>SUMIFS(RM_PM_Quantity[Quantity],RM_PM_Quantity[Date],AT$1,RM_PM_Quantity[Location],$D50,RM_PM_Quantity[Section],$C50,RM_PM_Quantity[RM Name],$E50)+IF($D50="MIND/Pre-Production",SUMIFS(RM_PM_Quantity[Quantity],RM_PM_Quantity[Date],AT$1,RM_PM_Quantity[Location],"MIDC/Pre-Production",RM_PM_Quantity[Section],$C50,RM_PM_Quantity[RM Name],$E50),0)</f>
        <v>0</v>
      </c>
      <c r="AU50" s="84">
        <f>SUMIFS(RM_PM_Quantity[Quantity],RM_PM_Quantity[Date],AU$1,RM_PM_Quantity[Location],$D50,RM_PM_Quantity[Section],$C50,RM_PM_Quantity[RM Name],$E50)+IF($D50="MIND/Pre-Production",SUMIFS(RM_PM_Quantity[Quantity],RM_PM_Quantity[Date],AU$1,RM_PM_Quantity[Location],"MIDC/Pre-Production",RM_PM_Quantity[Section],$C50,RM_PM_Quantity[RM Name],$E50),0)</f>
        <v>0</v>
      </c>
      <c r="AV50" s="84">
        <f>SUMIFS(RM_PM_Quantity[Quantity],RM_PM_Quantity[Date],AV$1,RM_PM_Quantity[Location],$D50,RM_PM_Quantity[Section],$C50,RM_PM_Quantity[RM Name],$E50)+IF($D50="MIND/Pre-Production",SUMIFS(RM_PM_Quantity[Quantity],RM_PM_Quantity[Date],AV$1,RM_PM_Quantity[Location],"MIDC/Pre-Production",RM_PM_Quantity[Section],$C50,RM_PM_Quantity[RM Name],$E50),0)</f>
        <v>0</v>
      </c>
      <c r="AW50" s="84">
        <f>SUMIFS(RM_PM_Quantity[Quantity],RM_PM_Quantity[Date],AW$1,RM_PM_Quantity[Location],$D50,RM_PM_Quantity[Section],$C50,RM_PM_Quantity[RM Name],$E50)+IF($D50="MIND/Pre-Production",SUMIFS(RM_PM_Quantity[Quantity],RM_PM_Quantity[Date],AW$1,RM_PM_Quantity[Location],"MIDC/Pre-Production",RM_PM_Quantity[Section],$C50,RM_PM_Quantity[RM Name],$E50),0)</f>
        <v>0</v>
      </c>
      <c r="AX50" s="84">
        <f>SUMIFS(RM_PM_Quantity[Quantity],RM_PM_Quantity[Date],AX$1,RM_PM_Quantity[Location],$D50,RM_PM_Quantity[Section],$C50,RM_PM_Quantity[RM Name],$E50)+IF($D50="MIND/Pre-Production",SUMIFS(RM_PM_Quantity[Quantity],RM_PM_Quantity[Date],AX$1,RM_PM_Quantity[Location],"MIDC/Pre-Production",RM_PM_Quantity[Section],$C50,RM_PM_Quantity[RM Name],$E50),0)</f>
        <v>0</v>
      </c>
      <c r="AY50" s="84">
        <f>SUMIFS(RM_PM_Quantity[Quantity],RM_PM_Quantity[Date],AY$1,RM_PM_Quantity[Location],$D50,RM_PM_Quantity[Section],$C50,RM_PM_Quantity[RM Name],$E50)+IF($D50="MIND/Pre-Production",SUMIFS(RM_PM_Quantity[Quantity],RM_PM_Quantity[Date],AY$1,RM_PM_Quantity[Location],"MIDC/Pre-Production",RM_PM_Quantity[Section],$C50,RM_PM_Quantity[RM Name],$E50),0)</f>
        <v>0</v>
      </c>
      <c r="AZ50" s="84">
        <f>SUMIFS(RM_PM_Quantity[Quantity],RM_PM_Quantity[Date],AZ$1,RM_PM_Quantity[Location],$D50,RM_PM_Quantity[Section],$C50,RM_PM_Quantity[RM Name],$E50)+IF($D50="MIND/Pre-Production",SUMIFS(RM_PM_Quantity[Quantity],RM_PM_Quantity[Date],AZ$1,RM_PM_Quantity[Location],"MIDC/Pre-Production",RM_PM_Quantity[Section],$C50,RM_PM_Quantity[RM Name],$E50),0)</f>
        <v>0</v>
      </c>
      <c r="BA50" s="84">
        <f>SUMIFS(RM_PM_Quantity[Quantity],RM_PM_Quantity[Date],BA$1,RM_PM_Quantity[Location],$D50,RM_PM_Quantity[Section],$C50,RM_PM_Quantity[RM Name],$E50)+IF($D50="MIND/Pre-Production",SUMIFS(RM_PM_Quantity[Quantity],RM_PM_Quantity[Date],BA$1,RM_PM_Quantity[Location],"MIDC/Pre-Production",RM_PM_Quantity[Section],$C50,RM_PM_Quantity[RM Name],$E50),0)</f>
        <v>0</v>
      </c>
      <c r="BB50" s="84">
        <f>SUMIFS(RM_PM_Quantity[Quantity],RM_PM_Quantity[Date],BB$1,RM_PM_Quantity[Location],$D50,RM_PM_Quantity[Section],$C50,RM_PM_Quantity[RM Name],$E50)+IF($D50="MIND/Pre-Production",SUMIFS(RM_PM_Quantity[Quantity],RM_PM_Quantity[Date],BB$1,RM_PM_Quantity[Location],"MIDC/Pre-Production",RM_PM_Quantity[Section],$C50,RM_PM_Quantity[RM Name],$E50),0)</f>
        <v>0</v>
      </c>
      <c r="BC50" s="84">
        <f>SUMIFS(RM_PM_Quantity[Quantity],RM_PM_Quantity[Date],BC$1,RM_PM_Quantity[Location],$D50,RM_PM_Quantity[Section],$C50,RM_PM_Quantity[RM Name],$E50)+IF($D50="MIND/Pre-Production",SUMIFS(RM_PM_Quantity[Quantity],RM_PM_Quantity[Date],BC$1,RM_PM_Quantity[Location],"MIDC/Pre-Production",RM_PM_Quantity[Section],$C50,RM_PM_Quantity[RM Name],$E50),0)</f>
        <v>0</v>
      </c>
      <c r="BD50" s="84">
        <f>SUMIFS(RM_PM_Quantity[Quantity],RM_PM_Quantity[Date],BD$1,RM_PM_Quantity[Location],$D50,RM_PM_Quantity[Section],$C50,RM_PM_Quantity[RM Name],$E50)+IF($D50="MIND/Pre-Production",SUMIFS(RM_PM_Quantity[Quantity],RM_PM_Quantity[Date],BD$1,RM_PM_Quantity[Location],"MIDC/Pre-Production",RM_PM_Quantity[Section],$C50,RM_PM_Quantity[RM Name],$E50),0)</f>
        <v>0</v>
      </c>
      <c r="BE50" s="84">
        <f>SUMIFS(RM_PM_Quantity[Quantity],RM_PM_Quantity[Date],BE$1,RM_PM_Quantity[Location],$D50,RM_PM_Quantity[Section],$C50,RM_PM_Quantity[RM Name],$E50)+IF($D50="MIND/Pre-Production",SUMIFS(RM_PM_Quantity[Quantity],RM_PM_Quantity[Date],BE$1,RM_PM_Quantity[Location],"MIDC/Pre-Production",RM_PM_Quantity[Section],$C50,RM_PM_Quantity[RM Name],$E50),0)</f>
        <v>0</v>
      </c>
      <c r="BF50" s="84">
        <f>SUMIFS(RM_PM_Quantity[Quantity],RM_PM_Quantity[Date],BF$1,RM_PM_Quantity[Location],$D50,RM_PM_Quantity[Section],$C50,RM_PM_Quantity[RM Name],$E50)+IF($D50="MIND/Pre-Production",SUMIFS(RM_PM_Quantity[Quantity],RM_PM_Quantity[Date],BF$1,RM_PM_Quantity[Location],"MIDC/Pre-Production",RM_PM_Quantity[Section],$C50,RM_PM_Quantity[RM Name],$E50),0)</f>
        <v>0</v>
      </c>
      <c r="BG50" s="84">
        <f>SUMIFS(RM_PM_Quantity[Quantity],RM_PM_Quantity[Date],BG$1,RM_PM_Quantity[Location],$D50,RM_PM_Quantity[Section],$C50,RM_PM_Quantity[RM Name],$E50)+IF($D50="MIND/Pre-Production",SUMIFS(RM_PM_Quantity[Quantity],RM_PM_Quantity[Date],BG$1,RM_PM_Quantity[Location],"MIDC/Pre-Production",RM_PM_Quantity[Section],$C50,RM_PM_Quantity[RM Name],$E50),0)</f>
        <v>0</v>
      </c>
      <c r="BH50" s="84">
        <f>SUMIFS(RM_PM_Quantity[Quantity],RM_PM_Quantity[Date],BH$1,RM_PM_Quantity[Location],$D50,RM_PM_Quantity[Section],$C50,RM_PM_Quantity[RM Name],$E50)+IF($D50="MIND/Pre-Production",SUMIFS(RM_PM_Quantity[Quantity],RM_PM_Quantity[Date],BH$1,RM_PM_Quantity[Location],"MIDC/Pre-Production",RM_PM_Quantity[Section],$C50,RM_PM_Quantity[RM Name],$E50),0)</f>
        <v>0</v>
      </c>
      <c r="BI50" s="84">
        <f>SUMIFS(RM_PM_Quantity[Quantity],RM_PM_Quantity[Date],BI$1,RM_PM_Quantity[Location],$D50,RM_PM_Quantity[Section],$C50,RM_PM_Quantity[RM Name],$E50)+IF($D50="MIND/Pre-Production",SUMIFS(RM_PM_Quantity[Quantity],RM_PM_Quantity[Date],BI$1,RM_PM_Quantity[Location],"MIDC/Pre-Production",RM_PM_Quantity[Section],$C50,RM_PM_Quantity[RM Name],$E50),0)</f>
        <v>0</v>
      </c>
      <c r="BJ50" s="84">
        <f>SUMIFS(RM_PM_Quantity[Quantity],RM_PM_Quantity[Date],BJ$1,RM_PM_Quantity[Location],$D50,RM_PM_Quantity[Section],$C50,RM_PM_Quantity[RM Name],$E50)+IF($D50="MIND/Pre-Production",SUMIFS(RM_PM_Quantity[Quantity],RM_PM_Quantity[Date],BJ$1,RM_PM_Quantity[Location],"MIDC/Pre-Production",RM_PM_Quantity[Section],$C50,RM_PM_Quantity[RM Name],$E50),0)</f>
        <v>0</v>
      </c>
      <c r="BK50" s="84">
        <f>SUMIFS(RM_PM_Quantity[Quantity],RM_PM_Quantity[Date],BK$1,RM_PM_Quantity[Location],$D50,RM_PM_Quantity[Section],$C50,RM_PM_Quantity[RM Name],$E50)+IF($D50="MIND/Pre-Production",SUMIFS(RM_PM_Quantity[Quantity],RM_PM_Quantity[Date],BK$1,RM_PM_Quantity[Location],"MIDC/Pre-Production",RM_PM_Quantity[Section],$C50,RM_PM_Quantity[RM Name],$E50),0)</f>
        <v>0</v>
      </c>
      <c r="BL50" s="84">
        <f>SUMIFS(RM_PM_Quantity[Quantity],RM_PM_Quantity[Date],BL$1,RM_PM_Quantity[Location],$D50,RM_PM_Quantity[Section],$C50,RM_PM_Quantity[RM Name],$E50)+IF($D50="MIND/Pre-Production",SUMIFS(RM_PM_Quantity[Quantity],RM_PM_Quantity[Date],BL$1,RM_PM_Quantity[Location],"MIDC/Pre-Production",RM_PM_Quantity[Section],$C50,RM_PM_Quantity[RM Name],$E50),0)</f>
        <v>0</v>
      </c>
      <c r="BM50" s="84">
        <f>SUMIFS(RM_PM_Quantity[Quantity],RM_PM_Quantity[Date],BM$1,RM_PM_Quantity[Location],$D50,RM_PM_Quantity[Section],$C50,RM_PM_Quantity[RM Name],$E50)+IF($D50="MIND/Pre-Production",SUMIFS(RM_PM_Quantity[Quantity],RM_PM_Quantity[Date],BM$1,RM_PM_Quantity[Location],"MIDC/Pre-Production",RM_PM_Quantity[Section],$C50,RM_PM_Quantity[RM Name],$E50),0)</f>
        <v>0</v>
      </c>
      <c r="BN50" s="84">
        <f>SUMIFS(RM_PM_Quantity[Quantity],RM_PM_Quantity[Date],BN$1,RM_PM_Quantity[Location],$D50,RM_PM_Quantity[Section],$C50,RM_PM_Quantity[RM Name],$E50)+IF($D50="MIND/Pre-Production",SUMIFS(RM_PM_Quantity[Quantity],RM_PM_Quantity[Date],BN$1,RM_PM_Quantity[Location],"MIDC/Pre-Production",RM_PM_Quantity[Section],$C50,RM_PM_Quantity[RM Name],$E50),0)</f>
        <v>0</v>
      </c>
      <c r="BO50" s="84">
        <f>SUMIFS(RM_PM_Quantity[Quantity],RM_PM_Quantity[Date],BO$1,RM_PM_Quantity[Location],$D50,RM_PM_Quantity[Section],$C50,RM_PM_Quantity[RM Name],$E50)+IF($D50="MIND/Pre-Production",SUMIFS(RM_PM_Quantity[Quantity],RM_PM_Quantity[Date],BO$1,RM_PM_Quantity[Location],"MIDC/Pre-Production",RM_PM_Quantity[Section],$C50,RM_PM_Quantity[RM Name],$E50),0)</f>
        <v>0</v>
      </c>
      <c r="BP50" s="84">
        <f>SUMIFS(RM_PM_Quantity[Quantity],RM_PM_Quantity[Date],BP$1,RM_PM_Quantity[Location],$D50,RM_PM_Quantity[Section],$C50,RM_PM_Quantity[RM Name],$E50)+IF($D50="MIND/Pre-Production",SUMIFS(RM_PM_Quantity[Quantity],RM_PM_Quantity[Date],BP$1,RM_PM_Quantity[Location],"MIDC/Pre-Production",RM_PM_Quantity[Section],$C50,RM_PM_Quantity[RM Name],$E50),0)</f>
        <v>0</v>
      </c>
      <c r="BQ50" s="84">
        <f>SUMIFS(RM_PM_Quantity[Quantity],RM_PM_Quantity[Date],BQ$1,RM_PM_Quantity[Location],$D50,RM_PM_Quantity[Section],$C50,RM_PM_Quantity[RM Name],$E50)+IF($D50="MIND/Pre-Production",SUMIFS(RM_PM_Quantity[Quantity],RM_PM_Quantity[Date],BQ$1,RM_PM_Quantity[Location],"MIDC/Pre-Production",RM_PM_Quantity[Section],$C50,RM_PM_Quantity[RM Name],$E50),0)</f>
        <v>0</v>
      </c>
      <c r="BR50" s="84">
        <f>SUMIFS(RM_PM_Quantity[Quantity],RM_PM_Quantity[Date],BR$1,RM_PM_Quantity[Location],$D50,RM_PM_Quantity[Section],$C50,RM_PM_Quantity[RM Name],$E50)+IF($D50="MIND/Pre-Production",SUMIFS(RM_PM_Quantity[Quantity],RM_PM_Quantity[Date],BR$1,RM_PM_Quantity[Location],"MIDC/Pre-Production",RM_PM_Quantity[Section],$C50,RM_PM_Quantity[RM Name],$E50),0)</f>
        <v>0</v>
      </c>
      <c r="BS50" s="84">
        <f>SUMIFS(RM_PM_Quantity[Quantity],RM_PM_Quantity[Date],BS$1,RM_PM_Quantity[Location],$D50,RM_PM_Quantity[Section],$C50,RM_PM_Quantity[RM Name],$E50)+IF($D50="MIND/Pre-Production",SUMIFS(RM_PM_Quantity[Quantity],RM_PM_Quantity[Date],BS$1,RM_PM_Quantity[Location],"MIDC/Pre-Production",RM_PM_Quantity[Section],$C50,RM_PM_Quantity[RM Name],$E50),0)</f>
        <v>0</v>
      </c>
      <c r="BT50" s="84">
        <f>SUMIFS(RM_PM_Quantity[ID],RM_PM_Quantity[Location],BT$1,RM_PM_Quantity[Section],$D50,RM_PM_Quantity[RM Name],$C50,RM_PM_Quantity[Quantity],$E50)+IF($D50="MIND/Pre-Production",SUMIFS(RM_PM_Quantity[ID],RM_PM_Quantity[Location],BT$1,RM_PM_Quantity[Section],"MIDC/Pre-Production",RM_PM_Quantity[RM Name],$C50,RM_PM_Quantity[Quantity],$E50),0)</f>
        <v>0</v>
      </c>
      <c r="BU50" s="84">
        <f>SUMIFS(RM_PM_Quantity[Name of Supervisor],RM_PM_Quantity[Section],BU$1,RM_PM_Quantity[RM Name],$D50,RM_PM_Quantity[Quantity],$C50,RM_PM_Quantity[ID],$E50)+IF($D50="MIND/Pre-Production",SUMIFS(RM_PM_Quantity[Name of Supervisor],RM_PM_Quantity[Section],BU$1,RM_PM_Quantity[RM Name],"MIDC/Pre-Production",RM_PM_Quantity[Quantity],$C50,RM_PM_Quantity[ID],$E50),0)</f>
        <v>0</v>
      </c>
      <c r="BV50" s="84">
        <f>SUMIFS(RM_PM_Quantity[Date],RM_PM_Quantity[RM Name],BV$1,RM_PM_Quantity[Quantity],$D50,RM_PM_Quantity[ID],$C50,RM_PM_Quantity[Name of Supervisor],$E50)+IF($D50="MIND/Pre-Production",SUMIFS(RM_PM_Quantity[Date],RM_PM_Quantity[RM Name],BV$1,RM_PM_Quantity[Quantity],"MIDC/Pre-Production",RM_PM_Quantity[ID],$C50,RM_PM_Quantity[Name of Supervisor],$E50),0)</f>
        <v>0</v>
      </c>
      <c r="BW50" s="84">
        <f>SUMIFS(RM_PM_Quantity[Location],RM_PM_Quantity[Quantity],BW$1,RM_PM_Quantity[ID],$D50,RM_PM_Quantity[Name of Supervisor],$C50,RM_PM_Quantity[Date],$E50)+IF($D50="MIND/Pre-Production",SUMIFS(RM_PM_Quantity[Location],RM_PM_Quantity[Quantity],BW$1,RM_PM_Quantity[ID],"MIDC/Pre-Production",RM_PM_Quantity[Name of Supervisor],$C50,RM_PM_Quantity[Date],$E50),0)</f>
        <v>0</v>
      </c>
      <c r="BX50" s="84">
        <f>SUMIFS(RM_PM_Quantity[Section],RM_PM_Quantity[ID],BX$1,RM_PM_Quantity[Name of Supervisor],$D50,RM_PM_Quantity[Date],$C50,RM_PM_Quantity[Location],$E50)+IF($D50="MIND/Pre-Production",SUMIFS(RM_PM_Quantity[Section],RM_PM_Quantity[ID],BX$1,RM_PM_Quantity[Name of Supervisor],"MIDC/Pre-Production",RM_PM_Quantity[Date],$C50,RM_PM_Quantity[Location],$E50),0)</f>
        <v>0</v>
      </c>
      <c r="BY50" s="84">
        <f>SUMIFS(RM_PM_Quantity[RM Name],RM_PM_Quantity[Name of Supervisor],BY$1,RM_PM_Quantity[Date],$D50,RM_PM_Quantity[Location],$C50,RM_PM_Quantity[Section],$E50)+IF($D50="MIND/Pre-Production",SUMIFS(RM_PM_Quantity[RM Name],RM_PM_Quantity[Name of Supervisor],BY$1,RM_PM_Quantity[Date],"MIDC/Pre-Production",RM_PM_Quantity[Location],$C50,RM_PM_Quantity[Section],$E50),0)</f>
        <v>0</v>
      </c>
    </row>
    <row r="51" spans="1:77" ht="45.75" customHeight="1">
      <c r="A51" s="79">
        <v>50</v>
      </c>
      <c r="B51" s="87" t="s">
        <v>145</v>
      </c>
      <c r="C51" s="80" t="s">
        <v>146</v>
      </c>
      <c r="D51" s="81" t="s">
        <v>54</v>
      </c>
      <c r="E51" s="90" t="s">
        <v>147</v>
      </c>
      <c r="F51" s="83">
        <f>IFERROR(_xlfn.XLOOKUP(B51,'[1]RM Tracker'!B:B,'[1]RM Tracker'!E:E),"0")</f>
        <v>0.1888</v>
      </c>
      <c r="G51" s="85">
        <f t="shared" si="2"/>
        <v>0</v>
      </c>
      <c r="H51" s="85">
        <f t="shared" si="3"/>
        <v>-0.1888</v>
      </c>
      <c r="I51" s="91">
        <f t="shared" si="4"/>
        <v>0</v>
      </c>
      <c r="J51" s="84">
        <f>SUMIFS(RM_PM_Quantity[Quantity],RM_PM_Quantity[Date],J$1,RM_PM_Quantity[Location],$D51,RM_PM_Quantity[Section],$C51,RM_PM_Quantity[RM Name],$E51)+IF($D51="MIND/Pre-Production",SUMIFS(RM_PM_Quantity[Quantity],RM_PM_Quantity[Date],J$1,RM_PM_Quantity[Location],"MIDC/Pre-Production",RM_PM_Quantity[Section],$C51,RM_PM_Quantity[RM Name],$E51),0)</f>
        <v>0</v>
      </c>
      <c r="K51" s="84">
        <f>SUMIFS(RM_PM_Quantity[Quantity],RM_PM_Quantity[Date],K$1,RM_PM_Quantity[Location],$D51,RM_PM_Quantity[Section],$C51,RM_PM_Quantity[RM Name],$E51)+IF($D51="MIND/Pre-Production",SUMIFS(RM_PM_Quantity[Quantity],RM_PM_Quantity[Date],K$1,RM_PM_Quantity[Location],"MIDC/Pre-Production",RM_PM_Quantity[Section],$C51,RM_PM_Quantity[RM Name],$E51),0)</f>
        <v>0</v>
      </c>
      <c r="L51" s="84">
        <f>SUMIFS(RM_PM_Quantity[Quantity],RM_PM_Quantity[Date],L$1,RM_PM_Quantity[Location],$D51,RM_PM_Quantity[Section],$C51,RM_PM_Quantity[RM Name],$E51)+IF($D51="MIND/Pre-Production",SUMIFS(RM_PM_Quantity[Quantity],RM_PM_Quantity[Date],L$1,RM_PM_Quantity[Location],"MIDC/Pre-Production",RM_PM_Quantity[Section],$C51,RM_PM_Quantity[RM Name],$E51),0)</f>
        <v>0</v>
      </c>
      <c r="M51" s="84">
        <f>SUMIFS(RM_PM_Quantity[Quantity],RM_PM_Quantity[Date],M$1,RM_PM_Quantity[Location],$D51,RM_PM_Quantity[Section],$C51,RM_PM_Quantity[RM Name],$E51)+IF($D51="MIND/Pre-Production",SUMIFS(RM_PM_Quantity[Quantity],RM_PM_Quantity[Date],M$1,RM_PM_Quantity[Location],"MIDC/Pre-Production",RM_PM_Quantity[Section],$C51,RM_PM_Quantity[RM Name],$E51),0)</f>
        <v>0</v>
      </c>
      <c r="N51" s="84">
        <f>SUMIFS(RM_PM_Quantity[Quantity],RM_PM_Quantity[Date],N$1,RM_PM_Quantity[Location],$D51,RM_PM_Quantity[Section],$C51,RM_PM_Quantity[RM Name],$E51)+IF($D51="MIND/Pre-Production",SUMIFS(RM_PM_Quantity[Quantity],RM_PM_Quantity[Date],N$1,RM_PM_Quantity[Location],"MIDC/Pre-Production",RM_PM_Quantity[Section],$C51,RM_PM_Quantity[RM Name],$E51),0)</f>
        <v>0</v>
      </c>
      <c r="O51" s="84">
        <f>SUMIFS(RM_PM_Quantity[Quantity],RM_PM_Quantity[Date],O$1,RM_PM_Quantity[Location],$D51,RM_PM_Quantity[Section],$C51,RM_PM_Quantity[RM Name],$E51)+IF($D51="MIND/Pre-Production",SUMIFS(RM_PM_Quantity[Quantity],RM_PM_Quantity[Date],O$1,RM_PM_Quantity[Location],"MIDC/Pre-Production",RM_PM_Quantity[Section],$C51,RM_PM_Quantity[RM Name],$E51),0)</f>
        <v>0</v>
      </c>
      <c r="P51" s="84">
        <f>SUMIFS(RM_PM_Quantity[Quantity],RM_PM_Quantity[Date],P$1,RM_PM_Quantity[Location],$D51,RM_PM_Quantity[Section],$C51,RM_PM_Quantity[RM Name],$E51)+IF($D51="MIND/Pre-Production",SUMIFS(RM_PM_Quantity[Quantity],RM_PM_Quantity[Date],P$1,RM_PM_Quantity[Location],"MIDC/Pre-Production",RM_PM_Quantity[Section],$C51,RM_PM_Quantity[RM Name],$E51),0)</f>
        <v>0</v>
      </c>
      <c r="Q51" s="84">
        <f>SUMIFS(RM_PM_Quantity[Quantity],RM_PM_Quantity[Date],Q$1,RM_PM_Quantity[Location],$D51,RM_PM_Quantity[Section],$C51,RM_PM_Quantity[RM Name],$E51)+IF($D51="MIND/Pre-Production",SUMIFS(RM_PM_Quantity[Quantity],RM_PM_Quantity[Date],Q$1,RM_PM_Quantity[Location],"MIDC/Pre-Production",RM_PM_Quantity[Section],$C51,RM_PM_Quantity[RM Name],$E51),0)</f>
        <v>0</v>
      </c>
      <c r="R51" s="84">
        <f>SUMIFS(RM_PM_Quantity[Quantity],RM_PM_Quantity[Date],R$1,RM_PM_Quantity[Location],$D51,RM_PM_Quantity[Section],$C51,RM_PM_Quantity[RM Name],$E51)+IF($D51="MIND/Pre-Production",SUMIFS(RM_PM_Quantity[Quantity],RM_PM_Quantity[Date],R$1,RM_PM_Quantity[Location],"MIDC/Pre-Production",RM_PM_Quantity[Section],$C51,RM_PM_Quantity[RM Name],$E51),0)</f>
        <v>0</v>
      </c>
      <c r="S51" s="84">
        <f>SUMIFS(RM_PM_Quantity[Quantity],RM_PM_Quantity[Date],S$1,RM_PM_Quantity[Location],$D51,RM_PM_Quantity[Section],$C51,RM_PM_Quantity[RM Name],$E51)+IF($D51="MIND/Pre-Production",SUMIFS(RM_PM_Quantity[Quantity],RM_PM_Quantity[Date],S$1,RM_PM_Quantity[Location],"MIDC/Pre-Production",RM_PM_Quantity[Section],$C51,RM_PM_Quantity[RM Name],$E51),0)</f>
        <v>0</v>
      </c>
      <c r="T51" s="84">
        <f>SUMIFS(RM_PM_Quantity[Quantity],RM_PM_Quantity[Date],T$1,RM_PM_Quantity[Location],$D51,RM_PM_Quantity[Section],$C51,RM_PM_Quantity[RM Name],$E51)+IF($D51="MIND/Pre-Production",SUMIFS(RM_PM_Quantity[Quantity],RM_PM_Quantity[Date],T$1,RM_PM_Quantity[Location],"MIDC/Pre-Production",RM_PM_Quantity[Section],$C51,RM_PM_Quantity[RM Name],$E51),0)</f>
        <v>0</v>
      </c>
      <c r="U51" s="84">
        <f>SUMIFS(RM_PM_Quantity[Quantity],RM_PM_Quantity[Date],U$1,RM_PM_Quantity[Location],$D51,RM_PM_Quantity[Section],$C51,RM_PM_Quantity[RM Name],$E51)+IF($D51="MIND/Pre-Production",SUMIFS(RM_PM_Quantity[Quantity],RM_PM_Quantity[Date],U$1,RM_PM_Quantity[Location],"MIDC/Pre-Production",RM_PM_Quantity[Section],$C51,RM_PM_Quantity[RM Name],$E51),0)</f>
        <v>0</v>
      </c>
      <c r="V51" s="84">
        <f>SUMIFS(RM_PM_Quantity[Quantity],RM_PM_Quantity[Date],V$1,RM_PM_Quantity[Location],$D51,RM_PM_Quantity[Section],$C51,RM_PM_Quantity[RM Name],$E51)+IF($D51="MIND/Pre-Production",SUMIFS(RM_PM_Quantity[Quantity],RM_PM_Quantity[Date],V$1,RM_PM_Quantity[Location],"MIDC/Pre-Production",RM_PM_Quantity[Section],$C51,RM_PM_Quantity[RM Name],$E51),0)</f>
        <v>0</v>
      </c>
      <c r="W51" s="84">
        <f>SUMIFS(RM_PM_Quantity[Quantity],RM_PM_Quantity[Date],W$1,RM_PM_Quantity[Location],$D51,RM_PM_Quantity[Section],$C51,RM_PM_Quantity[RM Name],$E51)+IF($D51="MIND/Pre-Production",SUMIFS(RM_PM_Quantity[Quantity],RM_PM_Quantity[Date],W$1,RM_PM_Quantity[Location],"MIDC/Pre-Production",RM_PM_Quantity[Section],$C51,RM_PM_Quantity[RM Name],$E51),0)</f>
        <v>0</v>
      </c>
      <c r="X51" s="84">
        <f>SUMIFS(RM_PM_Quantity[Quantity],RM_PM_Quantity[Date],X$1,RM_PM_Quantity[Location],$D51,RM_PM_Quantity[Section],$C51,RM_PM_Quantity[RM Name],$E51)+IF($D51="MIND/Pre-Production",SUMIFS(RM_PM_Quantity[Quantity],RM_PM_Quantity[Date],X$1,RM_PM_Quantity[Location],"MIDC/Pre-Production",RM_PM_Quantity[Section],$C51,RM_PM_Quantity[RM Name],$E51),0)</f>
        <v>0</v>
      </c>
      <c r="Y51" s="84">
        <f>SUMIFS(RM_PM_Quantity[Quantity],RM_PM_Quantity[Date],Y$1,RM_PM_Quantity[Location],$D51,RM_PM_Quantity[Section],$C51,RM_PM_Quantity[RM Name],$E51)+IF($D51="MIND/Pre-Production",SUMIFS(RM_PM_Quantity[Quantity],RM_PM_Quantity[Date],Y$1,RM_PM_Quantity[Location],"MIDC/Pre-Production",RM_PM_Quantity[Section],$C51,RM_PM_Quantity[RM Name],$E51),0)</f>
        <v>0</v>
      </c>
      <c r="Z51" s="84">
        <f>SUMIFS(RM_PM_Quantity[Quantity],RM_PM_Quantity[Date],Z$1,RM_PM_Quantity[Location],$D51,RM_PM_Quantity[Section],$C51,RM_PM_Quantity[RM Name],$E51)+IF($D51="MIND/Pre-Production",SUMIFS(RM_PM_Quantity[Quantity],RM_PM_Quantity[Date],Z$1,RM_PM_Quantity[Location],"MIDC/Pre-Production",RM_PM_Quantity[Section],$C51,RM_PM_Quantity[RM Name],$E51),0)</f>
        <v>0</v>
      </c>
      <c r="AA51" s="84">
        <f>SUMIFS(RM_PM_Quantity[Quantity],RM_PM_Quantity[Date],AA$1,RM_PM_Quantity[Location],$D51,RM_PM_Quantity[Section],$C51,RM_PM_Quantity[RM Name],$E51)+IF($D51="MIND/Pre-Production",SUMIFS(RM_PM_Quantity[Quantity],RM_PM_Quantity[Date],AA$1,RM_PM_Quantity[Location],"MIDC/Pre-Production",RM_PM_Quantity[Section],$C51,RM_PM_Quantity[RM Name],$E51),0)</f>
        <v>0</v>
      </c>
      <c r="AB51" s="84">
        <f>SUMIFS(RM_PM_Quantity[Quantity],RM_PM_Quantity[Date],AB$1,RM_PM_Quantity[Location],$D51,RM_PM_Quantity[Section],$C51,RM_PM_Quantity[RM Name],$E51)+IF($D51="MIND/Pre-Production",SUMIFS(RM_PM_Quantity[Quantity],RM_PM_Quantity[Date],AB$1,RM_PM_Quantity[Location],"MIDC/Pre-Production",RM_PM_Quantity[Section],$C51,RM_PM_Quantity[RM Name],$E51),0)</f>
        <v>0</v>
      </c>
      <c r="AC51" s="84">
        <f>SUMIFS(RM_PM_Quantity[Quantity],RM_PM_Quantity[Date],AC$1,RM_PM_Quantity[Location],$D51,RM_PM_Quantity[Section],$C51,RM_PM_Quantity[RM Name],$E51)+IF($D51="MIND/Pre-Production",SUMIFS(RM_PM_Quantity[Quantity],RM_PM_Quantity[Date],AC$1,RM_PM_Quantity[Location],"MIDC/Pre-Production",RM_PM_Quantity[Section],$C51,RM_PM_Quantity[RM Name],$E51),0)</f>
        <v>0</v>
      </c>
      <c r="AD51" s="84">
        <f>SUMIFS(RM_PM_Quantity[Quantity],RM_PM_Quantity[Date],AD$1,RM_PM_Quantity[Location],$D51,RM_PM_Quantity[Section],$C51,RM_PM_Quantity[RM Name],$E51)+IF($D51="MIND/Pre-Production",SUMIFS(RM_PM_Quantity[Quantity],RM_PM_Quantity[Date],AD$1,RM_PM_Quantity[Location],"MIDC/Pre-Production",RM_PM_Quantity[Section],$C51,RM_PM_Quantity[RM Name],$E51),0)</f>
        <v>0</v>
      </c>
      <c r="AE51" s="84">
        <f>SUMIFS(RM_PM_Quantity[Quantity],RM_PM_Quantity[Date],AE$1,RM_PM_Quantity[Location],$D51,RM_PM_Quantity[Section],$C51,RM_PM_Quantity[RM Name],$E51)+IF($D51="MIND/Pre-Production",SUMIFS(RM_PM_Quantity[Quantity],RM_PM_Quantity[Date],AE$1,RM_PM_Quantity[Location],"MIDC/Pre-Production",RM_PM_Quantity[Section],$C51,RM_PM_Quantity[RM Name],$E51),0)</f>
        <v>0</v>
      </c>
      <c r="AF51" s="84">
        <f>SUMIFS(RM_PM_Quantity[Quantity],RM_PM_Quantity[Date],AF$1,RM_PM_Quantity[Location],$D51,RM_PM_Quantity[Section],$C51,RM_PM_Quantity[RM Name],$E51)+IF($D51="MIND/Pre-Production",SUMIFS(RM_PM_Quantity[Quantity],RM_PM_Quantity[Date],AF$1,RM_PM_Quantity[Location],"MIDC/Pre-Production",RM_PM_Quantity[Section],$C51,RM_PM_Quantity[RM Name],$E51),0)</f>
        <v>0</v>
      </c>
      <c r="AG51" s="84">
        <f>SUMIFS(RM_PM_Quantity[Quantity],RM_PM_Quantity[Date],AG$1,RM_PM_Quantity[Location],$D51,RM_PM_Quantity[Section],$C51,RM_PM_Quantity[RM Name],$E51)+IF($D51="MIND/Pre-Production",SUMIFS(RM_PM_Quantity[Quantity],RM_PM_Quantity[Date],AG$1,RM_PM_Quantity[Location],"MIDC/Pre-Production",RM_PM_Quantity[Section],$C51,RM_PM_Quantity[RM Name],$E51),0)</f>
        <v>0</v>
      </c>
      <c r="AH51" s="84">
        <f>SUMIFS(RM_PM_Quantity[Quantity],RM_PM_Quantity[Date],AH$1,RM_PM_Quantity[Location],$D51,RM_PM_Quantity[Section],$C51,RM_PM_Quantity[RM Name],$E51)+IF($D51="MIND/Pre-Production",SUMIFS(RM_PM_Quantity[Quantity],RM_PM_Quantity[Date],AH$1,RM_PM_Quantity[Location],"MIDC/Pre-Production",RM_PM_Quantity[Section],$C51,RM_PM_Quantity[RM Name],$E51),0)</f>
        <v>0</v>
      </c>
      <c r="AI51" s="84">
        <f>SUMIFS(RM_PM_Quantity[Quantity],RM_PM_Quantity[Date],AI$1,RM_PM_Quantity[Location],$D51,RM_PM_Quantity[Section],$C51,RM_PM_Quantity[RM Name],$E51)+IF($D51="MIND/Pre-Production",SUMIFS(RM_PM_Quantity[Quantity],RM_PM_Quantity[Date],AI$1,RM_PM_Quantity[Location],"MIDC/Pre-Production",RM_PM_Quantity[Section],$C51,RM_PM_Quantity[RM Name],$E51),0)</f>
        <v>0</v>
      </c>
      <c r="AJ51" s="84">
        <f>SUMIFS(RM_PM_Quantity[Quantity],RM_PM_Quantity[Date],AJ$1,RM_PM_Quantity[Location],$D51,RM_PM_Quantity[Section],$C51,RM_PM_Quantity[RM Name],$E51)+IF($D51="MIND/Pre-Production",SUMIFS(RM_PM_Quantity[Quantity],RM_PM_Quantity[Date],AJ$1,RM_PM_Quantity[Location],"MIDC/Pre-Production",RM_PM_Quantity[Section],$C51,RM_PM_Quantity[RM Name],$E51),0)</f>
        <v>0</v>
      </c>
      <c r="AK51" s="84">
        <f>SUMIFS(RM_PM_Quantity[Quantity],RM_PM_Quantity[Date],AK$1,RM_PM_Quantity[Location],$D51,RM_PM_Quantity[Section],$C51,RM_PM_Quantity[RM Name],$E51)+IF($D51="MIND/Pre-Production",SUMIFS(RM_PM_Quantity[Quantity],RM_PM_Quantity[Date],AK$1,RM_PM_Quantity[Location],"MIDC/Pre-Production",RM_PM_Quantity[Section],$C51,RM_PM_Quantity[RM Name],$E51),0)</f>
        <v>0</v>
      </c>
      <c r="AL51" s="84">
        <f>SUMIFS(RM_PM_Quantity[Quantity],RM_PM_Quantity[Date],AL$1,RM_PM_Quantity[Location],$D51,RM_PM_Quantity[Section],$C51,RM_PM_Quantity[RM Name],$E51)+IF($D51="MIND/Pre-Production",SUMIFS(RM_PM_Quantity[Quantity],RM_PM_Quantity[Date],AL$1,RM_PM_Quantity[Location],"MIDC/Pre-Production",RM_PM_Quantity[Section],$C51,RM_PM_Quantity[RM Name],$E51),0)</f>
        <v>0</v>
      </c>
      <c r="AM51" s="84">
        <f>SUMIFS(RM_PM_Quantity[Quantity],RM_PM_Quantity[Date],AM$1,RM_PM_Quantity[Location],$D51,RM_PM_Quantity[Section],$C51,RM_PM_Quantity[RM Name],$E51)+IF($D51="MIND/Pre-Production",SUMIFS(RM_PM_Quantity[Quantity],RM_PM_Quantity[Date],AM$1,RM_PM_Quantity[Location],"MIDC/Pre-Production",RM_PM_Quantity[Section],$C51,RM_PM_Quantity[RM Name],$E51),0)</f>
        <v>0</v>
      </c>
      <c r="AN51" s="84">
        <f>SUMIFS(RM_PM_Quantity[Quantity],RM_PM_Quantity[Date],AN$1,RM_PM_Quantity[Location],$D51,RM_PM_Quantity[Section],$C51,RM_PM_Quantity[RM Name],$E51)+IF($D51="MIND/Pre-Production",SUMIFS(RM_PM_Quantity[Quantity],RM_PM_Quantity[Date],AN$1,RM_PM_Quantity[Location],"MIDC/Pre-Production",RM_PM_Quantity[Section],$C51,RM_PM_Quantity[RM Name],$E51),0)</f>
        <v>0</v>
      </c>
      <c r="AO51" s="84">
        <f>SUMIFS(RM_PM_Quantity[Quantity],RM_PM_Quantity[Date],AO$1,RM_PM_Quantity[Location],$D51,RM_PM_Quantity[Section],$C51,RM_PM_Quantity[RM Name],$E51)+IF($D51="MIND/Pre-Production",SUMIFS(RM_PM_Quantity[Quantity],RM_PM_Quantity[Date],AO$1,RM_PM_Quantity[Location],"MIDC/Pre-Production",RM_PM_Quantity[Section],$C51,RM_PM_Quantity[RM Name],$E51),0)</f>
        <v>0</v>
      </c>
      <c r="AP51" s="84">
        <f>SUMIFS(RM_PM_Quantity[Quantity],RM_PM_Quantity[Date],AP$1,RM_PM_Quantity[Location],$D51,RM_PM_Quantity[Section],$C51,RM_PM_Quantity[RM Name],$E51)+IF($D51="MIND/Pre-Production",SUMIFS(RM_PM_Quantity[Quantity],RM_PM_Quantity[Date],AP$1,RM_PM_Quantity[Location],"MIDC/Pre-Production",RM_PM_Quantity[Section],$C51,RM_PM_Quantity[RM Name],$E51),0)</f>
        <v>0</v>
      </c>
      <c r="AQ51" s="84">
        <f>SUMIFS(RM_PM_Quantity[Quantity],RM_PM_Quantity[Date],AQ$1,RM_PM_Quantity[Location],$D51,RM_PM_Quantity[Section],$C51,RM_PM_Quantity[RM Name],$E51)+IF($D51="MIND/Pre-Production",SUMIFS(RM_PM_Quantity[Quantity],RM_PM_Quantity[Date],AQ$1,RM_PM_Quantity[Location],"MIDC/Pre-Production",RM_PM_Quantity[Section],$C51,RM_PM_Quantity[RM Name],$E51),0)</f>
        <v>0</v>
      </c>
      <c r="AR51" s="84">
        <f>SUMIFS(RM_PM_Quantity[Quantity],RM_PM_Quantity[Date],AR$1,RM_PM_Quantity[Location],$D51,RM_PM_Quantity[Section],$C51,RM_PM_Quantity[RM Name],$E51)+IF($D51="MIND/Pre-Production",SUMIFS(RM_PM_Quantity[Quantity],RM_PM_Quantity[Date],AR$1,RM_PM_Quantity[Location],"MIDC/Pre-Production",RM_PM_Quantity[Section],$C51,RM_PM_Quantity[RM Name],$E51),0)</f>
        <v>0</v>
      </c>
      <c r="AS51" s="84">
        <f>SUMIFS(RM_PM_Quantity[Quantity],RM_PM_Quantity[Date],AS$1,RM_PM_Quantity[Location],$D51,RM_PM_Quantity[Section],$C51,RM_PM_Quantity[RM Name],$E51)+IF($D51="MIND/Pre-Production",SUMIFS(RM_PM_Quantity[Quantity],RM_PM_Quantity[Date],AS$1,RM_PM_Quantity[Location],"MIDC/Pre-Production",RM_PM_Quantity[Section],$C51,RM_PM_Quantity[RM Name],$E51),0)</f>
        <v>0</v>
      </c>
      <c r="AT51" s="84">
        <f>SUMIFS(RM_PM_Quantity[Quantity],RM_PM_Quantity[Date],AT$1,RM_PM_Quantity[Location],$D51,RM_PM_Quantity[Section],$C51,RM_PM_Quantity[RM Name],$E51)+IF($D51="MIND/Pre-Production",SUMIFS(RM_PM_Quantity[Quantity],RM_PM_Quantity[Date],AT$1,RM_PM_Quantity[Location],"MIDC/Pre-Production",RM_PM_Quantity[Section],$C51,RM_PM_Quantity[RM Name],$E51),0)</f>
        <v>0</v>
      </c>
      <c r="AU51" s="84">
        <f>SUMIFS(RM_PM_Quantity[Quantity],RM_PM_Quantity[Date],AU$1,RM_PM_Quantity[Location],$D51,RM_PM_Quantity[Section],$C51,RM_PM_Quantity[RM Name],$E51)+IF($D51="MIND/Pre-Production",SUMIFS(RM_PM_Quantity[Quantity],RM_PM_Quantity[Date],AU$1,RM_PM_Quantity[Location],"MIDC/Pre-Production",RM_PM_Quantity[Section],$C51,RM_PM_Quantity[RM Name],$E51),0)</f>
        <v>0</v>
      </c>
      <c r="AV51" s="84">
        <f>SUMIFS(RM_PM_Quantity[Quantity],RM_PM_Quantity[Date],AV$1,RM_PM_Quantity[Location],$D51,RM_PM_Quantity[Section],$C51,RM_PM_Quantity[RM Name],$E51)+IF($D51="MIND/Pre-Production",SUMIFS(RM_PM_Quantity[Quantity],RM_PM_Quantity[Date],AV$1,RM_PM_Quantity[Location],"MIDC/Pre-Production",RM_PM_Quantity[Section],$C51,RM_PM_Quantity[RM Name],$E51),0)</f>
        <v>0</v>
      </c>
      <c r="AW51" s="84">
        <f>SUMIFS(RM_PM_Quantity[Quantity],RM_PM_Quantity[Date],AW$1,RM_PM_Quantity[Location],$D51,RM_PM_Quantity[Section],$C51,RM_PM_Quantity[RM Name],$E51)+IF($D51="MIND/Pre-Production",SUMIFS(RM_PM_Quantity[Quantity],RM_PM_Quantity[Date],AW$1,RM_PM_Quantity[Location],"MIDC/Pre-Production",RM_PM_Quantity[Section],$C51,RM_PM_Quantity[RM Name],$E51),0)</f>
        <v>0</v>
      </c>
      <c r="AX51" s="84">
        <f>SUMIFS(RM_PM_Quantity[Quantity],RM_PM_Quantity[Date],AX$1,RM_PM_Quantity[Location],$D51,RM_PM_Quantity[Section],$C51,RM_PM_Quantity[RM Name],$E51)+IF($D51="MIND/Pre-Production",SUMIFS(RM_PM_Quantity[Quantity],RM_PM_Quantity[Date],AX$1,RM_PM_Quantity[Location],"MIDC/Pre-Production",RM_PM_Quantity[Section],$C51,RM_PM_Quantity[RM Name],$E51),0)</f>
        <v>0</v>
      </c>
      <c r="AY51" s="84">
        <f>SUMIFS(RM_PM_Quantity[Quantity],RM_PM_Quantity[Date],AY$1,RM_PM_Quantity[Location],$D51,RM_PM_Quantity[Section],$C51,RM_PM_Quantity[RM Name],$E51)+IF($D51="MIND/Pre-Production",SUMIFS(RM_PM_Quantity[Quantity],RM_PM_Quantity[Date],AY$1,RM_PM_Quantity[Location],"MIDC/Pre-Production",RM_PM_Quantity[Section],$C51,RM_PM_Quantity[RM Name],$E51),0)</f>
        <v>0</v>
      </c>
      <c r="AZ51" s="84">
        <f>SUMIFS(RM_PM_Quantity[Quantity],RM_PM_Quantity[Date],AZ$1,RM_PM_Quantity[Location],$D51,RM_PM_Quantity[Section],$C51,RM_PM_Quantity[RM Name],$E51)+IF($D51="MIND/Pre-Production",SUMIFS(RM_PM_Quantity[Quantity],RM_PM_Quantity[Date],AZ$1,RM_PM_Quantity[Location],"MIDC/Pre-Production",RM_PM_Quantity[Section],$C51,RM_PM_Quantity[RM Name],$E51),0)</f>
        <v>0</v>
      </c>
      <c r="BA51" s="84">
        <f>SUMIFS(RM_PM_Quantity[Quantity],RM_PM_Quantity[Date],BA$1,RM_PM_Quantity[Location],$D51,RM_PM_Quantity[Section],$C51,RM_PM_Quantity[RM Name],$E51)+IF($D51="MIND/Pre-Production",SUMIFS(RM_PM_Quantity[Quantity],RM_PM_Quantity[Date],BA$1,RM_PM_Quantity[Location],"MIDC/Pre-Production",RM_PM_Quantity[Section],$C51,RM_PM_Quantity[RM Name],$E51),0)</f>
        <v>0</v>
      </c>
      <c r="BB51" s="84">
        <f>SUMIFS(RM_PM_Quantity[Quantity],RM_PM_Quantity[Date],BB$1,RM_PM_Quantity[Location],$D51,RM_PM_Quantity[Section],$C51,RM_PM_Quantity[RM Name],$E51)+IF($D51="MIND/Pre-Production",SUMIFS(RM_PM_Quantity[Quantity],RM_PM_Quantity[Date],BB$1,RM_PM_Quantity[Location],"MIDC/Pre-Production",RM_PM_Quantity[Section],$C51,RM_PM_Quantity[RM Name],$E51),0)</f>
        <v>0</v>
      </c>
      <c r="BC51" s="84">
        <f>SUMIFS(RM_PM_Quantity[Quantity],RM_PM_Quantity[Date],BC$1,RM_PM_Quantity[Location],$D51,RM_PM_Quantity[Section],$C51,RM_PM_Quantity[RM Name],$E51)+IF($D51="MIND/Pre-Production",SUMIFS(RM_PM_Quantity[Quantity],RM_PM_Quantity[Date],BC$1,RM_PM_Quantity[Location],"MIDC/Pre-Production",RM_PM_Quantity[Section],$C51,RM_PM_Quantity[RM Name],$E51),0)</f>
        <v>0</v>
      </c>
      <c r="BD51" s="84">
        <f>SUMIFS(RM_PM_Quantity[Quantity],RM_PM_Quantity[Date],BD$1,RM_PM_Quantity[Location],$D51,RM_PM_Quantity[Section],$C51,RM_PM_Quantity[RM Name],$E51)+IF($D51="MIND/Pre-Production",SUMIFS(RM_PM_Quantity[Quantity],RM_PM_Quantity[Date],BD$1,RM_PM_Quantity[Location],"MIDC/Pre-Production",RM_PM_Quantity[Section],$C51,RM_PM_Quantity[RM Name],$E51),0)</f>
        <v>0</v>
      </c>
      <c r="BE51" s="84">
        <f>SUMIFS(RM_PM_Quantity[Quantity],RM_PM_Quantity[Date],BE$1,RM_PM_Quantity[Location],$D51,RM_PM_Quantity[Section],$C51,RM_PM_Quantity[RM Name],$E51)+IF($D51="MIND/Pre-Production",SUMIFS(RM_PM_Quantity[Quantity],RM_PM_Quantity[Date],BE$1,RM_PM_Quantity[Location],"MIDC/Pre-Production",RM_PM_Quantity[Section],$C51,RM_PM_Quantity[RM Name],$E51),0)</f>
        <v>0</v>
      </c>
      <c r="BF51" s="84">
        <f>SUMIFS(RM_PM_Quantity[Quantity],RM_PM_Quantity[Date],BF$1,RM_PM_Quantity[Location],$D51,RM_PM_Quantity[Section],$C51,RM_PM_Quantity[RM Name],$E51)+IF($D51="MIND/Pre-Production",SUMIFS(RM_PM_Quantity[Quantity],RM_PM_Quantity[Date],BF$1,RM_PM_Quantity[Location],"MIDC/Pre-Production",RM_PM_Quantity[Section],$C51,RM_PM_Quantity[RM Name],$E51),0)</f>
        <v>0</v>
      </c>
      <c r="BG51" s="84">
        <f>SUMIFS(RM_PM_Quantity[Quantity],RM_PM_Quantity[Date],BG$1,RM_PM_Quantity[Location],$D51,RM_PM_Quantity[Section],$C51,RM_PM_Quantity[RM Name],$E51)+IF($D51="MIND/Pre-Production",SUMIFS(RM_PM_Quantity[Quantity],RM_PM_Quantity[Date],BG$1,RM_PM_Quantity[Location],"MIDC/Pre-Production",RM_PM_Quantity[Section],$C51,RM_PM_Quantity[RM Name],$E51),0)</f>
        <v>0</v>
      </c>
      <c r="BH51" s="84">
        <f>SUMIFS(RM_PM_Quantity[Quantity],RM_PM_Quantity[Date],BH$1,RM_PM_Quantity[Location],$D51,RM_PM_Quantity[Section],$C51,RM_PM_Quantity[RM Name],$E51)+IF($D51="MIND/Pre-Production",SUMIFS(RM_PM_Quantity[Quantity],RM_PM_Quantity[Date],BH$1,RM_PM_Quantity[Location],"MIDC/Pre-Production",RM_PM_Quantity[Section],$C51,RM_PM_Quantity[RM Name],$E51),0)</f>
        <v>0</v>
      </c>
      <c r="BI51" s="84">
        <f>SUMIFS(RM_PM_Quantity[Quantity],RM_PM_Quantity[Date],BI$1,RM_PM_Quantity[Location],$D51,RM_PM_Quantity[Section],$C51,RM_PM_Quantity[RM Name],$E51)+IF($D51="MIND/Pre-Production",SUMIFS(RM_PM_Quantity[Quantity],RM_PM_Quantity[Date],BI$1,RM_PM_Quantity[Location],"MIDC/Pre-Production",RM_PM_Quantity[Section],$C51,RM_PM_Quantity[RM Name],$E51),0)</f>
        <v>0</v>
      </c>
      <c r="BJ51" s="84">
        <f>SUMIFS(RM_PM_Quantity[Quantity],RM_PM_Quantity[Date],BJ$1,RM_PM_Quantity[Location],$D51,RM_PM_Quantity[Section],$C51,RM_PM_Quantity[RM Name],$E51)+IF($D51="MIND/Pre-Production",SUMIFS(RM_PM_Quantity[Quantity],RM_PM_Quantity[Date],BJ$1,RM_PM_Quantity[Location],"MIDC/Pre-Production",RM_PM_Quantity[Section],$C51,RM_PM_Quantity[RM Name],$E51),0)</f>
        <v>0</v>
      </c>
      <c r="BK51" s="84">
        <f>SUMIFS(RM_PM_Quantity[Quantity],RM_PM_Quantity[Date],BK$1,RM_PM_Quantity[Location],$D51,RM_PM_Quantity[Section],$C51,RM_PM_Quantity[RM Name],$E51)+IF($D51="MIND/Pre-Production",SUMIFS(RM_PM_Quantity[Quantity],RM_PM_Quantity[Date],BK$1,RM_PM_Quantity[Location],"MIDC/Pre-Production",RM_PM_Quantity[Section],$C51,RM_PM_Quantity[RM Name],$E51),0)</f>
        <v>0</v>
      </c>
      <c r="BL51" s="84">
        <f>SUMIFS(RM_PM_Quantity[Quantity],RM_PM_Quantity[Date],BL$1,RM_PM_Quantity[Location],$D51,RM_PM_Quantity[Section],$C51,RM_PM_Quantity[RM Name],$E51)+IF($D51="MIND/Pre-Production",SUMIFS(RM_PM_Quantity[Quantity],RM_PM_Quantity[Date],BL$1,RM_PM_Quantity[Location],"MIDC/Pre-Production",RM_PM_Quantity[Section],$C51,RM_PM_Quantity[RM Name],$E51),0)</f>
        <v>0</v>
      </c>
      <c r="BM51" s="84">
        <f>SUMIFS(RM_PM_Quantity[Quantity],RM_PM_Quantity[Date],BM$1,RM_PM_Quantity[Location],$D51,RM_PM_Quantity[Section],$C51,RM_PM_Quantity[RM Name],$E51)+IF($D51="MIND/Pre-Production",SUMIFS(RM_PM_Quantity[Quantity],RM_PM_Quantity[Date],BM$1,RM_PM_Quantity[Location],"MIDC/Pre-Production",RM_PM_Quantity[Section],$C51,RM_PM_Quantity[RM Name],$E51),0)</f>
        <v>0</v>
      </c>
      <c r="BN51" s="84">
        <f>SUMIFS(RM_PM_Quantity[Quantity],RM_PM_Quantity[Date],BN$1,RM_PM_Quantity[Location],$D51,RM_PM_Quantity[Section],$C51,RM_PM_Quantity[RM Name],$E51)+IF($D51="MIND/Pre-Production",SUMIFS(RM_PM_Quantity[Quantity],RM_PM_Quantity[Date],BN$1,RM_PM_Quantity[Location],"MIDC/Pre-Production",RM_PM_Quantity[Section],$C51,RM_PM_Quantity[RM Name],$E51),0)</f>
        <v>0</v>
      </c>
      <c r="BO51" s="84">
        <f>SUMIFS(RM_PM_Quantity[Quantity],RM_PM_Quantity[Date],BO$1,RM_PM_Quantity[Location],$D51,RM_PM_Quantity[Section],$C51,RM_PM_Quantity[RM Name],$E51)+IF($D51="MIND/Pre-Production",SUMIFS(RM_PM_Quantity[Quantity],RM_PM_Quantity[Date],BO$1,RM_PM_Quantity[Location],"MIDC/Pre-Production",RM_PM_Quantity[Section],$C51,RM_PM_Quantity[RM Name],$E51),0)</f>
        <v>0</v>
      </c>
      <c r="BP51" s="84">
        <f>SUMIFS(RM_PM_Quantity[Quantity],RM_PM_Quantity[Date],BP$1,RM_PM_Quantity[Location],$D51,RM_PM_Quantity[Section],$C51,RM_PM_Quantity[RM Name],$E51)+IF($D51="MIND/Pre-Production",SUMIFS(RM_PM_Quantity[Quantity],RM_PM_Quantity[Date],BP$1,RM_PM_Quantity[Location],"MIDC/Pre-Production",RM_PM_Quantity[Section],$C51,RM_PM_Quantity[RM Name],$E51),0)</f>
        <v>0</v>
      </c>
      <c r="BQ51" s="84">
        <f>SUMIFS(RM_PM_Quantity[Quantity],RM_PM_Quantity[Date],BQ$1,RM_PM_Quantity[Location],$D51,RM_PM_Quantity[Section],$C51,RM_PM_Quantity[RM Name],$E51)+IF($D51="MIND/Pre-Production",SUMIFS(RM_PM_Quantity[Quantity],RM_PM_Quantity[Date],BQ$1,RM_PM_Quantity[Location],"MIDC/Pre-Production",RM_PM_Quantity[Section],$C51,RM_PM_Quantity[RM Name],$E51),0)</f>
        <v>0</v>
      </c>
      <c r="BR51" s="84">
        <f>SUMIFS(RM_PM_Quantity[Quantity],RM_PM_Quantity[Date],BR$1,RM_PM_Quantity[Location],$D51,RM_PM_Quantity[Section],$C51,RM_PM_Quantity[RM Name],$E51)+IF($D51="MIND/Pre-Production",SUMIFS(RM_PM_Quantity[Quantity],RM_PM_Quantity[Date],BR$1,RM_PM_Quantity[Location],"MIDC/Pre-Production",RM_PM_Quantity[Section],$C51,RM_PM_Quantity[RM Name],$E51),0)</f>
        <v>0</v>
      </c>
      <c r="BS51" s="84">
        <f>SUMIFS(RM_PM_Quantity[Quantity],RM_PM_Quantity[Date],BS$1,RM_PM_Quantity[Location],$D51,RM_PM_Quantity[Section],$C51,RM_PM_Quantity[RM Name],$E51)+IF($D51="MIND/Pre-Production",SUMIFS(RM_PM_Quantity[Quantity],RM_PM_Quantity[Date],BS$1,RM_PM_Quantity[Location],"MIDC/Pre-Production",RM_PM_Quantity[Section],$C51,RM_PM_Quantity[RM Name],$E51),0)</f>
        <v>0</v>
      </c>
      <c r="BT51" s="84">
        <f>SUMIFS(RM_PM_Quantity[ID],RM_PM_Quantity[Location],BT$1,RM_PM_Quantity[Section],$D51,RM_PM_Quantity[RM Name],$C51,RM_PM_Quantity[Quantity],$E51)+IF($D51="MIND/Pre-Production",SUMIFS(RM_PM_Quantity[ID],RM_PM_Quantity[Location],BT$1,RM_PM_Quantity[Section],"MIDC/Pre-Production",RM_PM_Quantity[RM Name],$C51,RM_PM_Quantity[Quantity],$E51),0)</f>
        <v>0</v>
      </c>
      <c r="BU51" s="84">
        <f>SUMIFS(RM_PM_Quantity[Name of Supervisor],RM_PM_Quantity[Section],BU$1,RM_PM_Quantity[RM Name],$D51,RM_PM_Quantity[Quantity],$C51,RM_PM_Quantity[ID],$E51)+IF($D51="MIND/Pre-Production",SUMIFS(RM_PM_Quantity[Name of Supervisor],RM_PM_Quantity[Section],BU$1,RM_PM_Quantity[RM Name],"MIDC/Pre-Production",RM_PM_Quantity[Quantity],$C51,RM_PM_Quantity[ID],$E51),0)</f>
        <v>0</v>
      </c>
      <c r="BV51" s="84">
        <f>SUMIFS(RM_PM_Quantity[Date],RM_PM_Quantity[RM Name],BV$1,RM_PM_Quantity[Quantity],$D51,RM_PM_Quantity[ID],$C51,RM_PM_Quantity[Name of Supervisor],$E51)+IF($D51="MIND/Pre-Production",SUMIFS(RM_PM_Quantity[Date],RM_PM_Quantity[RM Name],BV$1,RM_PM_Quantity[Quantity],"MIDC/Pre-Production",RM_PM_Quantity[ID],$C51,RM_PM_Quantity[Name of Supervisor],$E51),0)</f>
        <v>0</v>
      </c>
      <c r="BW51" s="84">
        <f>SUMIFS(RM_PM_Quantity[Location],RM_PM_Quantity[Quantity],BW$1,RM_PM_Quantity[ID],$D51,RM_PM_Quantity[Name of Supervisor],$C51,RM_PM_Quantity[Date],$E51)+IF($D51="MIND/Pre-Production",SUMIFS(RM_PM_Quantity[Location],RM_PM_Quantity[Quantity],BW$1,RM_PM_Quantity[ID],"MIDC/Pre-Production",RM_PM_Quantity[Name of Supervisor],$C51,RM_PM_Quantity[Date],$E51),0)</f>
        <v>0</v>
      </c>
      <c r="BX51" s="84">
        <f>SUMIFS(RM_PM_Quantity[Section],RM_PM_Quantity[ID],BX$1,RM_PM_Quantity[Name of Supervisor],$D51,RM_PM_Quantity[Date],$C51,RM_PM_Quantity[Location],$E51)+IF($D51="MIND/Pre-Production",SUMIFS(RM_PM_Quantity[Section],RM_PM_Quantity[ID],BX$1,RM_PM_Quantity[Name of Supervisor],"MIDC/Pre-Production",RM_PM_Quantity[Date],$C51,RM_PM_Quantity[Location],$E51),0)</f>
        <v>0</v>
      </c>
      <c r="BY51" s="84">
        <f>SUMIFS(RM_PM_Quantity[RM Name],RM_PM_Quantity[Name of Supervisor],BY$1,RM_PM_Quantity[Date],$D51,RM_PM_Quantity[Location],$C51,RM_PM_Quantity[Section],$E51)+IF($D51="MIND/Pre-Production",SUMIFS(RM_PM_Quantity[RM Name],RM_PM_Quantity[Name of Supervisor],BY$1,RM_PM_Quantity[Date],"MIDC/Pre-Production",RM_PM_Quantity[Location],$C51,RM_PM_Quantity[Section],$E51),0)</f>
        <v>0</v>
      </c>
    </row>
    <row r="52" spans="1:77" ht="45.75" customHeight="1">
      <c r="A52" s="79">
        <v>51</v>
      </c>
      <c r="B52" s="79" t="s">
        <v>52</v>
      </c>
      <c r="C52" s="80" t="s">
        <v>146</v>
      </c>
      <c r="D52" s="81" t="s">
        <v>54</v>
      </c>
      <c r="E52" s="90" t="s">
        <v>55</v>
      </c>
      <c r="F52" s="83">
        <f>IFERROR(_xlfn.XLOOKUP(B52,'[1]RM Tracker'!B:B,'[1]RM Tracker'!E:E),"0")</f>
        <v>2215.2446</v>
      </c>
      <c r="G52" s="85">
        <f t="shared" si="2"/>
        <v>0</v>
      </c>
      <c r="H52" s="85">
        <f t="shared" si="3"/>
        <v>-2215.2446</v>
      </c>
      <c r="I52" s="91">
        <f t="shared" si="4"/>
        <v>0</v>
      </c>
      <c r="J52" s="84">
        <f>SUMIFS(RM_PM_Quantity[Quantity],RM_PM_Quantity[Date],J$1,RM_PM_Quantity[Location],$D52,RM_PM_Quantity[Section],$C52,RM_PM_Quantity[RM Name],$E52)+IF($D52="MIND/Pre-Production",SUMIFS(RM_PM_Quantity[Quantity],RM_PM_Quantity[Date],J$1,RM_PM_Quantity[Location],"MIDC/Pre-Production",RM_PM_Quantity[Section],$C52,RM_PM_Quantity[RM Name],$E52),0)</f>
        <v>0</v>
      </c>
      <c r="K52" s="84">
        <f>SUMIFS(RM_PM_Quantity[Quantity],RM_PM_Quantity[Date],K$1,RM_PM_Quantity[Location],$D52,RM_PM_Quantity[Section],$C52,RM_PM_Quantity[RM Name],$E52)+IF($D52="MIND/Pre-Production",SUMIFS(RM_PM_Quantity[Quantity],RM_PM_Quantity[Date],K$1,RM_PM_Quantity[Location],"MIDC/Pre-Production",RM_PM_Quantity[Section],$C52,RM_PM_Quantity[RM Name],$E52),0)</f>
        <v>0</v>
      </c>
      <c r="L52" s="84">
        <f>SUMIFS(RM_PM_Quantity[Quantity],RM_PM_Quantity[Date],L$1,RM_PM_Quantity[Location],$D52,RM_PM_Quantity[Section],$C52,RM_PM_Quantity[RM Name],$E52)+IF($D52="MIND/Pre-Production",SUMIFS(RM_PM_Quantity[Quantity],RM_PM_Quantity[Date],L$1,RM_PM_Quantity[Location],"MIDC/Pre-Production",RM_PM_Quantity[Section],$C52,RM_PM_Quantity[RM Name],$E52),0)</f>
        <v>0</v>
      </c>
      <c r="M52" s="84">
        <f>SUMIFS(RM_PM_Quantity[Quantity],RM_PM_Quantity[Date],M$1,RM_PM_Quantity[Location],$D52,RM_PM_Quantity[Section],$C52,RM_PM_Quantity[RM Name],$E52)+IF($D52="MIND/Pre-Production",SUMIFS(RM_PM_Quantity[Quantity],RM_PM_Quantity[Date],M$1,RM_PM_Quantity[Location],"MIDC/Pre-Production",RM_PM_Quantity[Section],$C52,RM_PM_Quantity[RM Name],$E52),0)</f>
        <v>0</v>
      </c>
      <c r="N52" s="84">
        <f>SUMIFS(RM_PM_Quantity[Quantity],RM_PM_Quantity[Date],N$1,RM_PM_Quantity[Location],$D52,RM_PM_Quantity[Section],$C52,RM_PM_Quantity[RM Name],$E52)+IF($D52="MIND/Pre-Production",SUMIFS(RM_PM_Quantity[Quantity],RM_PM_Quantity[Date],N$1,RM_PM_Quantity[Location],"MIDC/Pre-Production",RM_PM_Quantity[Section],$C52,RM_PM_Quantity[RM Name],$E52),0)</f>
        <v>0</v>
      </c>
      <c r="O52" s="84">
        <f>SUMIFS(RM_PM_Quantity[Quantity],RM_PM_Quantity[Date],O$1,RM_PM_Quantity[Location],$D52,RM_PM_Quantity[Section],$C52,RM_PM_Quantity[RM Name],$E52)+IF($D52="MIND/Pre-Production",SUMIFS(RM_PM_Quantity[Quantity],RM_PM_Quantity[Date],O$1,RM_PM_Quantity[Location],"MIDC/Pre-Production",RM_PM_Quantity[Section],$C52,RM_PM_Quantity[RM Name],$E52),0)</f>
        <v>0</v>
      </c>
      <c r="P52" s="84">
        <f>SUMIFS(RM_PM_Quantity[Quantity],RM_PM_Quantity[Date],P$1,RM_PM_Quantity[Location],$D52,RM_PM_Quantity[Section],$C52,RM_PM_Quantity[RM Name],$E52)+IF($D52="MIND/Pre-Production",SUMIFS(RM_PM_Quantity[Quantity],RM_PM_Quantity[Date],P$1,RM_PM_Quantity[Location],"MIDC/Pre-Production",RM_PM_Quantity[Section],$C52,RM_PM_Quantity[RM Name],$E52),0)</f>
        <v>0</v>
      </c>
      <c r="Q52" s="84">
        <f>SUMIFS(RM_PM_Quantity[Quantity],RM_PM_Quantity[Date],Q$1,RM_PM_Quantity[Location],$D52,RM_PM_Quantity[Section],$C52,RM_PM_Quantity[RM Name],$E52)+IF($D52="MIND/Pre-Production",SUMIFS(RM_PM_Quantity[Quantity],RM_PM_Quantity[Date],Q$1,RM_PM_Quantity[Location],"MIDC/Pre-Production",RM_PM_Quantity[Section],$C52,RM_PM_Quantity[RM Name],$E52),0)</f>
        <v>0</v>
      </c>
      <c r="R52" s="84">
        <f>SUMIFS(RM_PM_Quantity[Quantity],RM_PM_Quantity[Date],R$1,RM_PM_Quantity[Location],$D52,RM_PM_Quantity[Section],$C52,RM_PM_Quantity[RM Name],$E52)+IF($D52="MIND/Pre-Production",SUMIFS(RM_PM_Quantity[Quantity],RM_PM_Quantity[Date],R$1,RM_PM_Quantity[Location],"MIDC/Pre-Production",RM_PM_Quantity[Section],$C52,RM_PM_Quantity[RM Name],$E52),0)</f>
        <v>0</v>
      </c>
      <c r="S52" s="84">
        <f>SUMIFS(RM_PM_Quantity[Quantity],RM_PM_Quantity[Date],S$1,RM_PM_Quantity[Location],$D52,RM_PM_Quantity[Section],$C52,RM_PM_Quantity[RM Name],$E52)+IF($D52="MIND/Pre-Production",SUMIFS(RM_PM_Quantity[Quantity],RM_PM_Quantity[Date],S$1,RM_PM_Quantity[Location],"MIDC/Pre-Production",RM_PM_Quantity[Section],$C52,RM_PM_Quantity[RM Name],$E52),0)</f>
        <v>0</v>
      </c>
      <c r="T52" s="84">
        <f>SUMIFS(RM_PM_Quantity[Quantity],RM_PM_Quantity[Date],T$1,RM_PM_Quantity[Location],$D52,RM_PM_Quantity[Section],$C52,RM_PM_Quantity[RM Name],$E52)+IF($D52="MIND/Pre-Production",SUMIFS(RM_PM_Quantity[Quantity],RM_PM_Quantity[Date],T$1,RM_PM_Quantity[Location],"MIDC/Pre-Production",RM_PM_Quantity[Section],$C52,RM_PM_Quantity[RM Name],$E52),0)</f>
        <v>0</v>
      </c>
      <c r="U52" s="84">
        <f>SUMIFS(RM_PM_Quantity[Quantity],RM_PM_Quantity[Date],U$1,RM_PM_Quantity[Location],$D52,RM_PM_Quantity[Section],$C52,RM_PM_Quantity[RM Name],$E52)+IF($D52="MIND/Pre-Production",SUMIFS(RM_PM_Quantity[Quantity],RM_PM_Quantity[Date],U$1,RM_PM_Quantity[Location],"MIDC/Pre-Production",RM_PM_Quantity[Section],$C52,RM_PM_Quantity[RM Name],$E52),0)</f>
        <v>0</v>
      </c>
      <c r="V52" s="84">
        <f>SUMIFS(RM_PM_Quantity[Quantity],RM_PM_Quantity[Date],V$1,RM_PM_Quantity[Location],$D52,RM_PM_Quantity[Section],$C52,RM_PM_Quantity[RM Name],$E52)+IF($D52="MIND/Pre-Production",SUMIFS(RM_PM_Quantity[Quantity],RM_PM_Quantity[Date],V$1,RM_PM_Quantity[Location],"MIDC/Pre-Production",RM_PM_Quantity[Section],$C52,RM_PM_Quantity[RM Name],$E52),0)</f>
        <v>0</v>
      </c>
      <c r="W52" s="84">
        <f>SUMIFS(RM_PM_Quantity[Quantity],RM_PM_Quantity[Date],W$1,RM_PM_Quantity[Location],$D52,RM_PM_Quantity[Section],$C52,RM_PM_Quantity[RM Name],$E52)+IF($D52="MIND/Pre-Production",SUMIFS(RM_PM_Quantity[Quantity],RM_PM_Quantity[Date],W$1,RM_PM_Quantity[Location],"MIDC/Pre-Production",RM_PM_Quantity[Section],$C52,RM_PM_Quantity[RM Name],$E52),0)</f>
        <v>0</v>
      </c>
      <c r="X52" s="84">
        <f>SUMIFS(RM_PM_Quantity[Quantity],RM_PM_Quantity[Date],X$1,RM_PM_Quantity[Location],$D52,RM_PM_Quantity[Section],$C52,RM_PM_Quantity[RM Name],$E52)+IF($D52="MIND/Pre-Production",SUMIFS(RM_PM_Quantity[Quantity],RM_PM_Quantity[Date],X$1,RM_PM_Quantity[Location],"MIDC/Pre-Production",RM_PM_Quantity[Section],$C52,RM_PM_Quantity[RM Name],$E52),0)</f>
        <v>0</v>
      </c>
      <c r="Y52" s="84">
        <f>SUMIFS(RM_PM_Quantity[Quantity],RM_PM_Quantity[Date],Y$1,RM_PM_Quantity[Location],$D52,RM_PM_Quantity[Section],$C52,RM_PM_Quantity[RM Name],$E52)+IF($D52="MIND/Pre-Production",SUMIFS(RM_PM_Quantity[Quantity],RM_PM_Quantity[Date],Y$1,RM_PM_Quantity[Location],"MIDC/Pre-Production",RM_PM_Quantity[Section],$C52,RM_PM_Quantity[RM Name],$E52),0)</f>
        <v>0</v>
      </c>
      <c r="Z52" s="84">
        <f>SUMIFS(RM_PM_Quantity[Quantity],RM_PM_Quantity[Date],Z$1,RM_PM_Quantity[Location],$D52,RM_PM_Quantity[Section],$C52,RM_PM_Quantity[RM Name],$E52)+IF($D52="MIND/Pre-Production",SUMIFS(RM_PM_Quantity[Quantity],RM_PM_Quantity[Date],Z$1,RM_PM_Quantity[Location],"MIDC/Pre-Production",RM_PM_Quantity[Section],$C52,RM_PM_Quantity[RM Name],$E52),0)</f>
        <v>0</v>
      </c>
      <c r="AA52" s="84">
        <f>SUMIFS(RM_PM_Quantity[Quantity],RM_PM_Quantity[Date],AA$1,RM_PM_Quantity[Location],$D52,RM_PM_Quantity[Section],$C52,RM_PM_Quantity[RM Name],$E52)+IF($D52="MIND/Pre-Production",SUMIFS(RM_PM_Quantity[Quantity],RM_PM_Quantity[Date],AA$1,RM_PM_Quantity[Location],"MIDC/Pre-Production",RM_PM_Quantity[Section],$C52,RM_PM_Quantity[RM Name],$E52),0)</f>
        <v>0</v>
      </c>
      <c r="AB52" s="84">
        <f>SUMIFS(RM_PM_Quantity[Quantity],RM_PM_Quantity[Date],AB$1,RM_PM_Quantity[Location],$D52,RM_PM_Quantity[Section],$C52,RM_PM_Quantity[RM Name],$E52)+IF($D52="MIND/Pre-Production",SUMIFS(RM_PM_Quantity[Quantity],RM_PM_Quantity[Date],AB$1,RM_PM_Quantity[Location],"MIDC/Pre-Production",RM_PM_Quantity[Section],$C52,RM_PM_Quantity[RM Name],$E52),0)</f>
        <v>0</v>
      </c>
      <c r="AC52" s="84">
        <f>SUMIFS(RM_PM_Quantity[Quantity],RM_PM_Quantity[Date],AC$1,RM_PM_Quantity[Location],$D52,RM_PM_Quantity[Section],$C52,RM_PM_Quantity[RM Name],$E52)+IF($D52="MIND/Pre-Production",SUMIFS(RM_PM_Quantity[Quantity],RM_PM_Quantity[Date],AC$1,RM_PM_Quantity[Location],"MIDC/Pre-Production",RM_PM_Quantity[Section],$C52,RM_PM_Quantity[RM Name],$E52),0)</f>
        <v>0</v>
      </c>
      <c r="AD52" s="84">
        <f>SUMIFS(RM_PM_Quantity[Quantity],RM_PM_Quantity[Date],AD$1,RM_PM_Quantity[Location],$D52,RM_PM_Quantity[Section],$C52,RM_PM_Quantity[RM Name],$E52)+IF($D52="MIND/Pre-Production",SUMIFS(RM_PM_Quantity[Quantity],RM_PM_Quantity[Date],AD$1,RM_PM_Quantity[Location],"MIDC/Pre-Production",RM_PM_Quantity[Section],$C52,RM_PM_Quantity[RM Name],$E52),0)</f>
        <v>0</v>
      </c>
      <c r="AE52" s="84">
        <f>SUMIFS(RM_PM_Quantity[Quantity],RM_PM_Quantity[Date],AE$1,RM_PM_Quantity[Location],$D52,RM_PM_Quantity[Section],$C52,RM_PM_Quantity[RM Name],$E52)+IF($D52="MIND/Pre-Production",SUMIFS(RM_PM_Quantity[Quantity],RM_PM_Quantity[Date],AE$1,RM_PM_Quantity[Location],"MIDC/Pre-Production",RM_PM_Quantity[Section],$C52,RM_PM_Quantity[RM Name],$E52),0)</f>
        <v>0</v>
      </c>
      <c r="AF52" s="84">
        <f>SUMIFS(RM_PM_Quantity[Quantity],RM_PM_Quantity[Date],AF$1,RM_PM_Quantity[Location],$D52,RM_PM_Quantity[Section],$C52,RM_PM_Quantity[RM Name],$E52)+IF($D52="MIND/Pre-Production",SUMIFS(RM_PM_Quantity[Quantity],RM_PM_Quantity[Date],AF$1,RM_PM_Quantity[Location],"MIDC/Pre-Production",RM_PM_Quantity[Section],$C52,RM_PM_Quantity[RM Name],$E52),0)</f>
        <v>0</v>
      </c>
      <c r="AG52" s="84">
        <f>SUMIFS(RM_PM_Quantity[Quantity],RM_PM_Quantity[Date],AG$1,RM_PM_Quantity[Location],$D52,RM_PM_Quantity[Section],$C52,RM_PM_Quantity[RM Name],$E52)+IF($D52="MIND/Pre-Production",SUMIFS(RM_PM_Quantity[Quantity],RM_PM_Quantity[Date],AG$1,RM_PM_Quantity[Location],"MIDC/Pre-Production",RM_PM_Quantity[Section],$C52,RM_PM_Quantity[RM Name],$E52),0)</f>
        <v>0</v>
      </c>
      <c r="AH52" s="84">
        <f>SUMIFS(RM_PM_Quantity[Quantity],RM_PM_Quantity[Date],AH$1,RM_PM_Quantity[Location],$D52,RM_PM_Quantity[Section],$C52,RM_PM_Quantity[RM Name],$E52)+IF($D52="MIND/Pre-Production",SUMIFS(RM_PM_Quantity[Quantity],RM_PM_Quantity[Date],AH$1,RM_PM_Quantity[Location],"MIDC/Pre-Production",RM_PM_Quantity[Section],$C52,RM_PM_Quantity[RM Name],$E52),0)</f>
        <v>0</v>
      </c>
      <c r="AI52" s="84">
        <f>SUMIFS(RM_PM_Quantity[Quantity],RM_PM_Quantity[Date],AI$1,RM_PM_Quantity[Location],$D52,RM_PM_Quantity[Section],$C52,RM_PM_Quantity[RM Name],$E52)+IF($D52="MIND/Pre-Production",SUMIFS(RM_PM_Quantity[Quantity],RM_PM_Quantity[Date],AI$1,RM_PM_Quantity[Location],"MIDC/Pre-Production",RM_PM_Quantity[Section],$C52,RM_PM_Quantity[RM Name],$E52),0)</f>
        <v>0</v>
      </c>
      <c r="AJ52" s="84">
        <f>SUMIFS(RM_PM_Quantity[Quantity],RM_PM_Quantity[Date],AJ$1,RM_PM_Quantity[Location],$D52,RM_PM_Quantity[Section],$C52,RM_PM_Quantity[RM Name],$E52)+IF($D52="MIND/Pre-Production",SUMIFS(RM_PM_Quantity[Quantity],RM_PM_Quantity[Date],AJ$1,RM_PM_Quantity[Location],"MIDC/Pre-Production",RM_PM_Quantity[Section],$C52,RM_PM_Quantity[RM Name],$E52),0)</f>
        <v>0</v>
      </c>
      <c r="AK52" s="84">
        <f>SUMIFS(RM_PM_Quantity[Quantity],RM_PM_Quantity[Date],AK$1,RM_PM_Quantity[Location],$D52,RM_PM_Quantity[Section],$C52,RM_PM_Quantity[RM Name],$E52)+IF($D52="MIND/Pre-Production",SUMIFS(RM_PM_Quantity[Quantity],RM_PM_Quantity[Date],AK$1,RM_PM_Quantity[Location],"MIDC/Pre-Production",RM_PM_Quantity[Section],$C52,RM_PM_Quantity[RM Name],$E52),0)</f>
        <v>0</v>
      </c>
      <c r="AL52" s="84">
        <f>SUMIFS(RM_PM_Quantity[Quantity],RM_PM_Quantity[Date],AL$1,RM_PM_Quantity[Location],$D52,RM_PM_Quantity[Section],$C52,RM_PM_Quantity[RM Name],$E52)+IF($D52="MIND/Pre-Production",SUMIFS(RM_PM_Quantity[Quantity],RM_PM_Quantity[Date],AL$1,RM_PM_Quantity[Location],"MIDC/Pre-Production",RM_PM_Quantity[Section],$C52,RM_PM_Quantity[RM Name],$E52),0)</f>
        <v>0</v>
      </c>
      <c r="AM52" s="84">
        <f>SUMIFS(RM_PM_Quantity[Quantity],RM_PM_Quantity[Date],AM$1,RM_PM_Quantity[Location],$D52,RM_PM_Quantity[Section],$C52,RM_PM_Quantity[RM Name],$E52)+IF($D52="MIND/Pre-Production",SUMIFS(RM_PM_Quantity[Quantity],RM_PM_Quantity[Date],AM$1,RM_PM_Quantity[Location],"MIDC/Pre-Production",RM_PM_Quantity[Section],$C52,RM_PM_Quantity[RM Name],$E52),0)</f>
        <v>0</v>
      </c>
      <c r="AN52" s="84">
        <f>SUMIFS(RM_PM_Quantity[Quantity],RM_PM_Quantity[Date],AN$1,RM_PM_Quantity[Location],$D52,RM_PM_Quantity[Section],$C52,RM_PM_Quantity[RM Name],$E52)+IF($D52="MIND/Pre-Production",SUMIFS(RM_PM_Quantity[Quantity],RM_PM_Quantity[Date],AN$1,RM_PM_Quantity[Location],"MIDC/Pre-Production",RM_PM_Quantity[Section],$C52,RM_PM_Quantity[RM Name],$E52),0)</f>
        <v>0</v>
      </c>
      <c r="AO52" s="84">
        <f>SUMIFS(RM_PM_Quantity[Quantity],RM_PM_Quantity[Date],AO$1,RM_PM_Quantity[Location],$D52,RM_PM_Quantity[Section],$C52,RM_PM_Quantity[RM Name],$E52)+IF($D52="MIND/Pre-Production",SUMIFS(RM_PM_Quantity[Quantity],RM_PM_Quantity[Date],AO$1,RM_PM_Quantity[Location],"MIDC/Pre-Production",RM_PM_Quantity[Section],$C52,RM_PM_Quantity[RM Name],$E52),0)</f>
        <v>0</v>
      </c>
      <c r="AP52" s="84">
        <f>SUMIFS(RM_PM_Quantity[Quantity],RM_PM_Quantity[Date],AP$1,RM_PM_Quantity[Location],$D52,RM_PM_Quantity[Section],$C52,RM_PM_Quantity[RM Name],$E52)+IF($D52="MIND/Pre-Production",SUMIFS(RM_PM_Quantity[Quantity],RM_PM_Quantity[Date],AP$1,RM_PM_Quantity[Location],"MIDC/Pre-Production",RM_PM_Quantity[Section],$C52,RM_PM_Quantity[RM Name],$E52),0)</f>
        <v>0</v>
      </c>
      <c r="AQ52" s="84">
        <f>SUMIFS(RM_PM_Quantity[Quantity],RM_PM_Quantity[Date],AQ$1,RM_PM_Quantity[Location],$D52,RM_PM_Quantity[Section],$C52,RM_PM_Quantity[RM Name],$E52)+IF($D52="MIND/Pre-Production",SUMIFS(RM_PM_Quantity[Quantity],RM_PM_Quantity[Date],AQ$1,RM_PM_Quantity[Location],"MIDC/Pre-Production",RM_PM_Quantity[Section],$C52,RM_PM_Quantity[RM Name],$E52),0)</f>
        <v>0</v>
      </c>
      <c r="AR52" s="84">
        <f>SUMIFS(RM_PM_Quantity[Quantity],RM_PM_Quantity[Date],AR$1,RM_PM_Quantity[Location],$D52,RM_PM_Quantity[Section],$C52,RM_PM_Quantity[RM Name],$E52)+IF($D52="MIND/Pre-Production",SUMIFS(RM_PM_Quantity[Quantity],RM_PM_Quantity[Date],AR$1,RM_PM_Quantity[Location],"MIDC/Pre-Production",RM_PM_Quantity[Section],$C52,RM_PM_Quantity[RM Name],$E52),0)</f>
        <v>0</v>
      </c>
      <c r="AS52" s="84">
        <f>SUMIFS(RM_PM_Quantity[Quantity],RM_PM_Quantity[Date],AS$1,RM_PM_Quantity[Location],$D52,RM_PM_Quantity[Section],$C52,RM_PM_Quantity[RM Name],$E52)+IF($D52="MIND/Pre-Production",SUMIFS(RM_PM_Quantity[Quantity],RM_PM_Quantity[Date],AS$1,RM_PM_Quantity[Location],"MIDC/Pre-Production",RM_PM_Quantity[Section],$C52,RM_PM_Quantity[RM Name],$E52),0)</f>
        <v>0</v>
      </c>
      <c r="AT52" s="84">
        <f>SUMIFS(RM_PM_Quantity[Quantity],RM_PM_Quantity[Date],AT$1,RM_PM_Quantity[Location],$D52,RM_PM_Quantity[Section],$C52,RM_PM_Quantity[RM Name],$E52)+IF($D52="MIND/Pre-Production",SUMIFS(RM_PM_Quantity[Quantity],RM_PM_Quantity[Date],AT$1,RM_PM_Quantity[Location],"MIDC/Pre-Production",RM_PM_Quantity[Section],$C52,RM_PM_Quantity[RM Name],$E52),0)</f>
        <v>0</v>
      </c>
      <c r="AU52" s="84">
        <f>SUMIFS(RM_PM_Quantity[Quantity],RM_PM_Quantity[Date],AU$1,RM_PM_Quantity[Location],$D52,RM_PM_Quantity[Section],$C52,RM_PM_Quantity[RM Name],$E52)+IF($D52="MIND/Pre-Production",SUMIFS(RM_PM_Quantity[Quantity],RM_PM_Quantity[Date],AU$1,RM_PM_Quantity[Location],"MIDC/Pre-Production",RM_PM_Quantity[Section],$C52,RM_PM_Quantity[RM Name],$E52),0)</f>
        <v>0</v>
      </c>
      <c r="AV52" s="84">
        <f>SUMIFS(RM_PM_Quantity[Quantity],RM_PM_Quantity[Date],AV$1,RM_PM_Quantity[Location],$D52,RM_PM_Quantity[Section],$C52,RM_PM_Quantity[RM Name],$E52)+IF($D52="MIND/Pre-Production",SUMIFS(RM_PM_Quantity[Quantity],RM_PM_Quantity[Date],AV$1,RM_PM_Quantity[Location],"MIDC/Pre-Production",RM_PM_Quantity[Section],$C52,RM_PM_Quantity[RM Name],$E52),0)</f>
        <v>0</v>
      </c>
      <c r="AW52" s="84">
        <f>SUMIFS(RM_PM_Quantity[Quantity],RM_PM_Quantity[Date],AW$1,RM_PM_Quantity[Location],$D52,RM_PM_Quantity[Section],$C52,RM_PM_Quantity[RM Name],$E52)+IF($D52="MIND/Pre-Production",SUMIFS(RM_PM_Quantity[Quantity],RM_PM_Quantity[Date],AW$1,RM_PM_Quantity[Location],"MIDC/Pre-Production",RM_PM_Quantity[Section],$C52,RM_PM_Quantity[RM Name],$E52),0)</f>
        <v>0</v>
      </c>
      <c r="AX52" s="84">
        <f>SUMIFS(RM_PM_Quantity[Quantity],RM_PM_Quantity[Date],AX$1,RM_PM_Quantity[Location],$D52,RM_PM_Quantity[Section],$C52,RM_PM_Quantity[RM Name],$E52)+IF($D52="MIND/Pre-Production",SUMIFS(RM_PM_Quantity[Quantity],RM_PM_Quantity[Date],AX$1,RM_PM_Quantity[Location],"MIDC/Pre-Production",RM_PM_Quantity[Section],$C52,RM_PM_Quantity[RM Name],$E52),0)</f>
        <v>0</v>
      </c>
      <c r="AY52" s="84">
        <f>SUMIFS(RM_PM_Quantity[Quantity],RM_PM_Quantity[Date],AY$1,RM_PM_Quantity[Location],$D52,RM_PM_Quantity[Section],$C52,RM_PM_Quantity[RM Name],$E52)+IF($D52="MIND/Pre-Production",SUMIFS(RM_PM_Quantity[Quantity],RM_PM_Quantity[Date],AY$1,RM_PM_Quantity[Location],"MIDC/Pre-Production",RM_PM_Quantity[Section],$C52,RM_PM_Quantity[RM Name],$E52),0)</f>
        <v>0</v>
      </c>
      <c r="AZ52" s="84">
        <f>SUMIFS(RM_PM_Quantity[Quantity],RM_PM_Quantity[Date],AZ$1,RM_PM_Quantity[Location],$D52,RM_PM_Quantity[Section],$C52,RM_PM_Quantity[RM Name],$E52)+IF($D52="MIND/Pre-Production",SUMIFS(RM_PM_Quantity[Quantity],RM_PM_Quantity[Date],AZ$1,RM_PM_Quantity[Location],"MIDC/Pre-Production",RM_PM_Quantity[Section],$C52,RM_PM_Quantity[RM Name],$E52),0)</f>
        <v>0</v>
      </c>
      <c r="BA52" s="84">
        <f>SUMIFS(RM_PM_Quantity[Quantity],RM_PM_Quantity[Date],BA$1,RM_PM_Quantity[Location],$D52,RM_PM_Quantity[Section],$C52,RM_PM_Quantity[RM Name],$E52)+IF($D52="MIND/Pre-Production",SUMIFS(RM_PM_Quantity[Quantity],RM_PM_Quantity[Date],BA$1,RM_PM_Quantity[Location],"MIDC/Pre-Production",RM_PM_Quantity[Section],$C52,RM_PM_Quantity[RM Name],$E52),0)</f>
        <v>0</v>
      </c>
      <c r="BB52" s="84">
        <f>SUMIFS(RM_PM_Quantity[Quantity],RM_PM_Quantity[Date],BB$1,RM_PM_Quantity[Location],$D52,RM_PM_Quantity[Section],$C52,RM_PM_Quantity[RM Name],$E52)+IF($D52="MIND/Pre-Production",SUMIFS(RM_PM_Quantity[Quantity],RM_PM_Quantity[Date],BB$1,RM_PM_Quantity[Location],"MIDC/Pre-Production",RM_PM_Quantity[Section],$C52,RM_PM_Quantity[RM Name],$E52),0)</f>
        <v>0</v>
      </c>
      <c r="BC52" s="84">
        <f>SUMIFS(RM_PM_Quantity[Quantity],RM_PM_Quantity[Date],BC$1,RM_PM_Quantity[Location],$D52,RM_PM_Quantity[Section],$C52,RM_PM_Quantity[RM Name],$E52)+IF($D52="MIND/Pre-Production",SUMIFS(RM_PM_Quantity[Quantity],RM_PM_Quantity[Date],BC$1,RM_PM_Quantity[Location],"MIDC/Pre-Production",RM_PM_Quantity[Section],$C52,RM_PM_Quantity[RM Name],$E52),0)</f>
        <v>0</v>
      </c>
      <c r="BD52" s="84">
        <f>SUMIFS(RM_PM_Quantity[Quantity],RM_PM_Quantity[Date],BD$1,RM_PM_Quantity[Location],$D52,RM_PM_Quantity[Section],$C52,RM_PM_Quantity[RM Name],$E52)+IF($D52="MIND/Pre-Production",SUMIFS(RM_PM_Quantity[Quantity],RM_PM_Quantity[Date],BD$1,RM_PM_Quantity[Location],"MIDC/Pre-Production",RM_PM_Quantity[Section],$C52,RM_PM_Quantity[RM Name],$E52),0)</f>
        <v>0</v>
      </c>
      <c r="BE52" s="84">
        <f>SUMIFS(RM_PM_Quantity[Quantity],RM_PM_Quantity[Date],BE$1,RM_PM_Quantity[Location],$D52,RM_PM_Quantity[Section],$C52,RM_PM_Quantity[RM Name],$E52)+IF($D52="MIND/Pre-Production",SUMIFS(RM_PM_Quantity[Quantity],RM_PM_Quantity[Date],BE$1,RM_PM_Quantity[Location],"MIDC/Pre-Production",RM_PM_Quantity[Section],$C52,RM_PM_Quantity[RM Name],$E52),0)</f>
        <v>0</v>
      </c>
      <c r="BF52" s="84">
        <f>SUMIFS(RM_PM_Quantity[Quantity],RM_PM_Quantity[Date],BF$1,RM_PM_Quantity[Location],$D52,RM_PM_Quantity[Section],$C52,RM_PM_Quantity[RM Name],$E52)+IF($D52="MIND/Pre-Production",SUMIFS(RM_PM_Quantity[Quantity],RM_PM_Quantity[Date],BF$1,RM_PM_Quantity[Location],"MIDC/Pre-Production",RM_PM_Quantity[Section],$C52,RM_PM_Quantity[RM Name],$E52),0)</f>
        <v>0</v>
      </c>
      <c r="BG52" s="84">
        <f>SUMIFS(RM_PM_Quantity[Quantity],RM_PM_Quantity[Date],BG$1,RM_PM_Quantity[Location],$D52,RM_PM_Quantity[Section],$C52,RM_PM_Quantity[RM Name],$E52)+IF($D52="MIND/Pre-Production",SUMIFS(RM_PM_Quantity[Quantity],RM_PM_Quantity[Date],BG$1,RM_PM_Quantity[Location],"MIDC/Pre-Production",RM_PM_Quantity[Section],$C52,RM_PM_Quantity[RM Name],$E52),0)</f>
        <v>0</v>
      </c>
      <c r="BH52" s="84">
        <f>SUMIFS(RM_PM_Quantity[Quantity],RM_PM_Quantity[Date],BH$1,RM_PM_Quantity[Location],$D52,RM_PM_Quantity[Section],$C52,RM_PM_Quantity[RM Name],$E52)+IF($D52="MIND/Pre-Production",SUMIFS(RM_PM_Quantity[Quantity],RM_PM_Quantity[Date],BH$1,RM_PM_Quantity[Location],"MIDC/Pre-Production",RM_PM_Quantity[Section],$C52,RM_PM_Quantity[RM Name],$E52),0)</f>
        <v>0</v>
      </c>
      <c r="BI52" s="84">
        <f>SUMIFS(RM_PM_Quantity[Quantity],RM_PM_Quantity[Date],BI$1,RM_PM_Quantity[Location],$D52,RM_PM_Quantity[Section],$C52,RM_PM_Quantity[RM Name],$E52)+IF($D52="MIND/Pre-Production",SUMIFS(RM_PM_Quantity[Quantity],RM_PM_Quantity[Date],BI$1,RM_PM_Quantity[Location],"MIDC/Pre-Production",RM_PM_Quantity[Section],$C52,RM_PM_Quantity[RM Name],$E52),0)</f>
        <v>0</v>
      </c>
      <c r="BJ52" s="84">
        <f>SUMIFS(RM_PM_Quantity[Quantity],RM_PM_Quantity[Date],BJ$1,RM_PM_Quantity[Location],$D52,RM_PM_Quantity[Section],$C52,RM_PM_Quantity[RM Name],$E52)+IF($D52="MIND/Pre-Production",SUMIFS(RM_PM_Quantity[Quantity],RM_PM_Quantity[Date],BJ$1,RM_PM_Quantity[Location],"MIDC/Pre-Production",RM_PM_Quantity[Section],$C52,RM_PM_Quantity[RM Name],$E52),0)</f>
        <v>0</v>
      </c>
      <c r="BK52" s="84">
        <f>SUMIFS(RM_PM_Quantity[Quantity],RM_PM_Quantity[Date],BK$1,RM_PM_Quantity[Location],$D52,RM_PM_Quantity[Section],$C52,RM_PM_Quantity[RM Name],$E52)+IF($D52="MIND/Pre-Production",SUMIFS(RM_PM_Quantity[Quantity],RM_PM_Quantity[Date],BK$1,RM_PM_Quantity[Location],"MIDC/Pre-Production",RM_PM_Quantity[Section],$C52,RM_PM_Quantity[RM Name],$E52),0)</f>
        <v>0</v>
      </c>
      <c r="BL52" s="84">
        <f>SUMIFS(RM_PM_Quantity[Quantity],RM_PM_Quantity[Date],BL$1,RM_PM_Quantity[Location],$D52,RM_PM_Quantity[Section],$C52,RM_PM_Quantity[RM Name],$E52)+IF($D52="MIND/Pre-Production",SUMIFS(RM_PM_Quantity[Quantity],RM_PM_Quantity[Date],BL$1,RM_PM_Quantity[Location],"MIDC/Pre-Production",RM_PM_Quantity[Section],$C52,RM_PM_Quantity[RM Name],$E52),0)</f>
        <v>0</v>
      </c>
      <c r="BM52" s="84">
        <f>SUMIFS(RM_PM_Quantity[Quantity],RM_PM_Quantity[Date],BM$1,RM_PM_Quantity[Location],$D52,RM_PM_Quantity[Section],$C52,RM_PM_Quantity[RM Name],$E52)+IF($D52="MIND/Pre-Production",SUMIFS(RM_PM_Quantity[Quantity],RM_PM_Quantity[Date],BM$1,RM_PM_Quantity[Location],"MIDC/Pre-Production",RM_PM_Quantity[Section],$C52,RM_PM_Quantity[RM Name],$E52),0)</f>
        <v>0</v>
      </c>
      <c r="BN52" s="84">
        <f>SUMIFS(RM_PM_Quantity[Quantity],RM_PM_Quantity[Date],BN$1,RM_PM_Quantity[Location],$D52,RM_PM_Quantity[Section],$C52,RM_PM_Quantity[RM Name],$E52)+IF($D52="MIND/Pre-Production",SUMIFS(RM_PM_Quantity[Quantity],RM_PM_Quantity[Date],BN$1,RM_PM_Quantity[Location],"MIDC/Pre-Production",RM_PM_Quantity[Section],$C52,RM_PM_Quantity[RM Name],$E52),0)</f>
        <v>0</v>
      </c>
      <c r="BO52" s="84">
        <f>SUMIFS(RM_PM_Quantity[Quantity],RM_PM_Quantity[Date],BO$1,RM_PM_Quantity[Location],$D52,RM_PM_Quantity[Section],$C52,RM_PM_Quantity[RM Name],$E52)+IF($D52="MIND/Pre-Production",SUMIFS(RM_PM_Quantity[Quantity],RM_PM_Quantity[Date],BO$1,RM_PM_Quantity[Location],"MIDC/Pre-Production",RM_PM_Quantity[Section],$C52,RM_PM_Quantity[RM Name],$E52),0)</f>
        <v>0</v>
      </c>
      <c r="BP52" s="84">
        <f>SUMIFS(RM_PM_Quantity[Quantity],RM_PM_Quantity[Date],BP$1,RM_PM_Quantity[Location],$D52,RM_PM_Quantity[Section],$C52,RM_PM_Quantity[RM Name],$E52)+IF($D52="MIND/Pre-Production",SUMIFS(RM_PM_Quantity[Quantity],RM_PM_Quantity[Date],BP$1,RM_PM_Quantity[Location],"MIDC/Pre-Production",RM_PM_Quantity[Section],$C52,RM_PM_Quantity[RM Name],$E52),0)</f>
        <v>0</v>
      </c>
      <c r="BQ52" s="84">
        <f>SUMIFS(RM_PM_Quantity[Quantity],RM_PM_Quantity[Date],BQ$1,RM_PM_Quantity[Location],$D52,RM_PM_Quantity[Section],$C52,RM_PM_Quantity[RM Name],$E52)+IF($D52="MIND/Pre-Production",SUMIFS(RM_PM_Quantity[Quantity],RM_PM_Quantity[Date],BQ$1,RM_PM_Quantity[Location],"MIDC/Pre-Production",RM_PM_Quantity[Section],$C52,RM_PM_Quantity[RM Name],$E52),0)</f>
        <v>0</v>
      </c>
      <c r="BR52" s="84">
        <f>SUMIFS(RM_PM_Quantity[Quantity],RM_PM_Quantity[Date],BR$1,RM_PM_Quantity[Location],$D52,RM_PM_Quantity[Section],$C52,RM_PM_Quantity[RM Name],$E52)+IF($D52="MIND/Pre-Production",SUMIFS(RM_PM_Quantity[Quantity],RM_PM_Quantity[Date],BR$1,RM_PM_Quantity[Location],"MIDC/Pre-Production",RM_PM_Quantity[Section],$C52,RM_PM_Quantity[RM Name],$E52),0)</f>
        <v>0</v>
      </c>
      <c r="BS52" s="84">
        <f>SUMIFS(RM_PM_Quantity[Quantity],RM_PM_Quantity[Date],BS$1,RM_PM_Quantity[Location],$D52,RM_PM_Quantity[Section],$C52,RM_PM_Quantity[RM Name],$E52)+IF($D52="MIND/Pre-Production",SUMIFS(RM_PM_Quantity[Quantity],RM_PM_Quantity[Date],BS$1,RM_PM_Quantity[Location],"MIDC/Pre-Production",RM_PM_Quantity[Section],$C52,RM_PM_Quantity[RM Name],$E52),0)</f>
        <v>0</v>
      </c>
      <c r="BT52" s="84">
        <f>SUMIFS(RM_PM_Quantity[ID],RM_PM_Quantity[Location],BT$1,RM_PM_Quantity[Section],$D52,RM_PM_Quantity[RM Name],$C52,RM_PM_Quantity[Quantity],$E52)+IF($D52="MIND/Pre-Production",SUMIFS(RM_PM_Quantity[ID],RM_PM_Quantity[Location],BT$1,RM_PM_Quantity[Section],"MIDC/Pre-Production",RM_PM_Quantity[RM Name],$C52,RM_PM_Quantity[Quantity],$E52),0)</f>
        <v>0</v>
      </c>
      <c r="BU52" s="84">
        <f>SUMIFS(RM_PM_Quantity[Name of Supervisor],RM_PM_Quantity[Section],BU$1,RM_PM_Quantity[RM Name],$D52,RM_PM_Quantity[Quantity],$C52,RM_PM_Quantity[ID],$E52)+IF($D52="MIND/Pre-Production",SUMIFS(RM_PM_Quantity[Name of Supervisor],RM_PM_Quantity[Section],BU$1,RM_PM_Quantity[RM Name],"MIDC/Pre-Production",RM_PM_Quantity[Quantity],$C52,RM_PM_Quantity[ID],$E52),0)</f>
        <v>0</v>
      </c>
      <c r="BV52" s="84">
        <f>SUMIFS(RM_PM_Quantity[Date],RM_PM_Quantity[RM Name],BV$1,RM_PM_Quantity[Quantity],$D52,RM_PM_Quantity[ID],$C52,RM_PM_Quantity[Name of Supervisor],$E52)+IF($D52="MIND/Pre-Production",SUMIFS(RM_PM_Quantity[Date],RM_PM_Quantity[RM Name],BV$1,RM_PM_Quantity[Quantity],"MIDC/Pre-Production",RM_PM_Quantity[ID],$C52,RM_PM_Quantity[Name of Supervisor],$E52),0)</f>
        <v>0</v>
      </c>
      <c r="BW52" s="84">
        <f>SUMIFS(RM_PM_Quantity[Location],RM_PM_Quantity[Quantity],BW$1,RM_PM_Quantity[ID],$D52,RM_PM_Quantity[Name of Supervisor],$C52,RM_PM_Quantity[Date],$E52)+IF($D52="MIND/Pre-Production",SUMIFS(RM_PM_Quantity[Location],RM_PM_Quantity[Quantity],BW$1,RM_PM_Quantity[ID],"MIDC/Pre-Production",RM_PM_Quantity[Name of Supervisor],$C52,RM_PM_Quantity[Date],$E52),0)</f>
        <v>0</v>
      </c>
      <c r="BX52" s="84">
        <f>SUMIFS(RM_PM_Quantity[Section],RM_PM_Quantity[ID],BX$1,RM_PM_Quantity[Name of Supervisor],$D52,RM_PM_Quantity[Date],$C52,RM_PM_Quantity[Location],$E52)+IF($D52="MIND/Pre-Production",SUMIFS(RM_PM_Quantity[Section],RM_PM_Quantity[ID],BX$1,RM_PM_Quantity[Name of Supervisor],"MIDC/Pre-Production",RM_PM_Quantity[Date],$C52,RM_PM_Quantity[Location],$E52),0)</f>
        <v>0</v>
      </c>
      <c r="BY52" s="84">
        <f>SUMIFS(RM_PM_Quantity[RM Name],RM_PM_Quantity[Name of Supervisor],BY$1,RM_PM_Quantity[Date],$D52,RM_PM_Quantity[Location],$C52,RM_PM_Quantity[Section],$E52)+IF($D52="MIND/Pre-Production",SUMIFS(RM_PM_Quantity[RM Name],RM_PM_Quantity[Name of Supervisor],BY$1,RM_PM_Quantity[Date],"MIDC/Pre-Production",RM_PM_Quantity[Location],$C52,RM_PM_Quantity[Section],$E52),0)</f>
        <v>0</v>
      </c>
    </row>
    <row r="53" spans="1:77" ht="45.75" customHeight="1">
      <c r="A53" s="79">
        <v>52</v>
      </c>
      <c r="B53" s="87" t="s">
        <v>148</v>
      </c>
      <c r="C53" s="80" t="s">
        <v>146</v>
      </c>
      <c r="D53" s="81" t="s">
        <v>54</v>
      </c>
      <c r="E53" s="90" t="s">
        <v>149</v>
      </c>
      <c r="F53" s="83">
        <f>IFERROR(_xlfn.XLOOKUP(B53,'[1]RM Tracker'!B:B,'[1]RM Tracker'!E:E),"0")</f>
        <v>7.1767192118226566</v>
      </c>
      <c r="G53" s="85">
        <f t="shared" si="2"/>
        <v>0</v>
      </c>
      <c r="H53" s="85">
        <f t="shared" si="3"/>
        <v>-7.1767192118226566</v>
      </c>
      <c r="I53" s="91">
        <f t="shared" si="4"/>
        <v>0</v>
      </c>
      <c r="J53" s="84">
        <f>SUMIFS(RM_PM_Quantity[Quantity],RM_PM_Quantity[Date],J$1,RM_PM_Quantity[Location],$D53,RM_PM_Quantity[Section],$C53,RM_PM_Quantity[RM Name],$E53)+IF($D53="MIND/Pre-Production",SUMIFS(RM_PM_Quantity[Quantity],RM_PM_Quantity[Date],J$1,RM_PM_Quantity[Location],"MIDC/Pre-Production",RM_PM_Quantity[Section],$C53,RM_PM_Quantity[RM Name],$E53),0)</f>
        <v>0</v>
      </c>
      <c r="K53" s="84">
        <f>SUMIFS(RM_PM_Quantity[Quantity],RM_PM_Quantity[Date],K$1,RM_PM_Quantity[Location],$D53,RM_PM_Quantity[Section],$C53,RM_PM_Quantity[RM Name],$E53)+IF($D53="MIND/Pre-Production",SUMIFS(RM_PM_Quantity[Quantity],RM_PM_Quantity[Date],K$1,RM_PM_Quantity[Location],"MIDC/Pre-Production",RM_PM_Quantity[Section],$C53,RM_PM_Quantity[RM Name],$E53),0)</f>
        <v>0</v>
      </c>
      <c r="L53" s="84">
        <f>SUMIFS(RM_PM_Quantity[Quantity],RM_PM_Quantity[Date],L$1,RM_PM_Quantity[Location],$D53,RM_PM_Quantity[Section],$C53,RM_PM_Quantity[RM Name],$E53)+IF($D53="MIND/Pre-Production",SUMIFS(RM_PM_Quantity[Quantity],RM_PM_Quantity[Date],L$1,RM_PM_Quantity[Location],"MIDC/Pre-Production",RM_PM_Quantity[Section],$C53,RM_PM_Quantity[RM Name],$E53),0)</f>
        <v>0</v>
      </c>
      <c r="M53" s="84">
        <f>SUMIFS(RM_PM_Quantity[Quantity],RM_PM_Quantity[Date],M$1,RM_PM_Quantity[Location],$D53,RM_PM_Quantity[Section],$C53,RM_PM_Quantity[RM Name],$E53)+IF($D53="MIND/Pre-Production",SUMIFS(RM_PM_Quantity[Quantity],RM_PM_Quantity[Date],M$1,RM_PM_Quantity[Location],"MIDC/Pre-Production",RM_PM_Quantity[Section],$C53,RM_PM_Quantity[RM Name],$E53),0)</f>
        <v>0</v>
      </c>
      <c r="N53" s="84">
        <f>SUMIFS(RM_PM_Quantity[Quantity],RM_PM_Quantity[Date],N$1,RM_PM_Quantity[Location],$D53,RM_PM_Quantity[Section],$C53,RM_PM_Quantity[RM Name],$E53)+IF($D53="MIND/Pre-Production",SUMIFS(RM_PM_Quantity[Quantity],RM_PM_Quantity[Date],N$1,RM_PM_Quantity[Location],"MIDC/Pre-Production",RM_PM_Quantity[Section],$C53,RM_PM_Quantity[RM Name],$E53),0)</f>
        <v>0</v>
      </c>
      <c r="O53" s="84">
        <f>SUMIFS(RM_PM_Quantity[Quantity],RM_PM_Quantity[Date],O$1,RM_PM_Quantity[Location],$D53,RM_PM_Quantity[Section],$C53,RM_PM_Quantity[RM Name],$E53)+IF($D53="MIND/Pre-Production",SUMIFS(RM_PM_Quantity[Quantity],RM_PM_Quantity[Date],O$1,RM_PM_Quantity[Location],"MIDC/Pre-Production",RM_PM_Quantity[Section],$C53,RM_PM_Quantity[RM Name],$E53),0)</f>
        <v>0</v>
      </c>
      <c r="P53" s="84">
        <f>SUMIFS(RM_PM_Quantity[Quantity],RM_PM_Quantity[Date],P$1,RM_PM_Quantity[Location],$D53,RM_PM_Quantity[Section],$C53,RM_PM_Quantity[RM Name],$E53)+IF($D53="MIND/Pre-Production",SUMIFS(RM_PM_Quantity[Quantity],RM_PM_Quantity[Date],P$1,RM_PM_Quantity[Location],"MIDC/Pre-Production",RM_PM_Quantity[Section],$C53,RM_PM_Quantity[RM Name],$E53),0)</f>
        <v>0</v>
      </c>
      <c r="Q53" s="84">
        <f>SUMIFS(RM_PM_Quantity[Quantity],RM_PM_Quantity[Date],Q$1,RM_PM_Quantity[Location],$D53,RM_PM_Quantity[Section],$C53,RM_PM_Quantity[RM Name],$E53)+IF($D53="MIND/Pre-Production",SUMIFS(RM_PM_Quantity[Quantity],RM_PM_Quantity[Date],Q$1,RM_PM_Quantity[Location],"MIDC/Pre-Production",RM_PM_Quantity[Section],$C53,RM_PM_Quantity[RM Name],$E53),0)</f>
        <v>0</v>
      </c>
      <c r="R53" s="84">
        <f>SUMIFS(RM_PM_Quantity[Quantity],RM_PM_Quantity[Date],R$1,RM_PM_Quantity[Location],$D53,RM_PM_Quantity[Section],$C53,RM_PM_Quantity[RM Name],$E53)+IF($D53="MIND/Pre-Production",SUMIFS(RM_PM_Quantity[Quantity],RM_PM_Quantity[Date],R$1,RM_PM_Quantity[Location],"MIDC/Pre-Production",RM_PM_Quantity[Section],$C53,RM_PM_Quantity[RM Name],$E53),0)</f>
        <v>0</v>
      </c>
      <c r="S53" s="84">
        <f>SUMIFS(RM_PM_Quantity[Quantity],RM_PM_Quantity[Date],S$1,RM_PM_Quantity[Location],$D53,RM_PM_Quantity[Section],$C53,RM_PM_Quantity[RM Name],$E53)+IF($D53="MIND/Pre-Production",SUMIFS(RM_PM_Quantity[Quantity],RM_PM_Quantity[Date],S$1,RM_PM_Quantity[Location],"MIDC/Pre-Production",RM_PM_Quantity[Section],$C53,RM_PM_Quantity[RM Name],$E53),0)</f>
        <v>0</v>
      </c>
      <c r="T53" s="84">
        <f>SUMIFS(RM_PM_Quantity[Quantity],RM_PM_Quantity[Date],T$1,RM_PM_Quantity[Location],$D53,RM_PM_Quantity[Section],$C53,RM_PM_Quantity[RM Name],$E53)+IF($D53="MIND/Pre-Production",SUMIFS(RM_PM_Quantity[Quantity],RM_PM_Quantity[Date],T$1,RM_PM_Quantity[Location],"MIDC/Pre-Production",RM_PM_Quantity[Section],$C53,RM_PM_Quantity[RM Name],$E53),0)</f>
        <v>0</v>
      </c>
      <c r="U53" s="84">
        <f>SUMIFS(RM_PM_Quantity[Quantity],RM_PM_Quantity[Date],U$1,RM_PM_Quantity[Location],$D53,RM_PM_Quantity[Section],$C53,RM_PM_Quantity[RM Name],$E53)+IF($D53="MIND/Pre-Production",SUMIFS(RM_PM_Quantity[Quantity],RM_PM_Quantity[Date],U$1,RM_PM_Quantity[Location],"MIDC/Pre-Production",RM_PM_Quantity[Section],$C53,RM_PM_Quantity[RM Name],$E53),0)</f>
        <v>0</v>
      </c>
      <c r="V53" s="84">
        <f>SUMIFS(RM_PM_Quantity[Quantity],RM_PM_Quantity[Date],V$1,RM_PM_Quantity[Location],$D53,RM_PM_Quantity[Section],$C53,RM_PM_Quantity[RM Name],$E53)+IF($D53="MIND/Pre-Production",SUMIFS(RM_PM_Quantity[Quantity],RM_PM_Quantity[Date],V$1,RM_PM_Quantity[Location],"MIDC/Pre-Production",RM_PM_Quantity[Section],$C53,RM_PM_Quantity[RM Name],$E53),0)</f>
        <v>0</v>
      </c>
      <c r="W53" s="84">
        <f>SUMIFS(RM_PM_Quantity[Quantity],RM_PM_Quantity[Date],W$1,RM_PM_Quantity[Location],$D53,RM_PM_Quantity[Section],$C53,RM_PM_Quantity[RM Name],$E53)+IF($D53="MIND/Pre-Production",SUMIFS(RM_PM_Quantity[Quantity],RM_PM_Quantity[Date],W$1,RM_PM_Quantity[Location],"MIDC/Pre-Production",RM_PM_Quantity[Section],$C53,RM_PM_Quantity[RM Name],$E53),0)</f>
        <v>0</v>
      </c>
      <c r="X53" s="84">
        <f>SUMIFS(RM_PM_Quantity[Quantity],RM_PM_Quantity[Date],X$1,RM_PM_Quantity[Location],$D53,RM_PM_Quantity[Section],$C53,RM_PM_Quantity[RM Name],$E53)+IF($D53="MIND/Pre-Production",SUMIFS(RM_PM_Quantity[Quantity],RM_PM_Quantity[Date],X$1,RM_PM_Quantity[Location],"MIDC/Pre-Production",RM_PM_Quantity[Section],$C53,RM_PM_Quantity[RM Name],$E53),0)</f>
        <v>0</v>
      </c>
      <c r="Y53" s="84">
        <f>SUMIFS(RM_PM_Quantity[Quantity],RM_PM_Quantity[Date],Y$1,RM_PM_Quantity[Location],$D53,RM_PM_Quantity[Section],$C53,RM_PM_Quantity[RM Name],$E53)+IF($D53="MIND/Pre-Production",SUMIFS(RM_PM_Quantity[Quantity],RM_PM_Quantity[Date],Y$1,RM_PM_Quantity[Location],"MIDC/Pre-Production",RM_PM_Quantity[Section],$C53,RM_PM_Quantity[RM Name],$E53),0)</f>
        <v>0</v>
      </c>
      <c r="Z53" s="84">
        <f>SUMIFS(RM_PM_Quantity[Quantity],RM_PM_Quantity[Date],Z$1,RM_PM_Quantity[Location],$D53,RM_PM_Quantity[Section],$C53,RM_PM_Quantity[RM Name],$E53)+IF($D53="MIND/Pre-Production",SUMIFS(RM_PM_Quantity[Quantity],RM_PM_Quantity[Date],Z$1,RM_PM_Quantity[Location],"MIDC/Pre-Production",RM_PM_Quantity[Section],$C53,RM_PM_Quantity[RM Name],$E53),0)</f>
        <v>0</v>
      </c>
      <c r="AA53" s="84">
        <f>SUMIFS(RM_PM_Quantity[Quantity],RM_PM_Quantity[Date],AA$1,RM_PM_Quantity[Location],$D53,RM_PM_Quantity[Section],$C53,RM_PM_Quantity[RM Name],$E53)+IF($D53="MIND/Pre-Production",SUMIFS(RM_PM_Quantity[Quantity],RM_PM_Quantity[Date],AA$1,RM_PM_Quantity[Location],"MIDC/Pre-Production",RM_PM_Quantity[Section],$C53,RM_PM_Quantity[RM Name],$E53),0)</f>
        <v>0</v>
      </c>
      <c r="AB53" s="84">
        <f>SUMIFS(RM_PM_Quantity[Quantity],RM_PM_Quantity[Date],AB$1,RM_PM_Quantity[Location],$D53,RM_PM_Quantity[Section],$C53,RM_PM_Quantity[RM Name],$E53)+IF($D53="MIND/Pre-Production",SUMIFS(RM_PM_Quantity[Quantity],RM_PM_Quantity[Date],AB$1,RM_PM_Quantity[Location],"MIDC/Pre-Production",RM_PM_Quantity[Section],$C53,RM_PM_Quantity[RM Name],$E53),0)</f>
        <v>0</v>
      </c>
      <c r="AC53" s="84">
        <f>SUMIFS(RM_PM_Quantity[Quantity],RM_PM_Quantity[Date],AC$1,RM_PM_Quantity[Location],$D53,RM_PM_Quantity[Section],$C53,RM_PM_Quantity[RM Name],$E53)+IF($D53="MIND/Pre-Production",SUMIFS(RM_PM_Quantity[Quantity],RM_PM_Quantity[Date],AC$1,RM_PM_Quantity[Location],"MIDC/Pre-Production",RM_PM_Quantity[Section],$C53,RM_PM_Quantity[RM Name],$E53),0)</f>
        <v>0</v>
      </c>
      <c r="AD53" s="84">
        <f>SUMIFS(RM_PM_Quantity[Quantity],RM_PM_Quantity[Date],AD$1,RM_PM_Quantity[Location],$D53,RM_PM_Quantity[Section],$C53,RM_PM_Quantity[RM Name],$E53)+IF($D53="MIND/Pre-Production",SUMIFS(RM_PM_Quantity[Quantity],RM_PM_Quantity[Date],AD$1,RM_PM_Quantity[Location],"MIDC/Pre-Production",RM_PM_Quantity[Section],$C53,RM_PM_Quantity[RM Name],$E53),0)</f>
        <v>0</v>
      </c>
      <c r="AE53" s="84">
        <f>SUMIFS(RM_PM_Quantity[Quantity],RM_PM_Quantity[Date],AE$1,RM_PM_Quantity[Location],$D53,RM_PM_Quantity[Section],$C53,RM_PM_Quantity[RM Name],$E53)+IF($D53="MIND/Pre-Production",SUMIFS(RM_PM_Quantity[Quantity],RM_PM_Quantity[Date],AE$1,RM_PM_Quantity[Location],"MIDC/Pre-Production",RM_PM_Quantity[Section],$C53,RM_PM_Quantity[RM Name],$E53),0)</f>
        <v>0</v>
      </c>
      <c r="AF53" s="84">
        <f>SUMIFS(RM_PM_Quantity[Quantity],RM_PM_Quantity[Date],AF$1,RM_PM_Quantity[Location],$D53,RM_PM_Quantity[Section],$C53,RM_PM_Quantity[RM Name],$E53)+IF($D53="MIND/Pre-Production",SUMIFS(RM_PM_Quantity[Quantity],RM_PM_Quantity[Date],AF$1,RM_PM_Quantity[Location],"MIDC/Pre-Production",RM_PM_Quantity[Section],$C53,RM_PM_Quantity[RM Name],$E53),0)</f>
        <v>0</v>
      </c>
      <c r="AG53" s="84">
        <f>SUMIFS(RM_PM_Quantity[Quantity],RM_PM_Quantity[Date],AG$1,RM_PM_Quantity[Location],$D53,RM_PM_Quantity[Section],$C53,RM_PM_Quantity[RM Name],$E53)+IF($D53="MIND/Pre-Production",SUMIFS(RM_PM_Quantity[Quantity],RM_PM_Quantity[Date],AG$1,RM_PM_Quantity[Location],"MIDC/Pre-Production",RM_PM_Quantity[Section],$C53,RM_PM_Quantity[RM Name],$E53),0)</f>
        <v>0</v>
      </c>
      <c r="AH53" s="84">
        <f>SUMIFS(RM_PM_Quantity[Quantity],RM_PM_Quantity[Date],AH$1,RM_PM_Quantity[Location],$D53,RM_PM_Quantity[Section],$C53,RM_PM_Quantity[RM Name],$E53)+IF($D53="MIND/Pre-Production",SUMIFS(RM_PM_Quantity[Quantity],RM_PM_Quantity[Date],AH$1,RM_PM_Quantity[Location],"MIDC/Pre-Production",RM_PM_Quantity[Section],$C53,RM_PM_Quantity[RM Name],$E53),0)</f>
        <v>0</v>
      </c>
      <c r="AI53" s="84">
        <f>SUMIFS(RM_PM_Quantity[Quantity],RM_PM_Quantity[Date],AI$1,RM_PM_Quantity[Location],$D53,RM_PM_Quantity[Section],$C53,RM_PM_Quantity[RM Name],$E53)+IF($D53="MIND/Pre-Production",SUMIFS(RM_PM_Quantity[Quantity],RM_PM_Quantity[Date],AI$1,RM_PM_Quantity[Location],"MIDC/Pre-Production",RM_PM_Quantity[Section],$C53,RM_PM_Quantity[RM Name],$E53),0)</f>
        <v>0</v>
      </c>
      <c r="AJ53" s="84">
        <f>SUMIFS(RM_PM_Quantity[Quantity],RM_PM_Quantity[Date],AJ$1,RM_PM_Quantity[Location],$D53,RM_PM_Quantity[Section],$C53,RM_PM_Quantity[RM Name],$E53)+IF($D53="MIND/Pre-Production",SUMIFS(RM_PM_Quantity[Quantity],RM_PM_Quantity[Date],AJ$1,RM_PM_Quantity[Location],"MIDC/Pre-Production",RM_PM_Quantity[Section],$C53,RM_PM_Quantity[RM Name],$E53),0)</f>
        <v>0</v>
      </c>
      <c r="AK53" s="84">
        <f>SUMIFS(RM_PM_Quantity[Quantity],RM_PM_Quantity[Date],AK$1,RM_PM_Quantity[Location],$D53,RM_PM_Quantity[Section],$C53,RM_PM_Quantity[RM Name],$E53)+IF($D53="MIND/Pre-Production",SUMIFS(RM_PM_Quantity[Quantity],RM_PM_Quantity[Date],AK$1,RM_PM_Quantity[Location],"MIDC/Pre-Production",RM_PM_Quantity[Section],$C53,RM_PM_Quantity[RM Name],$E53),0)</f>
        <v>0</v>
      </c>
      <c r="AL53" s="84">
        <f>SUMIFS(RM_PM_Quantity[Quantity],RM_PM_Quantity[Date],AL$1,RM_PM_Quantity[Location],$D53,RM_PM_Quantity[Section],$C53,RM_PM_Quantity[RM Name],$E53)+IF($D53="MIND/Pre-Production",SUMIFS(RM_PM_Quantity[Quantity],RM_PM_Quantity[Date],AL$1,RM_PM_Quantity[Location],"MIDC/Pre-Production",RM_PM_Quantity[Section],$C53,RM_PM_Quantity[RM Name],$E53),0)</f>
        <v>0</v>
      </c>
      <c r="AM53" s="84">
        <f>SUMIFS(RM_PM_Quantity[Quantity],RM_PM_Quantity[Date],AM$1,RM_PM_Quantity[Location],$D53,RM_PM_Quantity[Section],$C53,RM_PM_Quantity[RM Name],$E53)+IF($D53="MIND/Pre-Production",SUMIFS(RM_PM_Quantity[Quantity],RM_PM_Quantity[Date],AM$1,RM_PM_Quantity[Location],"MIDC/Pre-Production",RM_PM_Quantity[Section],$C53,RM_PM_Quantity[RM Name],$E53),0)</f>
        <v>0</v>
      </c>
      <c r="AN53" s="84">
        <f>SUMIFS(RM_PM_Quantity[Quantity],RM_PM_Quantity[Date],AN$1,RM_PM_Quantity[Location],$D53,RM_PM_Quantity[Section],$C53,RM_PM_Quantity[RM Name],$E53)+IF($D53="MIND/Pre-Production",SUMIFS(RM_PM_Quantity[Quantity],RM_PM_Quantity[Date],AN$1,RM_PM_Quantity[Location],"MIDC/Pre-Production",RM_PM_Quantity[Section],$C53,RM_PM_Quantity[RM Name],$E53),0)</f>
        <v>0</v>
      </c>
      <c r="AO53" s="84">
        <f>SUMIFS(RM_PM_Quantity[Quantity],RM_PM_Quantity[Date],AO$1,RM_PM_Quantity[Location],$D53,RM_PM_Quantity[Section],$C53,RM_PM_Quantity[RM Name],$E53)+IF($D53="MIND/Pre-Production",SUMIFS(RM_PM_Quantity[Quantity],RM_PM_Quantity[Date],AO$1,RM_PM_Quantity[Location],"MIDC/Pre-Production",RM_PM_Quantity[Section],$C53,RM_PM_Quantity[RM Name],$E53),0)</f>
        <v>0</v>
      </c>
      <c r="AP53" s="84">
        <f>SUMIFS(RM_PM_Quantity[Quantity],RM_PM_Quantity[Date],AP$1,RM_PM_Quantity[Location],$D53,RM_PM_Quantity[Section],$C53,RM_PM_Quantity[RM Name],$E53)+IF($D53="MIND/Pre-Production",SUMIFS(RM_PM_Quantity[Quantity],RM_PM_Quantity[Date],AP$1,RM_PM_Quantity[Location],"MIDC/Pre-Production",RM_PM_Quantity[Section],$C53,RM_PM_Quantity[RM Name],$E53),0)</f>
        <v>0</v>
      </c>
      <c r="AQ53" s="84">
        <f>SUMIFS(RM_PM_Quantity[Quantity],RM_PM_Quantity[Date],AQ$1,RM_PM_Quantity[Location],$D53,RM_PM_Quantity[Section],$C53,RM_PM_Quantity[RM Name],$E53)+IF($D53="MIND/Pre-Production",SUMIFS(RM_PM_Quantity[Quantity],RM_PM_Quantity[Date],AQ$1,RM_PM_Quantity[Location],"MIDC/Pre-Production",RM_PM_Quantity[Section],$C53,RM_PM_Quantity[RM Name],$E53),0)</f>
        <v>0</v>
      </c>
      <c r="AR53" s="84">
        <f>SUMIFS(RM_PM_Quantity[Quantity],RM_PM_Quantity[Date],AR$1,RM_PM_Quantity[Location],$D53,RM_PM_Quantity[Section],$C53,RM_PM_Quantity[RM Name],$E53)+IF($D53="MIND/Pre-Production",SUMIFS(RM_PM_Quantity[Quantity],RM_PM_Quantity[Date],AR$1,RM_PM_Quantity[Location],"MIDC/Pre-Production",RM_PM_Quantity[Section],$C53,RM_PM_Quantity[RM Name],$E53),0)</f>
        <v>0</v>
      </c>
      <c r="AS53" s="84">
        <f>SUMIFS(RM_PM_Quantity[Quantity],RM_PM_Quantity[Date],AS$1,RM_PM_Quantity[Location],$D53,RM_PM_Quantity[Section],$C53,RM_PM_Quantity[RM Name],$E53)+IF($D53="MIND/Pre-Production",SUMIFS(RM_PM_Quantity[Quantity],RM_PM_Quantity[Date],AS$1,RM_PM_Quantity[Location],"MIDC/Pre-Production",RM_PM_Quantity[Section],$C53,RM_PM_Quantity[RM Name],$E53),0)</f>
        <v>0</v>
      </c>
      <c r="AT53" s="84">
        <f>SUMIFS(RM_PM_Quantity[Quantity],RM_PM_Quantity[Date],AT$1,RM_PM_Quantity[Location],$D53,RM_PM_Quantity[Section],$C53,RM_PM_Quantity[RM Name],$E53)+IF($D53="MIND/Pre-Production",SUMIFS(RM_PM_Quantity[Quantity],RM_PM_Quantity[Date],AT$1,RM_PM_Quantity[Location],"MIDC/Pre-Production",RM_PM_Quantity[Section],$C53,RM_PM_Quantity[RM Name],$E53),0)</f>
        <v>0</v>
      </c>
      <c r="AU53" s="84">
        <f>SUMIFS(RM_PM_Quantity[Quantity],RM_PM_Quantity[Date],AU$1,RM_PM_Quantity[Location],$D53,RM_PM_Quantity[Section],$C53,RM_PM_Quantity[RM Name],$E53)+IF($D53="MIND/Pre-Production",SUMIFS(RM_PM_Quantity[Quantity],RM_PM_Quantity[Date],AU$1,RM_PM_Quantity[Location],"MIDC/Pre-Production",RM_PM_Quantity[Section],$C53,RM_PM_Quantity[RM Name],$E53),0)</f>
        <v>0</v>
      </c>
      <c r="AV53" s="84">
        <f>SUMIFS(RM_PM_Quantity[Quantity],RM_PM_Quantity[Date],AV$1,RM_PM_Quantity[Location],$D53,RM_PM_Quantity[Section],$C53,RM_PM_Quantity[RM Name],$E53)+IF($D53="MIND/Pre-Production",SUMIFS(RM_PM_Quantity[Quantity],RM_PM_Quantity[Date],AV$1,RM_PM_Quantity[Location],"MIDC/Pre-Production",RM_PM_Quantity[Section],$C53,RM_PM_Quantity[RM Name],$E53),0)</f>
        <v>0</v>
      </c>
      <c r="AW53" s="84">
        <f>SUMIFS(RM_PM_Quantity[Quantity],RM_PM_Quantity[Date],AW$1,RM_PM_Quantity[Location],$D53,RM_PM_Quantity[Section],$C53,RM_PM_Quantity[RM Name],$E53)+IF($D53="MIND/Pre-Production",SUMIFS(RM_PM_Quantity[Quantity],RM_PM_Quantity[Date],AW$1,RM_PM_Quantity[Location],"MIDC/Pre-Production",RM_PM_Quantity[Section],$C53,RM_PM_Quantity[RM Name],$E53),0)</f>
        <v>0</v>
      </c>
      <c r="AX53" s="84">
        <f>SUMIFS(RM_PM_Quantity[Quantity],RM_PM_Quantity[Date],AX$1,RM_PM_Quantity[Location],$D53,RM_PM_Quantity[Section],$C53,RM_PM_Quantity[RM Name],$E53)+IF($D53="MIND/Pre-Production",SUMIFS(RM_PM_Quantity[Quantity],RM_PM_Quantity[Date],AX$1,RM_PM_Quantity[Location],"MIDC/Pre-Production",RM_PM_Quantity[Section],$C53,RM_PM_Quantity[RM Name],$E53),0)</f>
        <v>0</v>
      </c>
      <c r="AY53" s="84">
        <f>SUMIFS(RM_PM_Quantity[Quantity],RM_PM_Quantity[Date],AY$1,RM_PM_Quantity[Location],$D53,RM_PM_Quantity[Section],$C53,RM_PM_Quantity[RM Name],$E53)+IF($D53="MIND/Pre-Production",SUMIFS(RM_PM_Quantity[Quantity],RM_PM_Quantity[Date],AY$1,RM_PM_Quantity[Location],"MIDC/Pre-Production",RM_PM_Quantity[Section],$C53,RM_PM_Quantity[RM Name],$E53),0)</f>
        <v>0</v>
      </c>
      <c r="AZ53" s="84">
        <f>SUMIFS(RM_PM_Quantity[Quantity],RM_PM_Quantity[Date],AZ$1,RM_PM_Quantity[Location],$D53,RM_PM_Quantity[Section],$C53,RM_PM_Quantity[RM Name],$E53)+IF($D53="MIND/Pre-Production",SUMIFS(RM_PM_Quantity[Quantity],RM_PM_Quantity[Date],AZ$1,RM_PM_Quantity[Location],"MIDC/Pre-Production",RM_PM_Quantity[Section],$C53,RM_PM_Quantity[RM Name],$E53),0)</f>
        <v>0</v>
      </c>
      <c r="BA53" s="84">
        <f>SUMIFS(RM_PM_Quantity[Quantity],RM_PM_Quantity[Date],BA$1,RM_PM_Quantity[Location],$D53,RM_PM_Quantity[Section],$C53,RM_PM_Quantity[RM Name],$E53)+IF($D53="MIND/Pre-Production",SUMIFS(RM_PM_Quantity[Quantity],RM_PM_Quantity[Date],BA$1,RM_PM_Quantity[Location],"MIDC/Pre-Production",RM_PM_Quantity[Section],$C53,RM_PM_Quantity[RM Name],$E53),0)</f>
        <v>0</v>
      </c>
      <c r="BB53" s="84">
        <f>SUMIFS(RM_PM_Quantity[Quantity],RM_PM_Quantity[Date],BB$1,RM_PM_Quantity[Location],$D53,RM_PM_Quantity[Section],$C53,RM_PM_Quantity[RM Name],$E53)+IF($D53="MIND/Pre-Production",SUMIFS(RM_PM_Quantity[Quantity],RM_PM_Quantity[Date],BB$1,RM_PM_Quantity[Location],"MIDC/Pre-Production",RM_PM_Quantity[Section],$C53,RM_PM_Quantity[RM Name],$E53),0)</f>
        <v>0</v>
      </c>
      <c r="BC53" s="84">
        <f>SUMIFS(RM_PM_Quantity[Quantity],RM_PM_Quantity[Date],BC$1,RM_PM_Quantity[Location],$D53,RM_PM_Quantity[Section],$C53,RM_PM_Quantity[RM Name],$E53)+IF($D53="MIND/Pre-Production",SUMIFS(RM_PM_Quantity[Quantity],RM_PM_Quantity[Date],BC$1,RM_PM_Quantity[Location],"MIDC/Pre-Production",RM_PM_Quantity[Section],$C53,RM_PM_Quantity[RM Name],$E53),0)</f>
        <v>0</v>
      </c>
      <c r="BD53" s="84">
        <f>SUMIFS(RM_PM_Quantity[Quantity],RM_PM_Quantity[Date],BD$1,RM_PM_Quantity[Location],$D53,RM_PM_Quantity[Section],$C53,RM_PM_Quantity[RM Name],$E53)+IF($D53="MIND/Pre-Production",SUMIFS(RM_PM_Quantity[Quantity],RM_PM_Quantity[Date],BD$1,RM_PM_Quantity[Location],"MIDC/Pre-Production",RM_PM_Quantity[Section],$C53,RM_PM_Quantity[RM Name],$E53),0)</f>
        <v>0</v>
      </c>
      <c r="BE53" s="84">
        <f>SUMIFS(RM_PM_Quantity[Quantity],RM_PM_Quantity[Date],BE$1,RM_PM_Quantity[Location],$D53,RM_PM_Quantity[Section],$C53,RM_PM_Quantity[RM Name],$E53)+IF($D53="MIND/Pre-Production",SUMIFS(RM_PM_Quantity[Quantity],RM_PM_Quantity[Date],BE$1,RM_PM_Quantity[Location],"MIDC/Pre-Production",RM_PM_Quantity[Section],$C53,RM_PM_Quantity[RM Name],$E53),0)</f>
        <v>0</v>
      </c>
      <c r="BF53" s="84">
        <f>SUMIFS(RM_PM_Quantity[Quantity],RM_PM_Quantity[Date],BF$1,RM_PM_Quantity[Location],$D53,RM_PM_Quantity[Section],$C53,RM_PM_Quantity[RM Name],$E53)+IF($D53="MIND/Pre-Production",SUMIFS(RM_PM_Quantity[Quantity],RM_PM_Quantity[Date],BF$1,RM_PM_Quantity[Location],"MIDC/Pre-Production",RM_PM_Quantity[Section],$C53,RM_PM_Quantity[RM Name],$E53),0)</f>
        <v>0</v>
      </c>
      <c r="BG53" s="84">
        <f>SUMIFS(RM_PM_Quantity[Quantity],RM_PM_Quantity[Date],BG$1,RM_PM_Quantity[Location],$D53,RM_PM_Quantity[Section],$C53,RM_PM_Quantity[RM Name],$E53)+IF($D53="MIND/Pre-Production",SUMIFS(RM_PM_Quantity[Quantity],RM_PM_Quantity[Date],BG$1,RM_PM_Quantity[Location],"MIDC/Pre-Production",RM_PM_Quantity[Section],$C53,RM_PM_Quantity[RM Name],$E53),0)</f>
        <v>0</v>
      </c>
      <c r="BH53" s="84">
        <f>SUMIFS(RM_PM_Quantity[Quantity],RM_PM_Quantity[Date],BH$1,RM_PM_Quantity[Location],$D53,RM_PM_Quantity[Section],$C53,RM_PM_Quantity[RM Name],$E53)+IF($D53="MIND/Pre-Production",SUMIFS(RM_PM_Quantity[Quantity],RM_PM_Quantity[Date],BH$1,RM_PM_Quantity[Location],"MIDC/Pre-Production",RM_PM_Quantity[Section],$C53,RM_PM_Quantity[RM Name],$E53),0)</f>
        <v>0</v>
      </c>
      <c r="BI53" s="84">
        <f>SUMIFS(RM_PM_Quantity[Quantity],RM_PM_Quantity[Date],BI$1,RM_PM_Quantity[Location],$D53,RM_PM_Quantity[Section],$C53,RM_PM_Quantity[RM Name],$E53)+IF($D53="MIND/Pre-Production",SUMIFS(RM_PM_Quantity[Quantity],RM_PM_Quantity[Date],BI$1,RM_PM_Quantity[Location],"MIDC/Pre-Production",RM_PM_Quantity[Section],$C53,RM_PM_Quantity[RM Name],$E53),0)</f>
        <v>0</v>
      </c>
      <c r="BJ53" s="84">
        <f>SUMIFS(RM_PM_Quantity[Quantity],RM_PM_Quantity[Date],BJ$1,RM_PM_Quantity[Location],$D53,RM_PM_Quantity[Section],$C53,RM_PM_Quantity[RM Name],$E53)+IF($D53="MIND/Pre-Production",SUMIFS(RM_PM_Quantity[Quantity],RM_PM_Quantity[Date],BJ$1,RM_PM_Quantity[Location],"MIDC/Pre-Production",RM_PM_Quantity[Section],$C53,RM_PM_Quantity[RM Name],$E53),0)</f>
        <v>0</v>
      </c>
      <c r="BK53" s="84">
        <f>SUMIFS(RM_PM_Quantity[Quantity],RM_PM_Quantity[Date],BK$1,RM_PM_Quantity[Location],$D53,RM_PM_Quantity[Section],$C53,RM_PM_Quantity[RM Name],$E53)+IF($D53="MIND/Pre-Production",SUMIFS(RM_PM_Quantity[Quantity],RM_PM_Quantity[Date],BK$1,RM_PM_Quantity[Location],"MIDC/Pre-Production",RM_PM_Quantity[Section],$C53,RM_PM_Quantity[RM Name],$E53),0)</f>
        <v>0</v>
      </c>
      <c r="BL53" s="84">
        <f>SUMIFS(RM_PM_Quantity[Quantity],RM_PM_Quantity[Date],BL$1,RM_PM_Quantity[Location],$D53,RM_PM_Quantity[Section],$C53,RM_PM_Quantity[RM Name],$E53)+IF($D53="MIND/Pre-Production",SUMIFS(RM_PM_Quantity[Quantity],RM_PM_Quantity[Date],BL$1,RM_PM_Quantity[Location],"MIDC/Pre-Production",RM_PM_Quantity[Section],$C53,RM_PM_Quantity[RM Name],$E53),0)</f>
        <v>0</v>
      </c>
      <c r="BM53" s="84">
        <f>SUMIFS(RM_PM_Quantity[Quantity],RM_PM_Quantity[Date],BM$1,RM_PM_Quantity[Location],$D53,RM_PM_Quantity[Section],$C53,RM_PM_Quantity[RM Name],$E53)+IF($D53="MIND/Pre-Production",SUMIFS(RM_PM_Quantity[Quantity],RM_PM_Quantity[Date],BM$1,RM_PM_Quantity[Location],"MIDC/Pre-Production",RM_PM_Quantity[Section],$C53,RM_PM_Quantity[RM Name],$E53),0)</f>
        <v>0</v>
      </c>
      <c r="BN53" s="84">
        <f>SUMIFS(RM_PM_Quantity[Quantity],RM_PM_Quantity[Date],BN$1,RM_PM_Quantity[Location],$D53,RM_PM_Quantity[Section],$C53,RM_PM_Quantity[RM Name],$E53)+IF($D53="MIND/Pre-Production",SUMIFS(RM_PM_Quantity[Quantity],RM_PM_Quantity[Date],BN$1,RM_PM_Quantity[Location],"MIDC/Pre-Production",RM_PM_Quantity[Section],$C53,RM_PM_Quantity[RM Name],$E53),0)</f>
        <v>0</v>
      </c>
      <c r="BO53" s="84">
        <f>SUMIFS(RM_PM_Quantity[Quantity],RM_PM_Quantity[Date],BO$1,RM_PM_Quantity[Location],$D53,RM_PM_Quantity[Section],$C53,RM_PM_Quantity[RM Name],$E53)+IF($D53="MIND/Pre-Production",SUMIFS(RM_PM_Quantity[Quantity],RM_PM_Quantity[Date],BO$1,RM_PM_Quantity[Location],"MIDC/Pre-Production",RM_PM_Quantity[Section],$C53,RM_PM_Quantity[RM Name],$E53),0)</f>
        <v>0</v>
      </c>
      <c r="BP53" s="84">
        <f>SUMIFS(RM_PM_Quantity[Quantity],RM_PM_Quantity[Date],BP$1,RM_PM_Quantity[Location],$D53,RM_PM_Quantity[Section],$C53,RM_PM_Quantity[RM Name],$E53)+IF($D53="MIND/Pre-Production",SUMIFS(RM_PM_Quantity[Quantity],RM_PM_Quantity[Date],BP$1,RM_PM_Quantity[Location],"MIDC/Pre-Production",RM_PM_Quantity[Section],$C53,RM_PM_Quantity[RM Name],$E53),0)</f>
        <v>0</v>
      </c>
      <c r="BQ53" s="84">
        <f>SUMIFS(RM_PM_Quantity[Quantity],RM_PM_Quantity[Date],BQ$1,RM_PM_Quantity[Location],$D53,RM_PM_Quantity[Section],$C53,RM_PM_Quantity[RM Name],$E53)+IF($D53="MIND/Pre-Production",SUMIFS(RM_PM_Quantity[Quantity],RM_PM_Quantity[Date],BQ$1,RM_PM_Quantity[Location],"MIDC/Pre-Production",RM_PM_Quantity[Section],$C53,RM_PM_Quantity[RM Name],$E53),0)</f>
        <v>0</v>
      </c>
      <c r="BR53" s="84">
        <f>SUMIFS(RM_PM_Quantity[Quantity],RM_PM_Quantity[Date],BR$1,RM_PM_Quantity[Location],$D53,RM_PM_Quantity[Section],$C53,RM_PM_Quantity[RM Name],$E53)+IF($D53="MIND/Pre-Production",SUMIFS(RM_PM_Quantity[Quantity],RM_PM_Quantity[Date],BR$1,RM_PM_Quantity[Location],"MIDC/Pre-Production",RM_PM_Quantity[Section],$C53,RM_PM_Quantity[RM Name],$E53),0)</f>
        <v>0</v>
      </c>
      <c r="BS53" s="84">
        <f>SUMIFS(RM_PM_Quantity[Quantity],RM_PM_Quantity[Date],BS$1,RM_PM_Quantity[Location],$D53,RM_PM_Quantity[Section],$C53,RM_PM_Quantity[RM Name],$E53)+IF($D53="MIND/Pre-Production",SUMIFS(RM_PM_Quantity[Quantity],RM_PM_Quantity[Date],BS$1,RM_PM_Quantity[Location],"MIDC/Pre-Production",RM_PM_Quantity[Section],$C53,RM_PM_Quantity[RM Name],$E53),0)</f>
        <v>0</v>
      </c>
      <c r="BT53" s="84">
        <f>SUMIFS(RM_PM_Quantity[ID],RM_PM_Quantity[Location],BT$1,RM_PM_Quantity[Section],$D53,RM_PM_Quantity[RM Name],$C53,RM_PM_Quantity[Quantity],$E53)+IF($D53="MIND/Pre-Production",SUMIFS(RM_PM_Quantity[ID],RM_PM_Quantity[Location],BT$1,RM_PM_Quantity[Section],"MIDC/Pre-Production",RM_PM_Quantity[RM Name],$C53,RM_PM_Quantity[Quantity],$E53),0)</f>
        <v>0</v>
      </c>
      <c r="BU53" s="84">
        <f>SUMIFS(RM_PM_Quantity[Name of Supervisor],RM_PM_Quantity[Section],BU$1,RM_PM_Quantity[RM Name],$D53,RM_PM_Quantity[Quantity],$C53,RM_PM_Quantity[ID],$E53)+IF($D53="MIND/Pre-Production",SUMIFS(RM_PM_Quantity[Name of Supervisor],RM_PM_Quantity[Section],BU$1,RM_PM_Quantity[RM Name],"MIDC/Pre-Production",RM_PM_Quantity[Quantity],$C53,RM_PM_Quantity[ID],$E53),0)</f>
        <v>0</v>
      </c>
      <c r="BV53" s="84">
        <f>SUMIFS(RM_PM_Quantity[Date],RM_PM_Quantity[RM Name],BV$1,RM_PM_Quantity[Quantity],$D53,RM_PM_Quantity[ID],$C53,RM_PM_Quantity[Name of Supervisor],$E53)+IF($D53="MIND/Pre-Production",SUMIFS(RM_PM_Quantity[Date],RM_PM_Quantity[RM Name],BV$1,RM_PM_Quantity[Quantity],"MIDC/Pre-Production",RM_PM_Quantity[ID],$C53,RM_PM_Quantity[Name of Supervisor],$E53),0)</f>
        <v>0</v>
      </c>
      <c r="BW53" s="84">
        <f>SUMIFS(RM_PM_Quantity[Location],RM_PM_Quantity[Quantity],BW$1,RM_PM_Quantity[ID],$D53,RM_PM_Quantity[Name of Supervisor],$C53,RM_PM_Quantity[Date],$E53)+IF($D53="MIND/Pre-Production",SUMIFS(RM_PM_Quantity[Location],RM_PM_Quantity[Quantity],BW$1,RM_PM_Quantity[ID],"MIDC/Pre-Production",RM_PM_Quantity[Name of Supervisor],$C53,RM_PM_Quantity[Date],$E53),0)</f>
        <v>0</v>
      </c>
      <c r="BX53" s="84">
        <f>SUMIFS(RM_PM_Quantity[Section],RM_PM_Quantity[ID],BX$1,RM_PM_Quantity[Name of Supervisor],$D53,RM_PM_Quantity[Date],$C53,RM_PM_Quantity[Location],$E53)+IF($D53="MIND/Pre-Production",SUMIFS(RM_PM_Quantity[Section],RM_PM_Quantity[ID],BX$1,RM_PM_Quantity[Name of Supervisor],"MIDC/Pre-Production",RM_PM_Quantity[Date],$C53,RM_PM_Quantity[Location],$E53),0)</f>
        <v>0</v>
      </c>
      <c r="BY53" s="84">
        <f>SUMIFS(RM_PM_Quantity[RM Name],RM_PM_Quantity[Name of Supervisor],BY$1,RM_PM_Quantity[Date],$D53,RM_PM_Quantity[Location],$C53,RM_PM_Quantity[Section],$E53)+IF($D53="MIND/Pre-Production",SUMIFS(RM_PM_Quantity[RM Name],RM_PM_Quantity[Name of Supervisor],BY$1,RM_PM_Quantity[Date],"MIDC/Pre-Production",RM_PM_Quantity[Location],$C53,RM_PM_Quantity[Section],$E53),0)</f>
        <v>0</v>
      </c>
    </row>
    <row r="54" spans="1:77" ht="45.75" customHeight="1">
      <c r="A54" s="79">
        <v>53</v>
      </c>
      <c r="B54" s="79" t="s">
        <v>58</v>
      </c>
      <c r="C54" s="80" t="s">
        <v>146</v>
      </c>
      <c r="D54" s="81" t="s">
        <v>54</v>
      </c>
      <c r="E54" s="90" t="s">
        <v>59</v>
      </c>
      <c r="F54" s="83">
        <f>IFERROR(_xlfn.XLOOKUP(B54,'[1]RM Tracker'!B:B,'[1]RM Tracker'!E:E),"0")</f>
        <v>0</v>
      </c>
      <c r="G54" s="85">
        <f t="shared" si="2"/>
        <v>0</v>
      </c>
      <c r="H54" s="85">
        <f t="shared" si="3"/>
        <v>0</v>
      </c>
      <c r="I54" s="91">
        <f t="shared" si="4"/>
        <v>0</v>
      </c>
      <c r="J54" s="84">
        <f>SUMIFS(RM_PM_Quantity[Quantity],RM_PM_Quantity[Date],J$1,RM_PM_Quantity[Location],$D54,RM_PM_Quantity[Section],$C54,RM_PM_Quantity[RM Name],$E54)+IF($D54="MIND/Pre-Production",SUMIFS(RM_PM_Quantity[Quantity],RM_PM_Quantity[Date],J$1,RM_PM_Quantity[Location],"MIDC/Pre-Production",RM_PM_Quantity[Section],$C54,RM_PM_Quantity[RM Name],$E54),0)</f>
        <v>0</v>
      </c>
      <c r="K54" s="84">
        <f>SUMIFS(RM_PM_Quantity[Quantity],RM_PM_Quantity[Date],K$1,RM_PM_Quantity[Location],$D54,RM_PM_Quantity[Section],$C54,RM_PM_Quantity[RM Name],$E54)+IF($D54="MIND/Pre-Production",SUMIFS(RM_PM_Quantity[Quantity],RM_PM_Quantity[Date],K$1,RM_PM_Quantity[Location],"MIDC/Pre-Production",RM_PM_Quantity[Section],$C54,RM_PM_Quantity[RM Name],$E54),0)</f>
        <v>0</v>
      </c>
      <c r="L54" s="84">
        <f>SUMIFS(RM_PM_Quantity[Quantity],RM_PM_Quantity[Date],L$1,RM_PM_Quantity[Location],$D54,RM_PM_Quantity[Section],$C54,RM_PM_Quantity[RM Name],$E54)+IF($D54="MIND/Pre-Production",SUMIFS(RM_PM_Quantity[Quantity],RM_PM_Quantity[Date],L$1,RM_PM_Quantity[Location],"MIDC/Pre-Production",RM_PM_Quantity[Section],$C54,RM_PM_Quantity[RM Name],$E54),0)</f>
        <v>0</v>
      </c>
      <c r="M54" s="84">
        <f>SUMIFS(RM_PM_Quantity[Quantity],RM_PM_Quantity[Date],M$1,RM_PM_Quantity[Location],$D54,RM_PM_Quantity[Section],$C54,RM_PM_Quantity[RM Name],$E54)+IF($D54="MIND/Pre-Production",SUMIFS(RM_PM_Quantity[Quantity],RM_PM_Quantity[Date],M$1,RM_PM_Quantity[Location],"MIDC/Pre-Production",RM_PM_Quantity[Section],$C54,RM_PM_Quantity[RM Name],$E54),0)</f>
        <v>0</v>
      </c>
      <c r="N54" s="84">
        <f>SUMIFS(RM_PM_Quantity[Quantity],RM_PM_Quantity[Date],N$1,RM_PM_Quantity[Location],$D54,RM_PM_Quantity[Section],$C54,RM_PM_Quantity[RM Name],$E54)+IF($D54="MIND/Pre-Production",SUMIFS(RM_PM_Quantity[Quantity],RM_PM_Quantity[Date],N$1,RM_PM_Quantity[Location],"MIDC/Pre-Production",RM_PM_Quantity[Section],$C54,RM_PM_Quantity[RM Name],$E54),0)</f>
        <v>0</v>
      </c>
      <c r="O54" s="84">
        <f>SUMIFS(RM_PM_Quantity[Quantity],RM_PM_Quantity[Date],O$1,RM_PM_Quantity[Location],$D54,RM_PM_Quantity[Section],$C54,RM_PM_Quantity[RM Name],$E54)+IF($D54="MIND/Pre-Production",SUMIFS(RM_PM_Quantity[Quantity],RM_PM_Quantity[Date],O$1,RM_PM_Quantity[Location],"MIDC/Pre-Production",RM_PM_Quantity[Section],$C54,RM_PM_Quantity[RM Name],$E54),0)</f>
        <v>0</v>
      </c>
      <c r="P54" s="84">
        <f>SUMIFS(RM_PM_Quantity[Quantity],RM_PM_Quantity[Date],P$1,RM_PM_Quantity[Location],$D54,RM_PM_Quantity[Section],$C54,RM_PM_Quantity[RM Name],$E54)+IF($D54="MIND/Pre-Production",SUMIFS(RM_PM_Quantity[Quantity],RM_PM_Quantity[Date],P$1,RM_PM_Quantity[Location],"MIDC/Pre-Production",RM_PM_Quantity[Section],$C54,RM_PM_Quantity[RM Name],$E54),0)</f>
        <v>0</v>
      </c>
      <c r="Q54" s="84">
        <f>SUMIFS(RM_PM_Quantity[Quantity],RM_PM_Quantity[Date],Q$1,RM_PM_Quantity[Location],$D54,RM_PM_Quantity[Section],$C54,RM_PM_Quantity[RM Name],$E54)+IF($D54="MIND/Pre-Production",SUMIFS(RM_PM_Quantity[Quantity],RM_PM_Quantity[Date],Q$1,RM_PM_Quantity[Location],"MIDC/Pre-Production",RM_PM_Quantity[Section],$C54,RM_PM_Quantity[RM Name],$E54),0)</f>
        <v>0</v>
      </c>
      <c r="R54" s="84">
        <f>SUMIFS(RM_PM_Quantity[Quantity],RM_PM_Quantity[Date],R$1,RM_PM_Quantity[Location],$D54,RM_PM_Quantity[Section],$C54,RM_PM_Quantity[RM Name],$E54)+IF($D54="MIND/Pre-Production",SUMIFS(RM_PM_Quantity[Quantity],RM_PM_Quantity[Date],R$1,RM_PM_Quantity[Location],"MIDC/Pre-Production",RM_PM_Quantity[Section],$C54,RM_PM_Quantity[RM Name],$E54),0)</f>
        <v>0</v>
      </c>
      <c r="S54" s="84">
        <f>SUMIFS(RM_PM_Quantity[Quantity],RM_PM_Quantity[Date],S$1,RM_PM_Quantity[Location],$D54,RM_PM_Quantity[Section],$C54,RM_PM_Quantity[RM Name],$E54)+IF($D54="MIND/Pre-Production",SUMIFS(RM_PM_Quantity[Quantity],RM_PM_Quantity[Date],S$1,RM_PM_Quantity[Location],"MIDC/Pre-Production",RM_PM_Quantity[Section],$C54,RM_PM_Quantity[RM Name],$E54),0)</f>
        <v>0</v>
      </c>
      <c r="T54" s="84">
        <f>SUMIFS(RM_PM_Quantity[Quantity],RM_PM_Quantity[Date],T$1,RM_PM_Quantity[Location],$D54,RM_PM_Quantity[Section],$C54,RM_PM_Quantity[RM Name],$E54)+IF($D54="MIND/Pre-Production",SUMIFS(RM_PM_Quantity[Quantity],RM_PM_Quantity[Date],T$1,RM_PM_Quantity[Location],"MIDC/Pre-Production",RM_PM_Quantity[Section],$C54,RM_PM_Quantity[RM Name],$E54),0)</f>
        <v>0</v>
      </c>
      <c r="U54" s="84">
        <f>SUMIFS(RM_PM_Quantity[Quantity],RM_PM_Quantity[Date],U$1,RM_PM_Quantity[Location],$D54,RM_PM_Quantity[Section],$C54,RM_PM_Quantity[RM Name],$E54)+IF($D54="MIND/Pre-Production",SUMIFS(RM_PM_Quantity[Quantity],RM_PM_Quantity[Date],U$1,RM_PM_Quantity[Location],"MIDC/Pre-Production",RM_PM_Quantity[Section],$C54,RM_PM_Quantity[RM Name],$E54),0)</f>
        <v>0</v>
      </c>
      <c r="V54" s="84">
        <f>SUMIFS(RM_PM_Quantity[Quantity],RM_PM_Quantity[Date],V$1,RM_PM_Quantity[Location],$D54,RM_PM_Quantity[Section],$C54,RM_PM_Quantity[RM Name],$E54)+IF($D54="MIND/Pre-Production",SUMIFS(RM_PM_Quantity[Quantity],RM_PM_Quantity[Date],V$1,RM_PM_Quantity[Location],"MIDC/Pre-Production",RM_PM_Quantity[Section],$C54,RM_PM_Quantity[RM Name],$E54),0)</f>
        <v>0</v>
      </c>
      <c r="W54" s="84">
        <f>SUMIFS(RM_PM_Quantity[Quantity],RM_PM_Quantity[Date],W$1,RM_PM_Quantity[Location],$D54,RM_PM_Quantity[Section],$C54,RM_PM_Quantity[RM Name],$E54)+IF($D54="MIND/Pre-Production",SUMIFS(RM_PM_Quantity[Quantity],RM_PM_Quantity[Date],W$1,RM_PM_Quantity[Location],"MIDC/Pre-Production",RM_PM_Quantity[Section],$C54,RM_PM_Quantity[RM Name],$E54),0)</f>
        <v>0</v>
      </c>
      <c r="X54" s="84">
        <f>SUMIFS(RM_PM_Quantity[Quantity],RM_PM_Quantity[Date],X$1,RM_PM_Quantity[Location],$D54,RM_PM_Quantity[Section],$C54,RM_PM_Quantity[RM Name],$E54)+IF($D54="MIND/Pre-Production",SUMIFS(RM_PM_Quantity[Quantity],RM_PM_Quantity[Date],X$1,RM_PM_Quantity[Location],"MIDC/Pre-Production",RM_PM_Quantity[Section],$C54,RM_PM_Quantity[RM Name],$E54),0)</f>
        <v>0</v>
      </c>
      <c r="Y54" s="84">
        <f>SUMIFS(RM_PM_Quantity[Quantity],RM_PM_Quantity[Date],Y$1,RM_PM_Quantity[Location],$D54,RM_PM_Quantity[Section],$C54,RM_PM_Quantity[RM Name],$E54)+IF($D54="MIND/Pre-Production",SUMIFS(RM_PM_Quantity[Quantity],RM_PM_Quantity[Date],Y$1,RM_PM_Quantity[Location],"MIDC/Pre-Production",RM_PM_Quantity[Section],$C54,RM_PM_Quantity[RM Name],$E54),0)</f>
        <v>0</v>
      </c>
      <c r="Z54" s="84">
        <f>SUMIFS(RM_PM_Quantity[Quantity],RM_PM_Quantity[Date],Z$1,RM_PM_Quantity[Location],$D54,RM_PM_Quantity[Section],$C54,RM_PM_Quantity[RM Name],$E54)+IF($D54="MIND/Pre-Production",SUMIFS(RM_PM_Quantity[Quantity],RM_PM_Quantity[Date],Z$1,RM_PM_Quantity[Location],"MIDC/Pre-Production",RM_PM_Quantity[Section],$C54,RM_PM_Quantity[RM Name],$E54),0)</f>
        <v>0</v>
      </c>
      <c r="AA54" s="84">
        <f>SUMIFS(RM_PM_Quantity[Quantity],RM_PM_Quantity[Date],AA$1,RM_PM_Quantity[Location],$D54,RM_PM_Quantity[Section],$C54,RM_PM_Quantity[RM Name],$E54)+IF($D54="MIND/Pre-Production",SUMIFS(RM_PM_Quantity[Quantity],RM_PM_Quantity[Date],AA$1,RM_PM_Quantity[Location],"MIDC/Pre-Production",RM_PM_Quantity[Section],$C54,RM_PM_Quantity[RM Name],$E54),0)</f>
        <v>0</v>
      </c>
      <c r="AB54" s="84">
        <f>SUMIFS(RM_PM_Quantity[Quantity],RM_PM_Quantity[Date],AB$1,RM_PM_Quantity[Location],$D54,RM_PM_Quantity[Section],$C54,RM_PM_Quantity[RM Name],$E54)+IF($D54="MIND/Pre-Production",SUMIFS(RM_PM_Quantity[Quantity],RM_PM_Quantity[Date],AB$1,RM_PM_Quantity[Location],"MIDC/Pre-Production",RM_PM_Quantity[Section],$C54,RM_PM_Quantity[RM Name],$E54),0)</f>
        <v>0</v>
      </c>
      <c r="AC54" s="84">
        <f>SUMIFS(RM_PM_Quantity[Quantity],RM_PM_Quantity[Date],AC$1,RM_PM_Quantity[Location],$D54,RM_PM_Quantity[Section],$C54,RM_PM_Quantity[RM Name],$E54)+IF($D54="MIND/Pre-Production",SUMIFS(RM_PM_Quantity[Quantity],RM_PM_Quantity[Date],AC$1,RM_PM_Quantity[Location],"MIDC/Pre-Production",RM_PM_Quantity[Section],$C54,RM_PM_Quantity[RM Name],$E54),0)</f>
        <v>0</v>
      </c>
      <c r="AD54" s="84">
        <f>SUMIFS(RM_PM_Quantity[Quantity],RM_PM_Quantity[Date],AD$1,RM_PM_Quantity[Location],$D54,RM_PM_Quantity[Section],$C54,RM_PM_Quantity[RM Name],$E54)+IF($D54="MIND/Pre-Production",SUMIFS(RM_PM_Quantity[Quantity],RM_PM_Quantity[Date],AD$1,RM_PM_Quantity[Location],"MIDC/Pre-Production",RM_PM_Quantity[Section],$C54,RM_PM_Quantity[RM Name],$E54),0)</f>
        <v>0</v>
      </c>
      <c r="AE54" s="84">
        <f>SUMIFS(RM_PM_Quantity[Quantity],RM_PM_Quantity[Date],AE$1,RM_PM_Quantity[Location],$D54,RM_PM_Quantity[Section],$C54,RM_PM_Quantity[RM Name],$E54)+IF($D54="MIND/Pre-Production",SUMIFS(RM_PM_Quantity[Quantity],RM_PM_Quantity[Date],AE$1,RM_PM_Quantity[Location],"MIDC/Pre-Production",RM_PM_Quantity[Section],$C54,RM_PM_Quantity[RM Name],$E54),0)</f>
        <v>0</v>
      </c>
      <c r="AF54" s="84">
        <f>SUMIFS(RM_PM_Quantity[Quantity],RM_PM_Quantity[Date],AF$1,RM_PM_Quantity[Location],$D54,RM_PM_Quantity[Section],$C54,RM_PM_Quantity[RM Name],$E54)+IF($D54="MIND/Pre-Production",SUMIFS(RM_PM_Quantity[Quantity],RM_PM_Quantity[Date],AF$1,RM_PM_Quantity[Location],"MIDC/Pre-Production",RM_PM_Quantity[Section],$C54,RM_PM_Quantity[RM Name],$E54),0)</f>
        <v>0</v>
      </c>
      <c r="AG54" s="84">
        <f>SUMIFS(RM_PM_Quantity[Quantity],RM_PM_Quantity[Date],AG$1,RM_PM_Quantity[Location],$D54,RM_PM_Quantity[Section],$C54,RM_PM_Quantity[RM Name],$E54)+IF($D54="MIND/Pre-Production",SUMIFS(RM_PM_Quantity[Quantity],RM_PM_Quantity[Date],AG$1,RM_PM_Quantity[Location],"MIDC/Pre-Production",RM_PM_Quantity[Section],$C54,RM_PM_Quantity[RM Name],$E54),0)</f>
        <v>0</v>
      </c>
      <c r="AH54" s="84">
        <f>SUMIFS(RM_PM_Quantity[Quantity],RM_PM_Quantity[Date],AH$1,RM_PM_Quantity[Location],$D54,RM_PM_Quantity[Section],$C54,RM_PM_Quantity[RM Name],$E54)+IF($D54="MIND/Pre-Production",SUMIFS(RM_PM_Quantity[Quantity],RM_PM_Quantity[Date],AH$1,RM_PM_Quantity[Location],"MIDC/Pre-Production",RM_PM_Quantity[Section],$C54,RM_PM_Quantity[RM Name],$E54),0)</f>
        <v>0</v>
      </c>
      <c r="AI54" s="84">
        <f>SUMIFS(RM_PM_Quantity[Quantity],RM_PM_Quantity[Date],AI$1,RM_PM_Quantity[Location],$D54,RM_PM_Quantity[Section],$C54,RM_PM_Quantity[RM Name],$E54)+IF($D54="MIND/Pre-Production",SUMIFS(RM_PM_Quantity[Quantity],RM_PM_Quantity[Date],AI$1,RM_PM_Quantity[Location],"MIDC/Pre-Production",RM_PM_Quantity[Section],$C54,RM_PM_Quantity[RM Name],$E54),0)</f>
        <v>0</v>
      </c>
      <c r="AJ54" s="84">
        <f>SUMIFS(RM_PM_Quantity[Quantity],RM_PM_Quantity[Date],AJ$1,RM_PM_Quantity[Location],$D54,RM_PM_Quantity[Section],$C54,RM_PM_Quantity[RM Name],$E54)+IF($D54="MIND/Pre-Production",SUMIFS(RM_PM_Quantity[Quantity],RM_PM_Quantity[Date],AJ$1,RM_PM_Quantity[Location],"MIDC/Pre-Production",RM_PM_Quantity[Section],$C54,RM_PM_Quantity[RM Name],$E54),0)</f>
        <v>0</v>
      </c>
      <c r="AK54" s="84">
        <f>SUMIFS(RM_PM_Quantity[Quantity],RM_PM_Quantity[Date],AK$1,RM_PM_Quantity[Location],$D54,RM_PM_Quantity[Section],$C54,RM_PM_Quantity[RM Name],$E54)+IF($D54="MIND/Pre-Production",SUMIFS(RM_PM_Quantity[Quantity],RM_PM_Quantity[Date],AK$1,RM_PM_Quantity[Location],"MIDC/Pre-Production",RM_PM_Quantity[Section],$C54,RM_PM_Quantity[RM Name],$E54),0)</f>
        <v>0</v>
      </c>
      <c r="AL54" s="84">
        <f>SUMIFS(RM_PM_Quantity[Quantity],RM_PM_Quantity[Date],AL$1,RM_PM_Quantity[Location],$D54,RM_PM_Quantity[Section],$C54,RM_PM_Quantity[RM Name],$E54)+IF($D54="MIND/Pre-Production",SUMIFS(RM_PM_Quantity[Quantity],RM_PM_Quantity[Date],AL$1,RM_PM_Quantity[Location],"MIDC/Pre-Production",RM_PM_Quantity[Section],$C54,RM_PM_Quantity[RM Name],$E54),0)</f>
        <v>0</v>
      </c>
      <c r="AM54" s="84">
        <f>SUMIFS(RM_PM_Quantity[Quantity],RM_PM_Quantity[Date],AM$1,RM_PM_Quantity[Location],$D54,RM_PM_Quantity[Section],$C54,RM_PM_Quantity[RM Name],$E54)+IF($D54="MIND/Pre-Production",SUMIFS(RM_PM_Quantity[Quantity],RM_PM_Quantity[Date],AM$1,RM_PM_Quantity[Location],"MIDC/Pre-Production",RM_PM_Quantity[Section],$C54,RM_PM_Quantity[RM Name],$E54),0)</f>
        <v>0</v>
      </c>
      <c r="AN54" s="84">
        <f>SUMIFS(RM_PM_Quantity[Quantity],RM_PM_Quantity[Date],AN$1,RM_PM_Quantity[Location],$D54,RM_PM_Quantity[Section],$C54,RM_PM_Quantity[RM Name],$E54)+IF($D54="MIND/Pre-Production",SUMIFS(RM_PM_Quantity[Quantity],RM_PM_Quantity[Date],AN$1,RM_PM_Quantity[Location],"MIDC/Pre-Production",RM_PM_Quantity[Section],$C54,RM_PM_Quantity[RM Name],$E54),0)</f>
        <v>0</v>
      </c>
      <c r="AO54" s="84">
        <f>SUMIFS(RM_PM_Quantity[Quantity],RM_PM_Quantity[Date],AO$1,RM_PM_Quantity[Location],$D54,RM_PM_Quantity[Section],$C54,RM_PM_Quantity[RM Name],$E54)+IF($D54="MIND/Pre-Production",SUMIFS(RM_PM_Quantity[Quantity],RM_PM_Quantity[Date],AO$1,RM_PM_Quantity[Location],"MIDC/Pre-Production",RM_PM_Quantity[Section],$C54,RM_PM_Quantity[RM Name],$E54),0)</f>
        <v>0</v>
      </c>
      <c r="AP54" s="84">
        <f>SUMIFS(RM_PM_Quantity[Quantity],RM_PM_Quantity[Date],AP$1,RM_PM_Quantity[Location],$D54,RM_PM_Quantity[Section],$C54,RM_PM_Quantity[RM Name],$E54)+IF($D54="MIND/Pre-Production",SUMIFS(RM_PM_Quantity[Quantity],RM_PM_Quantity[Date],AP$1,RM_PM_Quantity[Location],"MIDC/Pre-Production",RM_PM_Quantity[Section],$C54,RM_PM_Quantity[RM Name],$E54),0)</f>
        <v>0</v>
      </c>
      <c r="AQ54" s="84">
        <f>SUMIFS(RM_PM_Quantity[Quantity],RM_PM_Quantity[Date],AQ$1,RM_PM_Quantity[Location],$D54,RM_PM_Quantity[Section],$C54,RM_PM_Quantity[RM Name],$E54)+IF($D54="MIND/Pre-Production",SUMIFS(RM_PM_Quantity[Quantity],RM_PM_Quantity[Date],AQ$1,RM_PM_Quantity[Location],"MIDC/Pre-Production",RM_PM_Quantity[Section],$C54,RM_PM_Quantity[RM Name],$E54),0)</f>
        <v>0</v>
      </c>
      <c r="AR54" s="84">
        <f>SUMIFS(RM_PM_Quantity[Quantity],RM_PM_Quantity[Date],AR$1,RM_PM_Quantity[Location],$D54,RM_PM_Quantity[Section],$C54,RM_PM_Quantity[RM Name],$E54)+IF($D54="MIND/Pre-Production",SUMIFS(RM_PM_Quantity[Quantity],RM_PM_Quantity[Date],AR$1,RM_PM_Quantity[Location],"MIDC/Pre-Production",RM_PM_Quantity[Section],$C54,RM_PM_Quantity[RM Name],$E54),0)</f>
        <v>0</v>
      </c>
      <c r="AS54" s="84">
        <f>SUMIFS(RM_PM_Quantity[Quantity],RM_PM_Quantity[Date],AS$1,RM_PM_Quantity[Location],$D54,RM_PM_Quantity[Section],$C54,RM_PM_Quantity[RM Name],$E54)+IF($D54="MIND/Pre-Production",SUMIFS(RM_PM_Quantity[Quantity],RM_PM_Quantity[Date],AS$1,RM_PM_Quantity[Location],"MIDC/Pre-Production",RM_PM_Quantity[Section],$C54,RM_PM_Quantity[RM Name],$E54),0)</f>
        <v>0</v>
      </c>
      <c r="AT54" s="84">
        <f>SUMIFS(RM_PM_Quantity[Quantity],RM_PM_Quantity[Date],AT$1,RM_PM_Quantity[Location],$D54,RM_PM_Quantity[Section],$C54,RM_PM_Quantity[RM Name],$E54)+IF($D54="MIND/Pre-Production",SUMIFS(RM_PM_Quantity[Quantity],RM_PM_Quantity[Date],AT$1,RM_PM_Quantity[Location],"MIDC/Pre-Production",RM_PM_Quantity[Section],$C54,RM_PM_Quantity[RM Name],$E54),0)</f>
        <v>0</v>
      </c>
      <c r="AU54" s="84">
        <f>SUMIFS(RM_PM_Quantity[Quantity],RM_PM_Quantity[Date],AU$1,RM_PM_Quantity[Location],$D54,RM_PM_Quantity[Section],$C54,RM_PM_Quantity[RM Name],$E54)+IF($D54="MIND/Pre-Production",SUMIFS(RM_PM_Quantity[Quantity],RM_PM_Quantity[Date],AU$1,RM_PM_Quantity[Location],"MIDC/Pre-Production",RM_PM_Quantity[Section],$C54,RM_PM_Quantity[RM Name],$E54),0)</f>
        <v>0</v>
      </c>
      <c r="AV54" s="84">
        <f>SUMIFS(RM_PM_Quantity[Quantity],RM_PM_Quantity[Date],AV$1,RM_PM_Quantity[Location],$D54,RM_PM_Quantity[Section],$C54,RM_PM_Quantity[RM Name],$E54)+IF($D54="MIND/Pre-Production",SUMIFS(RM_PM_Quantity[Quantity],RM_PM_Quantity[Date],AV$1,RM_PM_Quantity[Location],"MIDC/Pre-Production",RM_PM_Quantity[Section],$C54,RM_PM_Quantity[RM Name],$E54),0)</f>
        <v>0</v>
      </c>
      <c r="AW54" s="84">
        <f>SUMIFS(RM_PM_Quantity[Quantity],RM_PM_Quantity[Date],AW$1,RM_PM_Quantity[Location],$D54,RM_PM_Quantity[Section],$C54,RM_PM_Quantity[RM Name],$E54)+IF($D54="MIND/Pre-Production",SUMIFS(RM_PM_Quantity[Quantity],RM_PM_Quantity[Date],AW$1,RM_PM_Quantity[Location],"MIDC/Pre-Production",RM_PM_Quantity[Section],$C54,RM_PM_Quantity[RM Name],$E54),0)</f>
        <v>0</v>
      </c>
      <c r="AX54" s="84">
        <f>SUMIFS(RM_PM_Quantity[Quantity],RM_PM_Quantity[Date],AX$1,RM_PM_Quantity[Location],$D54,RM_PM_Quantity[Section],$C54,RM_PM_Quantity[RM Name],$E54)+IF($D54="MIND/Pre-Production",SUMIFS(RM_PM_Quantity[Quantity],RM_PM_Quantity[Date],AX$1,RM_PM_Quantity[Location],"MIDC/Pre-Production",RM_PM_Quantity[Section],$C54,RM_PM_Quantity[RM Name],$E54),0)</f>
        <v>0</v>
      </c>
      <c r="AY54" s="84">
        <f>SUMIFS(RM_PM_Quantity[Quantity],RM_PM_Quantity[Date],AY$1,RM_PM_Quantity[Location],$D54,RM_PM_Quantity[Section],$C54,RM_PM_Quantity[RM Name],$E54)+IF($D54="MIND/Pre-Production",SUMIFS(RM_PM_Quantity[Quantity],RM_PM_Quantity[Date],AY$1,RM_PM_Quantity[Location],"MIDC/Pre-Production",RM_PM_Quantity[Section],$C54,RM_PM_Quantity[RM Name],$E54),0)</f>
        <v>0</v>
      </c>
      <c r="AZ54" s="84">
        <f>SUMIFS(RM_PM_Quantity[Quantity],RM_PM_Quantity[Date],AZ$1,RM_PM_Quantity[Location],$D54,RM_PM_Quantity[Section],$C54,RM_PM_Quantity[RM Name],$E54)+IF($D54="MIND/Pre-Production",SUMIFS(RM_PM_Quantity[Quantity],RM_PM_Quantity[Date],AZ$1,RM_PM_Quantity[Location],"MIDC/Pre-Production",RM_PM_Quantity[Section],$C54,RM_PM_Quantity[RM Name],$E54),0)</f>
        <v>0</v>
      </c>
      <c r="BA54" s="84">
        <f>SUMIFS(RM_PM_Quantity[Quantity],RM_PM_Quantity[Date],BA$1,RM_PM_Quantity[Location],$D54,RM_PM_Quantity[Section],$C54,RM_PM_Quantity[RM Name],$E54)+IF($D54="MIND/Pre-Production",SUMIFS(RM_PM_Quantity[Quantity],RM_PM_Quantity[Date],BA$1,RM_PM_Quantity[Location],"MIDC/Pre-Production",RM_PM_Quantity[Section],$C54,RM_PM_Quantity[RM Name],$E54),0)</f>
        <v>0</v>
      </c>
      <c r="BB54" s="84">
        <f>SUMIFS(RM_PM_Quantity[Quantity],RM_PM_Quantity[Date],BB$1,RM_PM_Quantity[Location],$D54,RM_PM_Quantity[Section],$C54,RM_PM_Quantity[RM Name],$E54)+IF($D54="MIND/Pre-Production",SUMIFS(RM_PM_Quantity[Quantity],RM_PM_Quantity[Date],BB$1,RM_PM_Quantity[Location],"MIDC/Pre-Production",RM_PM_Quantity[Section],$C54,RM_PM_Quantity[RM Name],$E54),0)</f>
        <v>0</v>
      </c>
      <c r="BC54" s="84">
        <f>SUMIFS(RM_PM_Quantity[Quantity],RM_PM_Quantity[Date],BC$1,RM_PM_Quantity[Location],$D54,RM_PM_Quantity[Section],$C54,RM_PM_Quantity[RM Name],$E54)+IF($D54="MIND/Pre-Production",SUMIFS(RM_PM_Quantity[Quantity],RM_PM_Quantity[Date],BC$1,RM_PM_Quantity[Location],"MIDC/Pre-Production",RM_PM_Quantity[Section],$C54,RM_PM_Quantity[RM Name],$E54),0)</f>
        <v>0</v>
      </c>
      <c r="BD54" s="84">
        <f>SUMIFS(RM_PM_Quantity[Quantity],RM_PM_Quantity[Date],BD$1,RM_PM_Quantity[Location],$D54,RM_PM_Quantity[Section],$C54,RM_PM_Quantity[RM Name],$E54)+IF($D54="MIND/Pre-Production",SUMIFS(RM_PM_Quantity[Quantity],RM_PM_Quantity[Date],BD$1,RM_PM_Quantity[Location],"MIDC/Pre-Production",RM_PM_Quantity[Section],$C54,RM_PM_Quantity[RM Name],$E54),0)</f>
        <v>0</v>
      </c>
      <c r="BE54" s="84">
        <f>SUMIFS(RM_PM_Quantity[Quantity],RM_PM_Quantity[Date],BE$1,RM_PM_Quantity[Location],$D54,RM_PM_Quantity[Section],$C54,RM_PM_Quantity[RM Name],$E54)+IF($D54="MIND/Pre-Production",SUMIFS(RM_PM_Quantity[Quantity],RM_PM_Quantity[Date],BE$1,RM_PM_Quantity[Location],"MIDC/Pre-Production",RM_PM_Quantity[Section],$C54,RM_PM_Quantity[RM Name],$E54),0)</f>
        <v>0</v>
      </c>
      <c r="BF54" s="84">
        <f>SUMIFS(RM_PM_Quantity[Quantity],RM_PM_Quantity[Date],BF$1,RM_PM_Quantity[Location],$D54,RM_PM_Quantity[Section],$C54,RM_PM_Quantity[RM Name],$E54)+IF($D54="MIND/Pre-Production",SUMIFS(RM_PM_Quantity[Quantity],RM_PM_Quantity[Date],BF$1,RM_PM_Quantity[Location],"MIDC/Pre-Production",RM_PM_Quantity[Section],$C54,RM_PM_Quantity[RM Name],$E54),0)</f>
        <v>0</v>
      </c>
      <c r="BG54" s="84">
        <f>SUMIFS(RM_PM_Quantity[Quantity],RM_PM_Quantity[Date],BG$1,RM_PM_Quantity[Location],$D54,RM_PM_Quantity[Section],$C54,RM_PM_Quantity[RM Name],$E54)+IF($D54="MIND/Pre-Production",SUMIFS(RM_PM_Quantity[Quantity],RM_PM_Quantity[Date],BG$1,RM_PM_Quantity[Location],"MIDC/Pre-Production",RM_PM_Quantity[Section],$C54,RM_PM_Quantity[RM Name],$E54),0)</f>
        <v>0</v>
      </c>
      <c r="BH54" s="84">
        <f>SUMIFS(RM_PM_Quantity[Quantity],RM_PM_Quantity[Date],BH$1,RM_PM_Quantity[Location],$D54,RM_PM_Quantity[Section],$C54,RM_PM_Quantity[RM Name],$E54)+IF($D54="MIND/Pre-Production",SUMIFS(RM_PM_Quantity[Quantity],RM_PM_Quantity[Date],BH$1,RM_PM_Quantity[Location],"MIDC/Pre-Production",RM_PM_Quantity[Section],$C54,RM_PM_Quantity[RM Name],$E54),0)</f>
        <v>0</v>
      </c>
      <c r="BI54" s="84">
        <f>SUMIFS(RM_PM_Quantity[Quantity],RM_PM_Quantity[Date],BI$1,RM_PM_Quantity[Location],$D54,RM_PM_Quantity[Section],$C54,RM_PM_Quantity[RM Name],$E54)+IF($D54="MIND/Pre-Production",SUMIFS(RM_PM_Quantity[Quantity],RM_PM_Quantity[Date],BI$1,RM_PM_Quantity[Location],"MIDC/Pre-Production",RM_PM_Quantity[Section],$C54,RM_PM_Quantity[RM Name],$E54),0)</f>
        <v>0</v>
      </c>
      <c r="BJ54" s="84">
        <f>SUMIFS(RM_PM_Quantity[Quantity],RM_PM_Quantity[Date],BJ$1,RM_PM_Quantity[Location],$D54,RM_PM_Quantity[Section],$C54,RM_PM_Quantity[RM Name],$E54)+IF($D54="MIND/Pre-Production",SUMIFS(RM_PM_Quantity[Quantity],RM_PM_Quantity[Date],BJ$1,RM_PM_Quantity[Location],"MIDC/Pre-Production",RM_PM_Quantity[Section],$C54,RM_PM_Quantity[RM Name],$E54),0)</f>
        <v>0</v>
      </c>
      <c r="BK54" s="84">
        <f>SUMIFS(RM_PM_Quantity[Quantity],RM_PM_Quantity[Date],BK$1,RM_PM_Quantity[Location],$D54,RM_PM_Quantity[Section],$C54,RM_PM_Quantity[RM Name],$E54)+IF($D54="MIND/Pre-Production",SUMIFS(RM_PM_Quantity[Quantity],RM_PM_Quantity[Date],BK$1,RM_PM_Quantity[Location],"MIDC/Pre-Production",RM_PM_Quantity[Section],$C54,RM_PM_Quantity[RM Name],$E54),0)</f>
        <v>0</v>
      </c>
      <c r="BL54" s="84">
        <f>SUMIFS(RM_PM_Quantity[Quantity],RM_PM_Quantity[Date],BL$1,RM_PM_Quantity[Location],$D54,RM_PM_Quantity[Section],$C54,RM_PM_Quantity[RM Name],$E54)+IF($D54="MIND/Pre-Production",SUMIFS(RM_PM_Quantity[Quantity],RM_PM_Quantity[Date],BL$1,RM_PM_Quantity[Location],"MIDC/Pre-Production",RM_PM_Quantity[Section],$C54,RM_PM_Quantity[RM Name],$E54),0)</f>
        <v>0</v>
      </c>
      <c r="BM54" s="84">
        <f>SUMIFS(RM_PM_Quantity[Quantity],RM_PM_Quantity[Date],BM$1,RM_PM_Quantity[Location],$D54,RM_PM_Quantity[Section],$C54,RM_PM_Quantity[RM Name],$E54)+IF($D54="MIND/Pre-Production",SUMIFS(RM_PM_Quantity[Quantity],RM_PM_Quantity[Date],BM$1,RM_PM_Quantity[Location],"MIDC/Pre-Production",RM_PM_Quantity[Section],$C54,RM_PM_Quantity[RM Name],$E54),0)</f>
        <v>0</v>
      </c>
      <c r="BN54" s="84">
        <f>SUMIFS(RM_PM_Quantity[Quantity],RM_PM_Quantity[Date],BN$1,RM_PM_Quantity[Location],$D54,RM_PM_Quantity[Section],$C54,RM_PM_Quantity[RM Name],$E54)+IF($D54="MIND/Pre-Production",SUMIFS(RM_PM_Quantity[Quantity],RM_PM_Quantity[Date],BN$1,RM_PM_Quantity[Location],"MIDC/Pre-Production",RM_PM_Quantity[Section],$C54,RM_PM_Quantity[RM Name],$E54),0)</f>
        <v>0</v>
      </c>
      <c r="BO54" s="84">
        <f>SUMIFS(RM_PM_Quantity[Quantity],RM_PM_Quantity[Date],BO$1,RM_PM_Quantity[Location],$D54,RM_PM_Quantity[Section],$C54,RM_PM_Quantity[RM Name],$E54)+IF($D54="MIND/Pre-Production",SUMIFS(RM_PM_Quantity[Quantity],RM_PM_Quantity[Date],BO$1,RM_PM_Quantity[Location],"MIDC/Pre-Production",RM_PM_Quantity[Section],$C54,RM_PM_Quantity[RM Name],$E54),0)</f>
        <v>0</v>
      </c>
      <c r="BP54" s="84">
        <f>SUMIFS(RM_PM_Quantity[Quantity],RM_PM_Quantity[Date],BP$1,RM_PM_Quantity[Location],$D54,RM_PM_Quantity[Section],$C54,RM_PM_Quantity[RM Name],$E54)+IF($D54="MIND/Pre-Production",SUMIFS(RM_PM_Quantity[Quantity],RM_PM_Quantity[Date],BP$1,RM_PM_Quantity[Location],"MIDC/Pre-Production",RM_PM_Quantity[Section],$C54,RM_PM_Quantity[RM Name],$E54),0)</f>
        <v>0</v>
      </c>
      <c r="BQ54" s="84">
        <f>SUMIFS(RM_PM_Quantity[Quantity],RM_PM_Quantity[Date],BQ$1,RM_PM_Quantity[Location],$D54,RM_PM_Quantity[Section],$C54,RM_PM_Quantity[RM Name],$E54)+IF($D54="MIND/Pre-Production",SUMIFS(RM_PM_Quantity[Quantity],RM_PM_Quantity[Date],BQ$1,RM_PM_Quantity[Location],"MIDC/Pre-Production",RM_PM_Quantity[Section],$C54,RM_PM_Quantity[RM Name],$E54),0)</f>
        <v>0</v>
      </c>
      <c r="BR54" s="84">
        <f>SUMIFS(RM_PM_Quantity[Quantity],RM_PM_Quantity[Date],BR$1,RM_PM_Quantity[Location],$D54,RM_PM_Quantity[Section],$C54,RM_PM_Quantity[RM Name],$E54)+IF($D54="MIND/Pre-Production",SUMIFS(RM_PM_Quantity[Quantity],RM_PM_Quantity[Date],BR$1,RM_PM_Quantity[Location],"MIDC/Pre-Production",RM_PM_Quantity[Section],$C54,RM_PM_Quantity[RM Name],$E54),0)</f>
        <v>0</v>
      </c>
      <c r="BS54" s="84">
        <f>SUMIFS(RM_PM_Quantity[Quantity],RM_PM_Quantity[Date],BS$1,RM_PM_Quantity[Location],$D54,RM_PM_Quantity[Section],$C54,RM_PM_Quantity[RM Name],$E54)+IF($D54="MIND/Pre-Production",SUMIFS(RM_PM_Quantity[Quantity],RM_PM_Quantity[Date],BS$1,RM_PM_Quantity[Location],"MIDC/Pre-Production",RM_PM_Quantity[Section],$C54,RM_PM_Quantity[RM Name],$E54),0)</f>
        <v>0</v>
      </c>
      <c r="BT54" s="84">
        <f>SUMIFS(RM_PM_Quantity[ID],RM_PM_Quantity[Location],BT$1,RM_PM_Quantity[Section],$D54,RM_PM_Quantity[RM Name],$C54,RM_PM_Quantity[Quantity],$E54)+IF($D54="MIND/Pre-Production",SUMIFS(RM_PM_Quantity[ID],RM_PM_Quantity[Location],BT$1,RM_PM_Quantity[Section],"MIDC/Pre-Production",RM_PM_Quantity[RM Name],$C54,RM_PM_Quantity[Quantity],$E54),0)</f>
        <v>0</v>
      </c>
      <c r="BU54" s="84">
        <f>SUMIFS(RM_PM_Quantity[Name of Supervisor],RM_PM_Quantity[Section],BU$1,RM_PM_Quantity[RM Name],$D54,RM_PM_Quantity[Quantity],$C54,RM_PM_Quantity[ID],$E54)+IF($D54="MIND/Pre-Production",SUMIFS(RM_PM_Quantity[Name of Supervisor],RM_PM_Quantity[Section],BU$1,RM_PM_Quantity[RM Name],"MIDC/Pre-Production",RM_PM_Quantity[Quantity],$C54,RM_PM_Quantity[ID],$E54),0)</f>
        <v>0</v>
      </c>
      <c r="BV54" s="84">
        <f>SUMIFS(RM_PM_Quantity[Date],RM_PM_Quantity[RM Name],BV$1,RM_PM_Quantity[Quantity],$D54,RM_PM_Quantity[ID],$C54,RM_PM_Quantity[Name of Supervisor],$E54)+IF($D54="MIND/Pre-Production",SUMIFS(RM_PM_Quantity[Date],RM_PM_Quantity[RM Name],BV$1,RM_PM_Quantity[Quantity],"MIDC/Pre-Production",RM_PM_Quantity[ID],$C54,RM_PM_Quantity[Name of Supervisor],$E54),0)</f>
        <v>0</v>
      </c>
      <c r="BW54" s="84">
        <f>SUMIFS(RM_PM_Quantity[Location],RM_PM_Quantity[Quantity],BW$1,RM_PM_Quantity[ID],$D54,RM_PM_Quantity[Name of Supervisor],$C54,RM_PM_Quantity[Date],$E54)+IF($D54="MIND/Pre-Production",SUMIFS(RM_PM_Quantity[Location],RM_PM_Quantity[Quantity],BW$1,RM_PM_Quantity[ID],"MIDC/Pre-Production",RM_PM_Quantity[Name of Supervisor],$C54,RM_PM_Quantity[Date],$E54),0)</f>
        <v>0</v>
      </c>
      <c r="BX54" s="84">
        <f>SUMIFS(RM_PM_Quantity[Section],RM_PM_Quantity[ID],BX$1,RM_PM_Quantity[Name of Supervisor],$D54,RM_PM_Quantity[Date],$C54,RM_PM_Quantity[Location],$E54)+IF($D54="MIND/Pre-Production",SUMIFS(RM_PM_Quantity[Section],RM_PM_Quantity[ID],BX$1,RM_PM_Quantity[Name of Supervisor],"MIDC/Pre-Production",RM_PM_Quantity[Date],$C54,RM_PM_Quantity[Location],$E54),0)</f>
        <v>0</v>
      </c>
      <c r="BY54" s="84">
        <f>SUMIFS(RM_PM_Quantity[RM Name],RM_PM_Quantity[Name of Supervisor],BY$1,RM_PM_Quantity[Date],$D54,RM_PM_Quantity[Location],$C54,RM_PM_Quantity[Section],$E54)+IF($D54="MIND/Pre-Production",SUMIFS(RM_PM_Quantity[RM Name],RM_PM_Quantity[Name of Supervisor],BY$1,RM_PM_Quantity[Date],"MIDC/Pre-Production",RM_PM_Quantity[Location],$C54,RM_PM_Quantity[Section],$E54),0)</f>
        <v>0</v>
      </c>
    </row>
    <row r="55" spans="1:77" ht="45.75" customHeight="1">
      <c r="A55" s="79">
        <v>54</v>
      </c>
      <c r="B55" s="87" t="s">
        <v>150</v>
      </c>
      <c r="C55" s="80" t="s">
        <v>146</v>
      </c>
      <c r="D55" s="81" t="s">
        <v>54</v>
      </c>
      <c r="E55" s="90" t="s">
        <v>151</v>
      </c>
      <c r="F55" s="83">
        <f>IFERROR(_xlfn.XLOOKUP(B55,'[1]RM Tracker'!B:B,'[1]RM Tracker'!E:E),"0")</f>
        <v>0</v>
      </c>
      <c r="G55" s="85">
        <f t="shared" si="2"/>
        <v>0</v>
      </c>
      <c r="H55" s="85">
        <f t="shared" si="3"/>
        <v>0</v>
      </c>
      <c r="I55" s="91">
        <f t="shared" si="4"/>
        <v>0</v>
      </c>
      <c r="J55" s="84">
        <f>SUMIFS(RM_PM_Quantity[Quantity],RM_PM_Quantity[Date],J$1,RM_PM_Quantity[Location],$D55,RM_PM_Quantity[Section],$C55,RM_PM_Quantity[RM Name],$E55)+IF($D55="MIND/Pre-Production",SUMIFS(RM_PM_Quantity[Quantity],RM_PM_Quantity[Date],J$1,RM_PM_Quantity[Location],"MIDC/Pre-Production",RM_PM_Quantity[Section],$C55,RM_PM_Quantity[RM Name],$E55),0)</f>
        <v>0</v>
      </c>
      <c r="K55" s="84">
        <f>SUMIFS(RM_PM_Quantity[Quantity],RM_PM_Quantity[Date],K$1,RM_PM_Quantity[Location],$D55,RM_PM_Quantity[Section],$C55,RM_PM_Quantity[RM Name],$E55)+IF($D55="MIND/Pre-Production",SUMIFS(RM_PM_Quantity[Quantity],RM_PM_Quantity[Date],K$1,RM_PM_Quantity[Location],"MIDC/Pre-Production",RM_PM_Quantity[Section],$C55,RM_PM_Quantity[RM Name],$E55),0)</f>
        <v>0</v>
      </c>
      <c r="L55" s="84">
        <f>SUMIFS(RM_PM_Quantity[Quantity],RM_PM_Quantity[Date],L$1,RM_PM_Quantity[Location],$D55,RM_PM_Quantity[Section],$C55,RM_PM_Quantity[RM Name],$E55)+IF($D55="MIND/Pre-Production",SUMIFS(RM_PM_Quantity[Quantity],RM_PM_Quantity[Date],L$1,RM_PM_Quantity[Location],"MIDC/Pre-Production",RM_PM_Quantity[Section],$C55,RM_PM_Quantity[RM Name],$E55),0)</f>
        <v>0</v>
      </c>
      <c r="M55" s="84">
        <f>SUMIFS(RM_PM_Quantity[Quantity],RM_PM_Quantity[Date],M$1,RM_PM_Quantity[Location],$D55,RM_PM_Quantity[Section],$C55,RM_PM_Quantity[RM Name],$E55)+IF($D55="MIND/Pre-Production",SUMIFS(RM_PM_Quantity[Quantity],RM_PM_Quantity[Date],M$1,RM_PM_Quantity[Location],"MIDC/Pre-Production",RM_PM_Quantity[Section],$C55,RM_PM_Quantity[RM Name],$E55),0)</f>
        <v>0</v>
      </c>
      <c r="N55" s="84">
        <f>SUMIFS(RM_PM_Quantity[Quantity],RM_PM_Quantity[Date],N$1,RM_PM_Quantity[Location],$D55,RM_PM_Quantity[Section],$C55,RM_PM_Quantity[RM Name],$E55)+IF($D55="MIND/Pre-Production",SUMIFS(RM_PM_Quantity[Quantity],RM_PM_Quantity[Date],N$1,RM_PM_Quantity[Location],"MIDC/Pre-Production",RM_PM_Quantity[Section],$C55,RM_PM_Quantity[RM Name],$E55),0)</f>
        <v>0</v>
      </c>
      <c r="O55" s="84">
        <f>SUMIFS(RM_PM_Quantity[Quantity],RM_PM_Quantity[Date],O$1,RM_PM_Quantity[Location],$D55,RM_PM_Quantity[Section],$C55,RM_PM_Quantity[RM Name],$E55)+IF($D55="MIND/Pre-Production",SUMIFS(RM_PM_Quantity[Quantity],RM_PM_Quantity[Date],O$1,RM_PM_Quantity[Location],"MIDC/Pre-Production",RM_PM_Quantity[Section],$C55,RM_PM_Quantity[RM Name],$E55),0)</f>
        <v>0</v>
      </c>
      <c r="P55" s="84">
        <f>SUMIFS(RM_PM_Quantity[Quantity],RM_PM_Quantity[Date],P$1,RM_PM_Quantity[Location],$D55,RM_PM_Quantity[Section],$C55,RM_PM_Quantity[RM Name],$E55)+IF($D55="MIND/Pre-Production",SUMIFS(RM_PM_Quantity[Quantity],RM_PM_Quantity[Date],P$1,RM_PM_Quantity[Location],"MIDC/Pre-Production",RM_PM_Quantity[Section],$C55,RM_PM_Quantity[RM Name],$E55),0)</f>
        <v>0</v>
      </c>
      <c r="Q55" s="84">
        <f>SUMIFS(RM_PM_Quantity[Quantity],RM_PM_Quantity[Date],Q$1,RM_PM_Quantity[Location],$D55,RM_PM_Quantity[Section],$C55,RM_PM_Quantity[RM Name],$E55)+IF($D55="MIND/Pre-Production",SUMIFS(RM_PM_Quantity[Quantity],RM_PM_Quantity[Date],Q$1,RM_PM_Quantity[Location],"MIDC/Pre-Production",RM_PM_Quantity[Section],$C55,RM_PM_Quantity[RM Name],$E55),0)</f>
        <v>0</v>
      </c>
      <c r="R55" s="84">
        <f>SUMIFS(RM_PM_Quantity[Quantity],RM_PM_Quantity[Date],R$1,RM_PM_Quantity[Location],$D55,RM_PM_Quantity[Section],$C55,RM_PM_Quantity[RM Name],$E55)+IF($D55="MIND/Pre-Production",SUMIFS(RM_PM_Quantity[Quantity],RM_PM_Quantity[Date],R$1,RM_PM_Quantity[Location],"MIDC/Pre-Production",RM_PM_Quantity[Section],$C55,RM_PM_Quantity[RM Name],$E55),0)</f>
        <v>0</v>
      </c>
      <c r="S55" s="84">
        <f>SUMIFS(RM_PM_Quantity[Quantity],RM_PM_Quantity[Date],S$1,RM_PM_Quantity[Location],$D55,RM_PM_Quantity[Section],$C55,RM_PM_Quantity[RM Name],$E55)+IF($D55="MIND/Pre-Production",SUMIFS(RM_PM_Quantity[Quantity],RM_PM_Quantity[Date],S$1,RM_PM_Quantity[Location],"MIDC/Pre-Production",RM_PM_Quantity[Section],$C55,RM_PM_Quantity[RM Name],$E55),0)</f>
        <v>0</v>
      </c>
      <c r="T55" s="84">
        <f>SUMIFS(RM_PM_Quantity[Quantity],RM_PM_Quantity[Date],T$1,RM_PM_Quantity[Location],$D55,RM_PM_Quantity[Section],$C55,RM_PM_Quantity[RM Name],$E55)+IF($D55="MIND/Pre-Production",SUMIFS(RM_PM_Quantity[Quantity],RM_PM_Quantity[Date],T$1,RM_PM_Quantity[Location],"MIDC/Pre-Production",RM_PM_Quantity[Section],$C55,RM_PM_Quantity[RM Name],$E55),0)</f>
        <v>0</v>
      </c>
      <c r="U55" s="84">
        <f>SUMIFS(RM_PM_Quantity[Quantity],RM_PM_Quantity[Date],U$1,RM_PM_Quantity[Location],$D55,RM_PM_Quantity[Section],$C55,RM_PM_Quantity[RM Name],$E55)+IF($D55="MIND/Pre-Production",SUMIFS(RM_PM_Quantity[Quantity],RM_PM_Quantity[Date],U$1,RM_PM_Quantity[Location],"MIDC/Pre-Production",RM_PM_Quantity[Section],$C55,RM_PM_Quantity[RM Name],$E55),0)</f>
        <v>0</v>
      </c>
      <c r="V55" s="84">
        <f>SUMIFS(RM_PM_Quantity[Quantity],RM_PM_Quantity[Date],V$1,RM_PM_Quantity[Location],$D55,RM_PM_Quantity[Section],$C55,RM_PM_Quantity[RM Name],$E55)+IF($D55="MIND/Pre-Production",SUMIFS(RM_PM_Quantity[Quantity],RM_PM_Quantity[Date],V$1,RM_PM_Quantity[Location],"MIDC/Pre-Production",RM_PM_Quantity[Section],$C55,RM_PM_Quantity[RM Name],$E55),0)</f>
        <v>0</v>
      </c>
      <c r="W55" s="84">
        <f>SUMIFS(RM_PM_Quantity[Quantity],RM_PM_Quantity[Date],W$1,RM_PM_Quantity[Location],$D55,RM_PM_Quantity[Section],$C55,RM_PM_Quantity[RM Name],$E55)+IF($D55="MIND/Pre-Production",SUMIFS(RM_PM_Quantity[Quantity],RM_PM_Quantity[Date],W$1,RM_PM_Quantity[Location],"MIDC/Pre-Production",RM_PM_Quantity[Section],$C55,RM_PM_Quantity[RM Name],$E55),0)</f>
        <v>0</v>
      </c>
      <c r="X55" s="84">
        <f>SUMIFS(RM_PM_Quantity[Quantity],RM_PM_Quantity[Date],X$1,RM_PM_Quantity[Location],$D55,RM_PM_Quantity[Section],$C55,RM_PM_Quantity[RM Name],$E55)+IF($D55="MIND/Pre-Production",SUMIFS(RM_PM_Quantity[Quantity],RM_PM_Quantity[Date],X$1,RM_PM_Quantity[Location],"MIDC/Pre-Production",RM_PM_Quantity[Section],$C55,RM_PM_Quantity[RM Name],$E55),0)</f>
        <v>0</v>
      </c>
      <c r="Y55" s="84">
        <f>SUMIFS(RM_PM_Quantity[Quantity],RM_PM_Quantity[Date],Y$1,RM_PM_Quantity[Location],$D55,RM_PM_Quantity[Section],$C55,RM_PM_Quantity[RM Name],$E55)+IF($D55="MIND/Pre-Production",SUMIFS(RM_PM_Quantity[Quantity],RM_PM_Quantity[Date],Y$1,RM_PM_Quantity[Location],"MIDC/Pre-Production",RM_PM_Quantity[Section],$C55,RM_PM_Quantity[RM Name],$E55),0)</f>
        <v>0</v>
      </c>
      <c r="Z55" s="84">
        <f>SUMIFS(RM_PM_Quantity[Quantity],RM_PM_Quantity[Date],Z$1,RM_PM_Quantity[Location],$D55,RM_PM_Quantity[Section],$C55,RM_PM_Quantity[RM Name],$E55)+IF($D55="MIND/Pre-Production",SUMIFS(RM_PM_Quantity[Quantity],RM_PM_Quantity[Date],Z$1,RM_PM_Quantity[Location],"MIDC/Pre-Production",RM_PM_Quantity[Section],$C55,RM_PM_Quantity[RM Name],$E55),0)</f>
        <v>0</v>
      </c>
      <c r="AA55" s="84">
        <f>SUMIFS(RM_PM_Quantity[Quantity],RM_PM_Quantity[Date],AA$1,RM_PM_Quantity[Location],$D55,RM_PM_Quantity[Section],$C55,RM_PM_Quantity[RM Name],$E55)+IF($D55="MIND/Pre-Production",SUMIFS(RM_PM_Quantity[Quantity],RM_PM_Quantity[Date],AA$1,RM_PM_Quantity[Location],"MIDC/Pre-Production",RM_PM_Quantity[Section],$C55,RM_PM_Quantity[RM Name],$E55),0)</f>
        <v>0</v>
      </c>
      <c r="AB55" s="84">
        <f>SUMIFS(RM_PM_Quantity[Quantity],RM_PM_Quantity[Date],AB$1,RM_PM_Quantity[Location],$D55,RM_PM_Quantity[Section],$C55,RM_PM_Quantity[RM Name],$E55)+IF($D55="MIND/Pre-Production",SUMIFS(RM_PM_Quantity[Quantity],RM_PM_Quantity[Date],AB$1,RM_PM_Quantity[Location],"MIDC/Pre-Production",RM_PM_Quantity[Section],$C55,RM_PM_Quantity[RM Name],$E55),0)</f>
        <v>0</v>
      </c>
      <c r="AC55" s="84">
        <f>SUMIFS(RM_PM_Quantity[Quantity],RM_PM_Quantity[Date],AC$1,RM_PM_Quantity[Location],$D55,RM_PM_Quantity[Section],$C55,RM_PM_Quantity[RM Name],$E55)+IF($D55="MIND/Pre-Production",SUMIFS(RM_PM_Quantity[Quantity],RM_PM_Quantity[Date],AC$1,RM_PM_Quantity[Location],"MIDC/Pre-Production",RM_PM_Quantity[Section],$C55,RM_PM_Quantity[RM Name],$E55),0)</f>
        <v>0</v>
      </c>
      <c r="AD55" s="84">
        <f>SUMIFS(RM_PM_Quantity[Quantity],RM_PM_Quantity[Date],AD$1,RM_PM_Quantity[Location],$D55,RM_PM_Quantity[Section],$C55,RM_PM_Quantity[RM Name],$E55)+IF($D55="MIND/Pre-Production",SUMIFS(RM_PM_Quantity[Quantity],RM_PM_Quantity[Date],AD$1,RM_PM_Quantity[Location],"MIDC/Pre-Production",RM_PM_Quantity[Section],$C55,RM_PM_Quantity[RM Name],$E55),0)</f>
        <v>0</v>
      </c>
      <c r="AE55" s="84">
        <f>SUMIFS(RM_PM_Quantity[Quantity],RM_PM_Quantity[Date],AE$1,RM_PM_Quantity[Location],$D55,RM_PM_Quantity[Section],$C55,RM_PM_Quantity[RM Name],$E55)+IF($D55="MIND/Pre-Production",SUMIFS(RM_PM_Quantity[Quantity],RM_PM_Quantity[Date],AE$1,RM_PM_Quantity[Location],"MIDC/Pre-Production",RM_PM_Quantity[Section],$C55,RM_PM_Quantity[RM Name],$E55),0)</f>
        <v>0</v>
      </c>
      <c r="AF55" s="84">
        <f>SUMIFS(RM_PM_Quantity[Quantity],RM_PM_Quantity[Date],AF$1,RM_PM_Quantity[Location],$D55,RM_PM_Quantity[Section],$C55,RM_PM_Quantity[RM Name],$E55)+IF($D55="MIND/Pre-Production",SUMIFS(RM_PM_Quantity[Quantity],RM_PM_Quantity[Date],AF$1,RM_PM_Quantity[Location],"MIDC/Pre-Production",RM_PM_Quantity[Section],$C55,RM_PM_Quantity[RM Name],$E55),0)</f>
        <v>0</v>
      </c>
      <c r="AG55" s="84">
        <f>SUMIFS(RM_PM_Quantity[Quantity],RM_PM_Quantity[Date],AG$1,RM_PM_Quantity[Location],$D55,RM_PM_Quantity[Section],$C55,RM_PM_Quantity[RM Name],$E55)+IF($D55="MIND/Pre-Production",SUMIFS(RM_PM_Quantity[Quantity],RM_PM_Quantity[Date],AG$1,RM_PM_Quantity[Location],"MIDC/Pre-Production",RM_PM_Quantity[Section],$C55,RM_PM_Quantity[RM Name],$E55),0)</f>
        <v>0</v>
      </c>
      <c r="AH55" s="84">
        <f>SUMIFS(RM_PM_Quantity[Quantity],RM_PM_Quantity[Date],AH$1,RM_PM_Quantity[Location],$D55,RM_PM_Quantity[Section],$C55,RM_PM_Quantity[RM Name],$E55)+IF($D55="MIND/Pre-Production",SUMIFS(RM_PM_Quantity[Quantity],RM_PM_Quantity[Date],AH$1,RM_PM_Quantity[Location],"MIDC/Pre-Production",RM_PM_Quantity[Section],$C55,RM_PM_Quantity[RM Name],$E55),0)</f>
        <v>0</v>
      </c>
      <c r="AI55" s="84">
        <f>SUMIFS(RM_PM_Quantity[Quantity],RM_PM_Quantity[Date],AI$1,RM_PM_Quantity[Location],$D55,RM_PM_Quantity[Section],$C55,RM_PM_Quantity[RM Name],$E55)+IF($D55="MIND/Pre-Production",SUMIFS(RM_PM_Quantity[Quantity],RM_PM_Quantity[Date],AI$1,RM_PM_Quantity[Location],"MIDC/Pre-Production",RM_PM_Quantity[Section],$C55,RM_PM_Quantity[RM Name],$E55),0)</f>
        <v>0</v>
      </c>
      <c r="AJ55" s="84">
        <f>SUMIFS(RM_PM_Quantity[Quantity],RM_PM_Quantity[Date],AJ$1,RM_PM_Quantity[Location],$D55,RM_PM_Quantity[Section],$C55,RM_PM_Quantity[RM Name],$E55)+IF($D55="MIND/Pre-Production",SUMIFS(RM_PM_Quantity[Quantity],RM_PM_Quantity[Date],AJ$1,RM_PM_Quantity[Location],"MIDC/Pre-Production",RM_PM_Quantity[Section],$C55,RM_PM_Quantity[RM Name],$E55),0)</f>
        <v>70</v>
      </c>
      <c r="AK55" s="84">
        <f>SUMIFS(RM_PM_Quantity[Quantity],RM_PM_Quantity[Date],AK$1,RM_PM_Quantity[Location],$D55,RM_PM_Quantity[Section],$C55,RM_PM_Quantity[RM Name],$E55)+IF($D55="MIND/Pre-Production",SUMIFS(RM_PM_Quantity[Quantity],RM_PM_Quantity[Date],AK$1,RM_PM_Quantity[Location],"MIDC/Pre-Production",RM_PM_Quantity[Section],$C55,RM_PM_Quantity[RM Name],$E55),0)</f>
        <v>0</v>
      </c>
      <c r="AL55" s="84">
        <f>SUMIFS(RM_PM_Quantity[Quantity],RM_PM_Quantity[Date],AL$1,RM_PM_Quantity[Location],$D55,RM_PM_Quantity[Section],$C55,RM_PM_Quantity[RM Name],$E55)+IF($D55="MIND/Pre-Production",SUMIFS(RM_PM_Quantity[Quantity],RM_PM_Quantity[Date],AL$1,RM_PM_Quantity[Location],"MIDC/Pre-Production",RM_PM_Quantity[Section],$C55,RM_PM_Quantity[RM Name],$E55),0)</f>
        <v>0</v>
      </c>
      <c r="AM55" s="84">
        <f>SUMIFS(RM_PM_Quantity[Quantity],RM_PM_Quantity[Date],AM$1,RM_PM_Quantity[Location],$D55,RM_PM_Quantity[Section],$C55,RM_PM_Quantity[RM Name],$E55)+IF($D55="MIND/Pre-Production",SUMIFS(RM_PM_Quantity[Quantity],RM_PM_Quantity[Date],AM$1,RM_PM_Quantity[Location],"MIDC/Pre-Production",RM_PM_Quantity[Section],$C55,RM_PM_Quantity[RM Name],$E55),0)</f>
        <v>0</v>
      </c>
      <c r="AN55" s="84">
        <f>SUMIFS(RM_PM_Quantity[Quantity],RM_PM_Quantity[Date],AN$1,RM_PM_Quantity[Location],$D55,RM_PM_Quantity[Section],$C55,RM_PM_Quantity[RM Name],$E55)+IF($D55="MIND/Pre-Production",SUMIFS(RM_PM_Quantity[Quantity],RM_PM_Quantity[Date],AN$1,RM_PM_Quantity[Location],"MIDC/Pre-Production",RM_PM_Quantity[Section],$C55,RM_PM_Quantity[RM Name],$E55),0)</f>
        <v>0</v>
      </c>
      <c r="AO55" s="84">
        <f>SUMIFS(RM_PM_Quantity[Quantity],RM_PM_Quantity[Date],AO$1,RM_PM_Quantity[Location],$D55,RM_PM_Quantity[Section],$C55,RM_PM_Quantity[RM Name],$E55)+IF($D55="MIND/Pre-Production",SUMIFS(RM_PM_Quantity[Quantity],RM_PM_Quantity[Date],AO$1,RM_PM_Quantity[Location],"MIDC/Pre-Production",RM_PM_Quantity[Section],$C55,RM_PM_Quantity[RM Name],$E55),0)</f>
        <v>0</v>
      </c>
      <c r="AP55" s="84">
        <f>SUMIFS(RM_PM_Quantity[Quantity],RM_PM_Quantity[Date],AP$1,RM_PM_Quantity[Location],$D55,RM_PM_Quantity[Section],$C55,RM_PM_Quantity[RM Name],$E55)+IF($D55="MIND/Pre-Production",SUMIFS(RM_PM_Quantity[Quantity],RM_PM_Quantity[Date],AP$1,RM_PM_Quantity[Location],"MIDC/Pre-Production",RM_PM_Quantity[Section],$C55,RM_PM_Quantity[RM Name],$E55),0)</f>
        <v>0</v>
      </c>
      <c r="AQ55" s="84">
        <f>SUMIFS(RM_PM_Quantity[Quantity],RM_PM_Quantity[Date],AQ$1,RM_PM_Quantity[Location],$D55,RM_PM_Quantity[Section],$C55,RM_PM_Quantity[RM Name],$E55)+IF($D55="MIND/Pre-Production",SUMIFS(RM_PM_Quantity[Quantity],RM_PM_Quantity[Date],AQ$1,RM_PM_Quantity[Location],"MIDC/Pre-Production",RM_PM_Quantity[Section],$C55,RM_PM_Quantity[RM Name],$E55),0)</f>
        <v>0</v>
      </c>
      <c r="AR55" s="84">
        <f>SUMIFS(RM_PM_Quantity[Quantity],RM_PM_Quantity[Date],AR$1,RM_PM_Quantity[Location],$D55,RM_PM_Quantity[Section],$C55,RM_PM_Quantity[RM Name],$E55)+IF($D55="MIND/Pre-Production",SUMIFS(RM_PM_Quantity[Quantity],RM_PM_Quantity[Date],AR$1,RM_PM_Quantity[Location],"MIDC/Pre-Production",RM_PM_Quantity[Section],$C55,RM_PM_Quantity[RM Name],$E55),0)</f>
        <v>0</v>
      </c>
      <c r="AS55" s="84">
        <f>SUMIFS(RM_PM_Quantity[Quantity],RM_PM_Quantity[Date],AS$1,RM_PM_Quantity[Location],$D55,RM_PM_Quantity[Section],$C55,RM_PM_Quantity[RM Name],$E55)+IF($D55="MIND/Pre-Production",SUMIFS(RM_PM_Quantity[Quantity],RM_PM_Quantity[Date],AS$1,RM_PM_Quantity[Location],"MIDC/Pre-Production",RM_PM_Quantity[Section],$C55,RM_PM_Quantity[RM Name],$E55),0)</f>
        <v>0</v>
      </c>
      <c r="AT55" s="84">
        <f>SUMIFS(RM_PM_Quantity[Quantity],RM_PM_Quantity[Date],AT$1,RM_PM_Quantity[Location],$D55,RM_PM_Quantity[Section],$C55,RM_PM_Quantity[RM Name],$E55)+IF($D55="MIND/Pre-Production",SUMIFS(RM_PM_Quantity[Quantity],RM_PM_Quantity[Date],AT$1,RM_PM_Quantity[Location],"MIDC/Pre-Production",RM_PM_Quantity[Section],$C55,RM_PM_Quantity[RM Name],$E55),0)</f>
        <v>0</v>
      </c>
      <c r="AU55" s="84">
        <f>SUMIFS(RM_PM_Quantity[Quantity],RM_PM_Quantity[Date],AU$1,RM_PM_Quantity[Location],$D55,RM_PM_Quantity[Section],$C55,RM_PM_Quantity[RM Name],$E55)+IF($D55="MIND/Pre-Production",SUMIFS(RM_PM_Quantity[Quantity],RM_PM_Quantity[Date],AU$1,RM_PM_Quantity[Location],"MIDC/Pre-Production",RM_PM_Quantity[Section],$C55,RM_PM_Quantity[RM Name],$E55),0)</f>
        <v>0</v>
      </c>
      <c r="AV55" s="84">
        <f>SUMIFS(RM_PM_Quantity[Quantity],RM_PM_Quantity[Date],AV$1,RM_PM_Quantity[Location],$D55,RM_PM_Quantity[Section],$C55,RM_PM_Quantity[RM Name],$E55)+IF($D55="MIND/Pre-Production",SUMIFS(RM_PM_Quantity[Quantity],RM_PM_Quantity[Date],AV$1,RM_PM_Quantity[Location],"MIDC/Pre-Production",RM_PM_Quantity[Section],$C55,RM_PM_Quantity[RM Name],$E55),0)</f>
        <v>0</v>
      </c>
      <c r="AW55" s="84">
        <f>SUMIFS(RM_PM_Quantity[Quantity],RM_PM_Quantity[Date],AW$1,RM_PM_Quantity[Location],$D55,RM_PM_Quantity[Section],$C55,RM_PM_Quantity[RM Name],$E55)+IF($D55="MIND/Pre-Production",SUMIFS(RM_PM_Quantity[Quantity],RM_PM_Quantity[Date],AW$1,RM_PM_Quantity[Location],"MIDC/Pre-Production",RM_PM_Quantity[Section],$C55,RM_PM_Quantity[RM Name],$E55),0)</f>
        <v>0</v>
      </c>
      <c r="AX55" s="84">
        <f>SUMIFS(RM_PM_Quantity[Quantity],RM_PM_Quantity[Date],AX$1,RM_PM_Quantity[Location],$D55,RM_PM_Quantity[Section],$C55,RM_PM_Quantity[RM Name],$E55)+IF($D55="MIND/Pre-Production",SUMIFS(RM_PM_Quantity[Quantity],RM_PM_Quantity[Date],AX$1,RM_PM_Quantity[Location],"MIDC/Pre-Production",RM_PM_Quantity[Section],$C55,RM_PM_Quantity[RM Name],$E55),0)</f>
        <v>0</v>
      </c>
      <c r="AY55" s="84">
        <f>SUMIFS(RM_PM_Quantity[Quantity],RM_PM_Quantity[Date],AY$1,RM_PM_Quantity[Location],$D55,RM_PM_Quantity[Section],$C55,RM_PM_Quantity[RM Name],$E55)+IF($D55="MIND/Pre-Production",SUMIFS(RM_PM_Quantity[Quantity],RM_PM_Quantity[Date],AY$1,RM_PM_Quantity[Location],"MIDC/Pre-Production",RM_PM_Quantity[Section],$C55,RM_PM_Quantity[RM Name],$E55),0)</f>
        <v>0</v>
      </c>
      <c r="AZ55" s="84">
        <f>SUMIFS(RM_PM_Quantity[Quantity],RM_PM_Quantity[Date],AZ$1,RM_PM_Quantity[Location],$D55,RM_PM_Quantity[Section],$C55,RM_PM_Quantity[RM Name],$E55)+IF($D55="MIND/Pre-Production",SUMIFS(RM_PM_Quantity[Quantity],RM_PM_Quantity[Date],AZ$1,RM_PM_Quantity[Location],"MIDC/Pre-Production",RM_PM_Quantity[Section],$C55,RM_PM_Quantity[RM Name],$E55),0)</f>
        <v>0</v>
      </c>
      <c r="BA55" s="84">
        <f>SUMIFS(RM_PM_Quantity[Quantity],RM_PM_Quantity[Date],BA$1,RM_PM_Quantity[Location],$D55,RM_PM_Quantity[Section],$C55,RM_PM_Quantity[RM Name],$E55)+IF($D55="MIND/Pre-Production",SUMIFS(RM_PM_Quantity[Quantity],RM_PM_Quantity[Date],BA$1,RM_PM_Quantity[Location],"MIDC/Pre-Production",RM_PM_Quantity[Section],$C55,RM_PM_Quantity[RM Name],$E55),0)</f>
        <v>0</v>
      </c>
      <c r="BB55" s="84">
        <f>SUMIFS(RM_PM_Quantity[Quantity],RM_PM_Quantity[Date],BB$1,RM_PM_Quantity[Location],$D55,RM_PM_Quantity[Section],$C55,RM_PM_Quantity[RM Name],$E55)+IF($D55="MIND/Pre-Production",SUMIFS(RM_PM_Quantity[Quantity],RM_PM_Quantity[Date],BB$1,RM_PM_Quantity[Location],"MIDC/Pre-Production",RM_PM_Quantity[Section],$C55,RM_PM_Quantity[RM Name],$E55),0)</f>
        <v>0</v>
      </c>
      <c r="BC55" s="84">
        <f>SUMIFS(RM_PM_Quantity[Quantity],RM_PM_Quantity[Date],BC$1,RM_PM_Quantity[Location],$D55,RM_PM_Quantity[Section],$C55,RM_PM_Quantity[RM Name],$E55)+IF($D55="MIND/Pre-Production",SUMIFS(RM_PM_Quantity[Quantity],RM_PM_Quantity[Date],BC$1,RM_PM_Quantity[Location],"MIDC/Pre-Production",RM_PM_Quantity[Section],$C55,RM_PM_Quantity[RM Name],$E55),0)</f>
        <v>0</v>
      </c>
      <c r="BD55" s="84">
        <f>SUMIFS(RM_PM_Quantity[Quantity],RM_PM_Quantity[Date],BD$1,RM_PM_Quantity[Location],$D55,RM_PM_Quantity[Section],$C55,RM_PM_Quantity[RM Name],$E55)+IF($D55="MIND/Pre-Production",SUMIFS(RM_PM_Quantity[Quantity],RM_PM_Quantity[Date],BD$1,RM_PM_Quantity[Location],"MIDC/Pre-Production",RM_PM_Quantity[Section],$C55,RM_PM_Quantity[RM Name],$E55),0)</f>
        <v>0</v>
      </c>
      <c r="BE55" s="84">
        <f>SUMIFS(RM_PM_Quantity[Quantity],RM_PM_Quantity[Date],BE$1,RM_PM_Quantity[Location],$D55,RM_PM_Quantity[Section],$C55,RM_PM_Quantity[RM Name],$E55)+IF($D55="MIND/Pre-Production",SUMIFS(RM_PM_Quantity[Quantity],RM_PM_Quantity[Date],BE$1,RM_PM_Quantity[Location],"MIDC/Pre-Production",RM_PM_Quantity[Section],$C55,RM_PM_Quantity[RM Name],$E55),0)</f>
        <v>0</v>
      </c>
      <c r="BF55" s="84">
        <f>SUMIFS(RM_PM_Quantity[Quantity],RM_PM_Quantity[Date],BF$1,RM_PM_Quantity[Location],$D55,RM_PM_Quantity[Section],$C55,RM_PM_Quantity[RM Name],$E55)+IF($D55="MIND/Pre-Production",SUMIFS(RM_PM_Quantity[Quantity],RM_PM_Quantity[Date],BF$1,RM_PM_Quantity[Location],"MIDC/Pre-Production",RM_PM_Quantity[Section],$C55,RM_PM_Quantity[RM Name],$E55),0)</f>
        <v>0</v>
      </c>
      <c r="BG55" s="84">
        <f>SUMIFS(RM_PM_Quantity[Quantity],RM_PM_Quantity[Date],BG$1,RM_PM_Quantity[Location],$D55,RM_PM_Quantity[Section],$C55,RM_PM_Quantity[RM Name],$E55)+IF($D55="MIND/Pre-Production",SUMIFS(RM_PM_Quantity[Quantity],RM_PM_Quantity[Date],BG$1,RM_PM_Quantity[Location],"MIDC/Pre-Production",RM_PM_Quantity[Section],$C55,RM_PM_Quantity[RM Name],$E55),0)</f>
        <v>0</v>
      </c>
      <c r="BH55" s="84">
        <f>SUMIFS(RM_PM_Quantity[Quantity],RM_PM_Quantity[Date],BH$1,RM_PM_Quantity[Location],$D55,RM_PM_Quantity[Section],$C55,RM_PM_Quantity[RM Name],$E55)+IF($D55="MIND/Pre-Production",SUMIFS(RM_PM_Quantity[Quantity],RM_PM_Quantity[Date],BH$1,RM_PM_Quantity[Location],"MIDC/Pre-Production",RM_PM_Quantity[Section],$C55,RM_PM_Quantity[RM Name],$E55),0)</f>
        <v>0</v>
      </c>
      <c r="BI55" s="84">
        <f>SUMIFS(RM_PM_Quantity[Quantity],RM_PM_Quantity[Date],BI$1,RM_PM_Quantity[Location],$D55,RM_PM_Quantity[Section],$C55,RM_PM_Quantity[RM Name],$E55)+IF($D55="MIND/Pre-Production",SUMIFS(RM_PM_Quantity[Quantity],RM_PM_Quantity[Date],BI$1,RM_PM_Quantity[Location],"MIDC/Pre-Production",RM_PM_Quantity[Section],$C55,RM_PM_Quantity[RM Name],$E55),0)</f>
        <v>0</v>
      </c>
      <c r="BJ55" s="84">
        <f>SUMIFS(RM_PM_Quantity[Quantity],RM_PM_Quantity[Date],BJ$1,RM_PM_Quantity[Location],$D55,RM_PM_Quantity[Section],$C55,RM_PM_Quantity[RM Name],$E55)+IF($D55="MIND/Pre-Production",SUMIFS(RM_PM_Quantity[Quantity],RM_PM_Quantity[Date],BJ$1,RM_PM_Quantity[Location],"MIDC/Pre-Production",RM_PM_Quantity[Section],$C55,RM_PM_Quantity[RM Name],$E55),0)</f>
        <v>0</v>
      </c>
      <c r="BK55" s="84">
        <f>SUMIFS(RM_PM_Quantity[Quantity],RM_PM_Quantity[Date],BK$1,RM_PM_Quantity[Location],$D55,RM_PM_Quantity[Section],$C55,RM_PM_Quantity[RM Name],$E55)+IF($D55="MIND/Pre-Production",SUMIFS(RM_PM_Quantity[Quantity],RM_PM_Quantity[Date],BK$1,RM_PM_Quantity[Location],"MIDC/Pre-Production",RM_PM_Quantity[Section],$C55,RM_PM_Quantity[RM Name],$E55),0)</f>
        <v>0</v>
      </c>
      <c r="BL55" s="84">
        <f>SUMIFS(RM_PM_Quantity[Quantity],RM_PM_Quantity[Date],BL$1,RM_PM_Quantity[Location],$D55,RM_PM_Quantity[Section],$C55,RM_PM_Quantity[RM Name],$E55)+IF($D55="MIND/Pre-Production",SUMIFS(RM_PM_Quantity[Quantity],RM_PM_Quantity[Date],BL$1,RM_PM_Quantity[Location],"MIDC/Pre-Production",RM_PM_Quantity[Section],$C55,RM_PM_Quantity[RM Name],$E55),0)</f>
        <v>0</v>
      </c>
      <c r="BM55" s="84">
        <f>SUMIFS(RM_PM_Quantity[Quantity],RM_PM_Quantity[Date],BM$1,RM_PM_Quantity[Location],$D55,RM_PM_Quantity[Section],$C55,RM_PM_Quantity[RM Name],$E55)+IF($D55="MIND/Pre-Production",SUMIFS(RM_PM_Quantity[Quantity],RM_PM_Quantity[Date],BM$1,RM_PM_Quantity[Location],"MIDC/Pre-Production",RM_PM_Quantity[Section],$C55,RM_PM_Quantity[RM Name],$E55),0)</f>
        <v>0</v>
      </c>
      <c r="BN55" s="84">
        <f>SUMIFS(RM_PM_Quantity[Quantity],RM_PM_Quantity[Date],BN$1,RM_PM_Quantity[Location],$D55,RM_PM_Quantity[Section],$C55,RM_PM_Quantity[RM Name],$E55)+IF($D55="MIND/Pre-Production",SUMIFS(RM_PM_Quantity[Quantity],RM_PM_Quantity[Date],BN$1,RM_PM_Quantity[Location],"MIDC/Pre-Production",RM_PM_Quantity[Section],$C55,RM_PM_Quantity[RM Name],$E55),0)</f>
        <v>0</v>
      </c>
      <c r="BO55" s="84">
        <f>SUMIFS(RM_PM_Quantity[Quantity],RM_PM_Quantity[Date],BO$1,RM_PM_Quantity[Location],$D55,RM_PM_Quantity[Section],$C55,RM_PM_Quantity[RM Name],$E55)+IF($D55="MIND/Pre-Production",SUMIFS(RM_PM_Quantity[Quantity],RM_PM_Quantity[Date],BO$1,RM_PM_Quantity[Location],"MIDC/Pre-Production",RM_PM_Quantity[Section],$C55,RM_PM_Quantity[RM Name],$E55),0)</f>
        <v>0</v>
      </c>
      <c r="BP55" s="84">
        <f>SUMIFS(RM_PM_Quantity[Quantity],RM_PM_Quantity[Date],BP$1,RM_PM_Quantity[Location],$D55,RM_PM_Quantity[Section],$C55,RM_PM_Quantity[RM Name],$E55)+IF($D55="MIND/Pre-Production",SUMIFS(RM_PM_Quantity[Quantity],RM_PM_Quantity[Date],BP$1,RM_PM_Quantity[Location],"MIDC/Pre-Production",RM_PM_Quantity[Section],$C55,RM_PM_Quantity[RM Name],$E55),0)</f>
        <v>0</v>
      </c>
      <c r="BQ55" s="84">
        <f>SUMIFS(RM_PM_Quantity[Quantity],RM_PM_Quantity[Date],BQ$1,RM_PM_Quantity[Location],$D55,RM_PM_Quantity[Section],$C55,RM_PM_Quantity[RM Name],$E55)+IF($D55="MIND/Pre-Production",SUMIFS(RM_PM_Quantity[Quantity],RM_PM_Quantity[Date],BQ$1,RM_PM_Quantity[Location],"MIDC/Pre-Production",RM_PM_Quantity[Section],$C55,RM_PM_Quantity[RM Name],$E55),0)</f>
        <v>0</v>
      </c>
      <c r="BR55" s="84">
        <f>SUMIFS(RM_PM_Quantity[Quantity],RM_PM_Quantity[Date],BR$1,RM_PM_Quantity[Location],$D55,RM_PM_Quantity[Section],$C55,RM_PM_Quantity[RM Name],$E55)+IF($D55="MIND/Pre-Production",SUMIFS(RM_PM_Quantity[Quantity],RM_PM_Quantity[Date],BR$1,RM_PM_Quantity[Location],"MIDC/Pre-Production",RM_PM_Quantity[Section],$C55,RM_PM_Quantity[RM Name],$E55),0)</f>
        <v>0</v>
      </c>
      <c r="BS55" s="84">
        <f>SUMIFS(RM_PM_Quantity[Quantity],RM_PM_Quantity[Date],BS$1,RM_PM_Quantity[Location],$D55,RM_PM_Quantity[Section],$C55,RM_PM_Quantity[RM Name],$E55)+IF($D55="MIND/Pre-Production",SUMIFS(RM_PM_Quantity[Quantity],RM_PM_Quantity[Date],BS$1,RM_PM_Quantity[Location],"MIDC/Pre-Production",RM_PM_Quantity[Section],$C55,RM_PM_Quantity[RM Name],$E55),0)</f>
        <v>0</v>
      </c>
      <c r="BT55" s="84">
        <f>SUMIFS(RM_PM_Quantity[ID],RM_PM_Quantity[Location],BT$1,RM_PM_Quantity[Section],$D55,RM_PM_Quantity[RM Name],$C55,RM_PM_Quantity[Quantity],$E55)+IF($D55="MIND/Pre-Production",SUMIFS(RM_PM_Quantity[ID],RM_PM_Quantity[Location],BT$1,RM_PM_Quantity[Section],"MIDC/Pre-Production",RM_PM_Quantity[RM Name],$C55,RM_PM_Quantity[Quantity],$E55),0)</f>
        <v>0</v>
      </c>
      <c r="BU55" s="84">
        <f>SUMIFS(RM_PM_Quantity[Name of Supervisor],RM_PM_Quantity[Section],BU$1,RM_PM_Quantity[RM Name],$D55,RM_PM_Quantity[Quantity],$C55,RM_PM_Quantity[ID],$E55)+IF($D55="MIND/Pre-Production",SUMIFS(RM_PM_Quantity[Name of Supervisor],RM_PM_Quantity[Section],BU$1,RM_PM_Quantity[RM Name],"MIDC/Pre-Production",RM_PM_Quantity[Quantity],$C55,RM_PM_Quantity[ID],$E55),0)</f>
        <v>0</v>
      </c>
      <c r="BV55" s="84">
        <f>SUMIFS(RM_PM_Quantity[Date],RM_PM_Quantity[RM Name],BV$1,RM_PM_Quantity[Quantity],$D55,RM_PM_Quantity[ID],$C55,RM_PM_Quantity[Name of Supervisor],$E55)+IF($D55="MIND/Pre-Production",SUMIFS(RM_PM_Quantity[Date],RM_PM_Quantity[RM Name],BV$1,RM_PM_Quantity[Quantity],"MIDC/Pre-Production",RM_PM_Quantity[ID],$C55,RM_PM_Quantity[Name of Supervisor],$E55),0)</f>
        <v>0</v>
      </c>
      <c r="BW55" s="84">
        <f>SUMIFS(RM_PM_Quantity[Location],RM_PM_Quantity[Quantity],BW$1,RM_PM_Quantity[ID],$D55,RM_PM_Quantity[Name of Supervisor],$C55,RM_PM_Quantity[Date],$E55)+IF($D55="MIND/Pre-Production",SUMIFS(RM_PM_Quantity[Location],RM_PM_Quantity[Quantity],BW$1,RM_PM_Quantity[ID],"MIDC/Pre-Production",RM_PM_Quantity[Name of Supervisor],$C55,RM_PM_Quantity[Date],$E55),0)</f>
        <v>0</v>
      </c>
      <c r="BX55" s="84">
        <f>SUMIFS(RM_PM_Quantity[Section],RM_PM_Quantity[ID],BX$1,RM_PM_Quantity[Name of Supervisor],$D55,RM_PM_Quantity[Date],$C55,RM_PM_Quantity[Location],$E55)+IF($D55="MIND/Pre-Production",SUMIFS(RM_PM_Quantity[Section],RM_PM_Quantity[ID],BX$1,RM_PM_Quantity[Name of Supervisor],"MIDC/Pre-Production",RM_PM_Quantity[Date],$C55,RM_PM_Quantity[Location],$E55),0)</f>
        <v>0</v>
      </c>
      <c r="BY55" s="84">
        <f>SUMIFS(RM_PM_Quantity[RM Name],RM_PM_Quantity[Name of Supervisor],BY$1,RM_PM_Quantity[Date],$D55,RM_PM_Quantity[Location],$C55,RM_PM_Quantity[Section],$E55)+IF($D55="MIND/Pre-Production",SUMIFS(RM_PM_Quantity[RM Name],RM_PM_Quantity[Name of Supervisor],BY$1,RM_PM_Quantity[Date],"MIDC/Pre-Production",RM_PM_Quantity[Location],$C55,RM_PM_Quantity[Section],$E55),0)</f>
        <v>0</v>
      </c>
    </row>
    <row r="56" spans="1:77" ht="45.75" customHeight="1">
      <c r="A56" s="79">
        <v>55</v>
      </c>
      <c r="B56" s="79" t="s">
        <v>152</v>
      </c>
      <c r="C56" s="80" t="s">
        <v>146</v>
      </c>
      <c r="D56" s="81" t="s">
        <v>54</v>
      </c>
      <c r="E56" s="90" t="s">
        <v>153</v>
      </c>
      <c r="F56" s="83">
        <f>IFERROR(_xlfn.XLOOKUP(B56,'[1]RM Tracker'!B:B,'[1]RM Tracker'!E:E),"0")</f>
        <v>45.699757635467968</v>
      </c>
      <c r="G56" s="85">
        <f t="shared" si="2"/>
        <v>0</v>
      </c>
      <c r="H56" s="85">
        <f t="shared" si="3"/>
        <v>-45.699757635467968</v>
      </c>
      <c r="I56" s="91">
        <f t="shared" si="4"/>
        <v>0</v>
      </c>
      <c r="J56" s="84">
        <f>SUMIFS(RM_PM_Quantity[Quantity],RM_PM_Quantity[Date],J$1,RM_PM_Quantity[Location],$D56,RM_PM_Quantity[Section],$C56,RM_PM_Quantity[RM Name],$E56)+IF($D56="MIND/Pre-Production",SUMIFS(RM_PM_Quantity[Quantity],RM_PM_Quantity[Date],J$1,RM_PM_Quantity[Location],"MIDC/Pre-Production",RM_PM_Quantity[Section],$C56,RM_PM_Quantity[RM Name],$E56),0)</f>
        <v>0</v>
      </c>
      <c r="K56" s="84">
        <f>SUMIFS(RM_PM_Quantity[Quantity],RM_PM_Quantity[Date],K$1,RM_PM_Quantity[Location],$D56,RM_PM_Quantity[Section],$C56,RM_PM_Quantity[RM Name],$E56)+IF($D56="MIND/Pre-Production",SUMIFS(RM_PM_Quantity[Quantity],RM_PM_Quantity[Date],K$1,RM_PM_Quantity[Location],"MIDC/Pre-Production",RM_PM_Quantity[Section],$C56,RM_PM_Quantity[RM Name],$E56),0)</f>
        <v>0</v>
      </c>
      <c r="L56" s="84">
        <f>SUMIFS(RM_PM_Quantity[Quantity],RM_PM_Quantity[Date],L$1,RM_PM_Quantity[Location],$D56,RM_PM_Quantity[Section],$C56,RM_PM_Quantity[RM Name],$E56)+IF($D56="MIND/Pre-Production",SUMIFS(RM_PM_Quantity[Quantity],RM_PM_Quantity[Date],L$1,RM_PM_Quantity[Location],"MIDC/Pre-Production",RM_PM_Quantity[Section],$C56,RM_PM_Quantity[RM Name],$E56),0)</f>
        <v>0</v>
      </c>
      <c r="M56" s="84">
        <f>SUMIFS(RM_PM_Quantity[Quantity],RM_PM_Quantity[Date],M$1,RM_PM_Quantity[Location],$D56,RM_PM_Quantity[Section],$C56,RM_PM_Quantity[RM Name],$E56)+IF($D56="MIND/Pre-Production",SUMIFS(RM_PM_Quantity[Quantity],RM_PM_Quantity[Date],M$1,RM_PM_Quantity[Location],"MIDC/Pre-Production",RM_PM_Quantity[Section],$C56,RM_PM_Quantity[RM Name],$E56),0)</f>
        <v>0</v>
      </c>
      <c r="N56" s="84">
        <f>SUMIFS(RM_PM_Quantity[Quantity],RM_PM_Quantity[Date],N$1,RM_PM_Quantity[Location],$D56,RM_PM_Quantity[Section],$C56,RM_PM_Quantity[RM Name],$E56)+IF($D56="MIND/Pre-Production",SUMIFS(RM_PM_Quantity[Quantity],RM_PM_Quantity[Date],N$1,RM_PM_Quantity[Location],"MIDC/Pre-Production",RM_PM_Quantity[Section],$C56,RM_PM_Quantity[RM Name],$E56),0)</f>
        <v>0</v>
      </c>
      <c r="O56" s="84">
        <f>SUMIFS(RM_PM_Quantity[Quantity],RM_PM_Quantity[Date],O$1,RM_PM_Quantity[Location],$D56,RM_PM_Quantity[Section],$C56,RM_PM_Quantity[RM Name],$E56)+IF($D56="MIND/Pre-Production",SUMIFS(RM_PM_Quantity[Quantity],RM_PM_Quantity[Date],O$1,RM_PM_Quantity[Location],"MIDC/Pre-Production",RM_PM_Quantity[Section],$C56,RM_PM_Quantity[RM Name],$E56),0)</f>
        <v>0</v>
      </c>
      <c r="P56" s="84">
        <f>SUMIFS(RM_PM_Quantity[Quantity],RM_PM_Quantity[Date],P$1,RM_PM_Quantity[Location],$D56,RM_PM_Quantity[Section],$C56,RM_PM_Quantity[RM Name],$E56)+IF($D56="MIND/Pre-Production",SUMIFS(RM_PM_Quantity[Quantity],RM_PM_Quantity[Date],P$1,RM_PM_Quantity[Location],"MIDC/Pre-Production",RM_PM_Quantity[Section],$C56,RM_PM_Quantity[RM Name],$E56),0)</f>
        <v>0</v>
      </c>
      <c r="Q56" s="84">
        <f>SUMIFS(RM_PM_Quantity[Quantity],RM_PM_Quantity[Date],Q$1,RM_PM_Quantity[Location],$D56,RM_PM_Quantity[Section],$C56,RM_PM_Quantity[RM Name],$E56)+IF($D56="MIND/Pre-Production",SUMIFS(RM_PM_Quantity[Quantity],RM_PM_Quantity[Date],Q$1,RM_PM_Quantity[Location],"MIDC/Pre-Production",RM_PM_Quantity[Section],$C56,RM_PM_Quantity[RM Name],$E56),0)</f>
        <v>0</v>
      </c>
      <c r="R56" s="84">
        <f>SUMIFS(RM_PM_Quantity[Quantity],RM_PM_Quantity[Date],R$1,RM_PM_Quantity[Location],$D56,RM_PM_Quantity[Section],$C56,RM_PM_Quantity[RM Name],$E56)+IF($D56="MIND/Pre-Production",SUMIFS(RM_PM_Quantity[Quantity],RM_PM_Quantity[Date],R$1,RM_PM_Quantity[Location],"MIDC/Pre-Production",RM_PM_Quantity[Section],$C56,RM_PM_Quantity[RM Name],$E56),0)</f>
        <v>0</v>
      </c>
      <c r="S56" s="84">
        <f>SUMIFS(RM_PM_Quantity[Quantity],RM_PM_Quantity[Date],S$1,RM_PM_Quantity[Location],$D56,RM_PM_Quantity[Section],$C56,RM_PM_Quantity[RM Name],$E56)+IF($D56="MIND/Pre-Production",SUMIFS(RM_PM_Quantity[Quantity],RM_PM_Quantity[Date],S$1,RM_PM_Quantity[Location],"MIDC/Pre-Production",RM_PM_Quantity[Section],$C56,RM_PM_Quantity[RM Name],$E56),0)</f>
        <v>0</v>
      </c>
      <c r="T56" s="84">
        <f>SUMIFS(RM_PM_Quantity[Quantity],RM_PM_Quantity[Date],T$1,RM_PM_Quantity[Location],$D56,RM_PM_Quantity[Section],$C56,RM_PM_Quantity[RM Name],$E56)+IF($D56="MIND/Pre-Production",SUMIFS(RM_PM_Quantity[Quantity],RM_PM_Quantity[Date],T$1,RM_PM_Quantity[Location],"MIDC/Pre-Production",RM_PM_Quantity[Section],$C56,RM_PM_Quantity[RM Name],$E56),0)</f>
        <v>0</v>
      </c>
      <c r="U56" s="84">
        <f>SUMIFS(RM_PM_Quantity[Quantity],RM_PM_Quantity[Date],U$1,RM_PM_Quantity[Location],$D56,RM_PM_Quantity[Section],$C56,RM_PM_Quantity[RM Name],$E56)+IF($D56="MIND/Pre-Production",SUMIFS(RM_PM_Quantity[Quantity],RM_PM_Quantity[Date],U$1,RM_PM_Quantity[Location],"MIDC/Pre-Production",RM_PM_Quantity[Section],$C56,RM_PM_Quantity[RM Name],$E56),0)</f>
        <v>0</v>
      </c>
      <c r="V56" s="84">
        <f>SUMIFS(RM_PM_Quantity[Quantity],RM_PM_Quantity[Date],V$1,RM_PM_Quantity[Location],$D56,RM_PM_Quantity[Section],$C56,RM_PM_Quantity[RM Name],$E56)+IF($D56="MIND/Pre-Production",SUMIFS(RM_PM_Quantity[Quantity],RM_PM_Quantity[Date],V$1,RM_PM_Quantity[Location],"MIDC/Pre-Production",RM_PM_Quantity[Section],$C56,RM_PM_Quantity[RM Name],$E56),0)</f>
        <v>0</v>
      </c>
      <c r="W56" s="84">
        <f>SUMIFS(RM_PM_Quantity[Quantity],RM_PM_Quantity[Date],W$1,RM_PM_Quantity[Location],$D56,RM_PM_Quantity[Section],$C56,RM_PM_Quantity[RM Name],$E56)+IF($D56="MIND/Pre-Production",SUMIFS(RM_PM_Quantity[Quantity],RM_PM_Quantity[Date],W$1,RM_PM_Quantity[Location],"MIDC/Pre-Production",RM_PM_Quantity[Section],$C56,RM_PM_Quantity[RM Name],$E56),0)</f>
        <v>0</v>
      </c>
      <c r="X56" s="84">
        <f>SUMIFS(RM_PM_Quantity[Quantity],RM_PM_Quantity[Date],X$1,RM_PM_Quantity[Location],$D56,RM_PM_Quantity[Section],$C56,RM_PM_Quantity[RM Name],$E56)+IF($D56="MIND/Pre-Production",SUMIFS(RM_PM_Quantity[Quantity],RM_PM_Quantity[Date],X$1,RM_PM_Quantity[Location],"MIDC/Pre-Production",RM_PM_Quantity[Section],$C56,RM_PM_Quantity[RM Name],$E56),0)</f>
        <v>0</v>
      </c>
      <c r="Y56" s="84">
        <f>SUMIFS(RM_PM_Quantity[Quantity],RM_PM_Quantity[Date],Y$1,RM_PM_Quantity[Location],$D56,RM_PM_Quantity[Section],$C56,RM_PM_Quantity[RM Name],$E56)+IF($D56="MIND/Pre-Production",SUMIFS(RM_PM_Quantity[Quantity],RM_PM_Quantity[Date],Y$1,RM_PM_Quantity[Location],"MIDC/Pre-Production",RM_PM_Quantity[Section],$C56,RM_PM_Quantity[RM Name],$E56),0)</f>
        <v>0</v>
      </c>
      <c r="Z56" s="84">
        <f>SUMIFS(RM_PM_Quantity[Quantity],RM_PM_Quantity[Date],Z$1,RM_PM_Quantity[Location],$D56,RM_PM_Quantity[Section],$C56,RM_PM_Quantity[RM Name],$E56)+IF($D56="MIND/Pre-Production",SUMIFS(RM_PM_Quantity[Quantity],RM_PM_Quantity[Date],Z$1,RM_PM_Quantity[Location],"MIDC/Pre-Production",RM_PM_Quantity[Section],$C56,RM_PM_Quantity[RM Name],$E56),0)</f>
        <v>0</v>
      </c>
      <c r="AA56" s="84">
        <f>SUMIFS(RM_PM_Quantity[Quantity],RM_PM_Quantity[Date],AA$1,RM_PM_Quantity[Location],$D56,RM_PM_Quantity[Section],$C56,RM_PM_Quantity[RM Name],$E56)+IF($D56="MIND/Pre-Production",SUMIFS(RM_PM_Quantity[Quantity],RM_PM_Quantity[Date],AA$1,RM_PM_Quantity[Location],"MIDC/Pre-Production",RM_PM_Quantity[Section],$C56,RM_PM_Quantity[RM Name],$E56),0)</f>
        <v>0</v>
      </c>
      <c r="AB56" s="84">
        <f>SUMIFS(RM_PM_Quantity[Quantity],RM_PM_Quantity[Date],AB$1,RM_PM_Quantity[Location],$D56,RM_PM_Quantity[Section],$C56,RM_PM_Quantity[RM Name],$E56)+IF($D56="MIND/Pre-Production",SUMIFS(RM_PM_Quantity[Quantity],RM_PM_Quantity[Date],AB$1,RM_PM_Quantity[Location],"MIDC/Pre-Production",RM_PM_Quantity[Section],$C56,RM_PM_Quantity[RM Name],$E56),0)</f>
        <v>0</v>
      </c>
      <c r="AC56" s="84">
        <f>SUMIFS(RM_PM_Quantity[Quantity],RM_PM_Quantity[Date],AC$1,RM_PM_Quantity[Location],$D56,RM_PM_Quantity[Section],$C56,RM_PM_Quantity[RM Name],$E56)+IF($D56="MIND/Pre-Production",SUMIFS(RM_PM_Quantity[Quantity],RM_PM_Quantity[Date],AC$1,RM_PM_Quantity[Location],"MIDC/Pre-Production",RM_PM_Quantity[Section],$C56,RM_PM_Quantity[RM Name],$E56),0)</f>
        <v>0</v>
      </c>
      <c r="AD56" s="84">
        <f>SUMIFS(RM_PM_Quantity[Quantity],RM_PM_Quantity[Date],AD$1,RM_PM_Quantity[Location],$D56,RM_PM_Quantity[Section],$C56,RM_PM_Quantity[RM Name],$E56)+IF($D56="MIND/Pre-Production",SUMIFS(RM_PM_Quantity[Quantity],RM_PM_Quantity[Date],AD$1,RM_PM_Quantity[Location],"MIDC/Pre-Production",RM_PM_Quantity[Section],$C56,RM_PM_Quantity[RM Name],$E56),0)</f>
        <v>0</v>
      </c>
      <c r="AE56" s="84">
        <f>SUMIFS(RM_PM_Quantity[Quantity],RM_PM_Quantity[Date],AE$1,RM_PM_Quantity[Location],$D56,RM_PM_Quantity[Section],$C56,RM_PM_Quantity[RM Name],$E56)+IF($D56="MIND/Pre-Production",SUMIFS(RM_PM_Quantity[Quantity],RM_PM_Quantity[Date],AE$1,RM_PM_Quantity[Location],"MIDC/Pre-Production",RM_PM_Quantity[Section],$C56,RM_PM_Quantity[RM Name],$E56),0)</f>
        <v>0</v>
      </c>
      <c r="AF56" s="84">
        <f>SUMIFS(RM_PM_Quantity[Quantity],RM_PM_Quantity[Date],AF$1,RM_PM_Quantity[Location],$D56,RM_PM_Quantity[Section],$C56,RM_PM_Quantity[RM Name],$E56)+IF($D56="MIND/Pre-Production",SUMIFS(RM_PM_Quantity[Quantity],RM_PM_Quantity[Date],AF$1,RM_PM_Quantity[Location],"MIDC/Pre-Production",RM_PM_Quantity[Section],$C56,RM_PM_Quantity[RM Name],$E56),0)</f>
        <v>0</v>
      </c>
      <c r="AG56" s="84">
        <f>SUMIFS(RM_PM_Quantity[Quantity],RM_PM_Quantity[Date],AG$1,RM_PM_Quantity[Location],$D56,RM_PM_Quantity[Section],$C56,RM_PM_Quantity[RM Name],$E56)+IF($D56="MIND/Pre-Production",SUMIFS(RM_PM_Quantity[Quantity],RM_PM_Quantity[Date],AG$1,RM_PM_Quantity[Location],"MIDC/Pre-Production",RM_PM_Quantity[Section],$C56,RM_PM_Quantity[RM Name],$E56),0)</f>
        <v>0</v>
      </c>
      <c r="AH56" s="84">
        <f>SUMIFS(RM_PM_Quantity[Quantity],RM_PM_Quantity[Date],AH$1,RM_PM_Quantity[Location],$D56,RM_PM_Quantity[Section],$C56,RM_PM_Quantity[RM Name],$E56)+IF($D56="MIND/Pre-Production",SUMIFS(RM_PM_Quantity[Quantity],RM_PM_Quantity[Date],AH$1,RM_PM_Quantity[Location],"MIDC/Pre-Production",RM_PM_Quantity[Section],$C56,RM_PM_Quantity[RM Name],$E56),0)</f>
        <v>0</v>
      </c>
      <c r="AI56" s="84">
        <f>SUMIFS(RM_PM_Quantity[Quantity],RM_PM_Quantity[Date],AI$1,RM_PM_Quantity[Location],$D56,RM_PM_Quantity[Section],$C56,RM_PM_Quantity[RM Name],$E56)+IF($D56="MIND/Pre-Production",SUMIFS(RM_PM_Quantity[Quantity],RM_PM_Quantity[Date],AI$1,RM_PM_Quantity[Location],"MIDC/Pre-Production",RM_PM_Quantity[Section],$C56,RM_PM_Quantity[RM Name],$E56),0)</f>
        <v>0</v>
      </c>
      <c r="AJ56" s="84">
        <f>SUMIFS(RM_PM_Quantity[Quantity],RM_PM_Quantity[Date],AJ$1,RM_PM_Quantity[Location],$D56,RM_PM_Quantity[Section],$C56,RM_PM_Quantity[RM Name],$E56)+IF($D56="MIND/Pre-Production",SUMIFS(RM_PM_Quantity[Quantity],RM_PM_Quantity[Date],AJ$1,RM_PM_Quantity[Location],"MIDC/Pre-Production",RM_PM_Quantity[Section],$C56,RM_PM_Quantity[RM Name],$E56),0)</f>
        <v>0</v>
      </c>
      <c r="AK56" s="84">
        <f>SUMIFS(RM_PM_Quantity[Quantity],RM_PM_Quantity[Date],AK$1,RM_PM_Quantity[Location],$D56,RM_PM_Quantity[Section],$C56,RM_PM_Quantity[RM Name],$E56)+IF($D56="MIND/Pre-Production",SUMIFS(RM_PM_Quantity[Quantity],RM_PM_Quantity[Date],AK$1,RM_PM_Quantity[Location],"MIDC/Pre-Production",RM_PM_Quantity[Section],$C56,RM_PM_Quantity[RM Name],$E56),0)</f>
        <v>0</v>
      </c>
      <c r="AL56" s="84">
        <f>SUMIFS(RM_PM_Quantity[Quantity],RM_PM_Quantity[Date],AL$1,RM_PM_Quantity[Location],$D56,RM_PM_Quantity[Section],$C56,RM_PM_Quantity[RM Name],$E56)+IF($D56="MIND/Pre-Production",SUMIFS(RM_PM_Quantity[Quantity],RM_PM_Quantity[Date],AL$1,RM_PM_Quantity[Location],"MIDC/Pre-Production",RM_PM_Quantity[Section],$C56,RM_PM_Quantity[RM Name],$E56),0)</f>
        <v>0</v>
      </c>
      <c r="AM56" s="84">
        <f>SUMIFS(RM_PM_Quantity[Quantity],RM_PM_Quantity[Date],AM$1,RM_PM_Quantity[Location],$D56,RM_PM_Quantity[Section],$C56,RM_PM_Quantity[RM Name],$E56)+IF($D56="MIND/Pre-Production",SUMIFS(RM_PM_Quantity[Quantity],RM_PM_Quantity[Date],AM$1,RM_PM_Quantity[Location],"MIDC/Pre-Production",RM_PM_Quantity[Section],$C56,RM_PM_Quantity[RM Name],$E56),0)</f>
        <v>0</v>
      </c>
      <c r="AN56" s="84">
        <f>SUMIFS(RM_PM_Quantity[Quantity],RM_PM_Quantity[Date],AN$1,RM_PM_Quantity[Location],$D56,RM_PM_Quantity[Section],$C56,RM_PM_Quantity[RM Name],$E56)+IF($D56="MIND/Pre-Production",SUMIFS(RM_PM_Quantity[Quantity],RM_PM_Quantity[Date],AN$1,RM_PM_Quantity[Location],"MIDC/Pre-Production",RM_PM_Quantity[Section],$C56,RM_PM_Quantity[RM Name],$E56),0)</f>
        <v>0</v>
      </c>
      <c r="AO56" s="84">
        <f>SUMIFS(RM_PM_Quantity[Quantity],RM_PM_Quantity[Date],AO$1,RM_PM_Quantity[Location],$D56,RM_PM_Quantity[Section],$C56,RM_PM_Quantity[RM Name],$E56)+IF($D56="MIND/Pre-Production",SUMIFS(RM_PM_Quantity[Quantity],RM_PM_Quantity[Date],AO$1,RM_PM_Quantity[Location],"MIDC/Pre-Production",RM_PM_Quantity[Section],$C56,RM_PM_Quantity[RM Name],$E56),0)</f>
        <v>0</v>
      </c>
      <c r="AP56" s="84">
        <f>SUMIFS(RM_PM_Quantity[Quantity],RM_PM_Quantity[Date],AP$1,RM_PM_Quantity[Location],$D56,RM_PM_Quantity[Section],$C56,RM_PM_Quantity[RM Name],$E56)+IF($D56="MIND/Pre-Production",SUMIFS(RM_PM_Quantity[Quantity],RM_PM_Quantity[Date],AP$1,RM_PM_Quantity[Location],"MIDC/Pre-Production",RM_PM_Quantity[Section],$C56,RM_PM_Quantity[RM Name],$E56),0)</f>
        <v>0</v>
      </c>
      <c r="AQ56" s="84">
        <f>SUMIFS(RM_PM_Quantity[Quantity],RM_PM_Quantity[Date],AQ$1,RM_PM_Quantity[Location],$D56,RM_PM_Quantity[Section],$C56,RM_PM_Quantity[RM Name],$E56)+IF($D56="MIND/Pre-Production",SUMIFS(RM_PM_Quantity[Quantity],RM_PM_Quantity[Date],AQ$1,RM_PM_Quantity[Location],"MIDC/Pre-Production",RM_PM_Quantity[Section],$C56,RM_PM_Quantity[RM Name],$E56),0)</f>
        <v>0</v>
      </c>
      <c r="AR56" s="84">
        <f>SUMIFS(RM_PM_Quantity[Quantity],RM_PM_Quantity[Date],AR$1,RM_PM_Quantity[Location],$D56,RM_PM_Quantity[Section],$C56,RM_PM_Quantity[RM Name],$E56)+IF($D56="MIND/Pre-Production",SUMIFS(RM_PM_Quantity[Quantity],RM_PM_Quantity[Date],AR$1,RM_PM_Quantity[Location],"MIDC/Pre-Production",RM_PM_Quantity[Section],$C56,RM_PM_Quantity[RM Name],$E56),0)</f>
        <v>0</v>
      </c>
      <c r="AS56" s="84">
        <f>SUMIFS(RM_PM_Quantity[Quantity],RM_PM_Quantity[Date],AS$1,RM_PM_Quantity[Location],$D56,RM_PM_Quantity[Section],$C56,RM_PM_Quantity[RM Name],$E56)+IF($D56="MIND/Pre-Production",SUMIFS(RM_PM_Quantity[Quantity],RM_PM_Quantity[Date],AS$1,RM_PM_Quantity[Location],"MIDC/Pre-Production",RM_PM_Quantity[Section],$C56,RM_PM_Quantity[RM Name],$E56),0)</f>
        <v>0</v>
      </c>
      <c r="AT56" s="84">
        <f>SUMIFS(RM_PM_Quantity[Quantity],RM_PM_Quantity[Date],AT$1,RM_PM_Quantity[Location],$D56,RM_PM_Quantity[Section],$C56,RM_PM_Quantity[RM Name],$E56)+IF($D56="MIND/Pre-Production",SUMIFS(RM_PM_Quantity[Quantity],RM_PM_Quantity[Date],AT$1,RM_PM_Quantity[Location],"MIDC/Pre-Production",RM_PM_Quantity[Section],$C56,RM_PM_Quantity[RM Name],$E56),0)</f>
        <v>0</v>
      </c>
      <c r="AU56" s="84">
        <f>SUMIFS(RM_PM_Quantity[Quantity],RM_PM_Quantity[Date],AU$1,RM_PM_Quantity[Location],$D56,RM_PM_Quantity[Section],$C56,RM_PM_Quantity[RM Name],$E56)+IF($D56="MIND/Pre-Production",SUMIFS(RM_PM_Quantity[Quantity],RM_PM_Quantity[Date],AU$1,RM_PM_Quantity[Location],"MIDC/Pre-Production",RM_PM_Quantity[Section],$C56,RM_PM_Quantity[RM Name],$E56),0)</f>
        <v>0</v>
      </c>
      <c r="AV56" s="84">
        <f>SUMIFS(RM_PM_Quantity[Quantity],RM_PM_Quantity[Date],AV$1,RM_PM_Quantity[Location],$D56,RM_PM_Quantity[Section],$C56,RM_PM_Quantity[RM Name],$E56)+IF($D56="MIND/Pre-Production",SUMIFS(RM_PM_Quantity[Quantity],RM_PM_Quantity[Date],AV$1,RM_PM_Quantity[Location],"MIDC/Pre-Production",RM_PM_Quantity[Section],$C56,RM_PM_Quantity[RM Name],$E56),0)</f>
        <v>0</v>
      </c>
      <c r="AW56" s="84">
        <f>SUMIFS(RM_PM_Quantity[Quantity],RM_PM_Quantity[Date],AW$1,RM_PM_Quantity[Location],$D56,RM_PM_Quantity[Section],$C56,RM_PM_Quantity[RM Name],$E56)+IF($D56="MIND/Pre-Production",SUMIFS(RM_PM_Quantity[Quantity],RM_PM_Quantity[Date],AW$1,RM_PM_Quantity[Location],"MIDC/Pre-Production",RM_PM_Quantity[Section],$C56,RM_PM_Quantity[RM Name],$E56),0)</f>
        <v>0</v>
      </c>
      <c r="AX56" s="84">
        <f>SUMIFS(RM_PM_Quantity[Quantity],RM_PM_Quantity[Date],AX$1,RM_PM_Quantity[Location],$D56,RM_PM_Quantity[Section],$C56,RM_PM_Quantity[RM Name],$E56)+IF($D56="MIND/Pre-Production",SUMIFS(RM_PM_Quantity[Quantity],RM_PM_Quantity[Date],AX$1,RM_PM_Quantity[Location],"MIDC/Pre-Production",RM_PM_Quantity[Section],$C56,RM_PM_Quantity[RM Name],$E56),0)</f>
        <v>0</v>
      </c>
      <c r="AY56" s="84">
        <f>SUMIFS(RM_PM_Quantity[Quantity],RM_PM_Quantity[Date],AY$1,RM_PM_Quantity[Location],$D56,RM_PM_Quantity[Section],$C56,RM_PM_Quantity[RM Name],$E56)+IF($D56="MIND/Pre-Production",SUMIFS(RM_PM_Quantity[Quantity],RM_PM_Quantity[Date],AY$1,RM_PM_Quantity[Location],"MIDC/Pre-Production",RM_PM_Quantity[Section],$C56,RM_PM_Quantity[RM Name],$E56),0)</f>
        <v>0</v>
      </c>
      <c r="AZ56" s="84">
        <f>SUMIFS(RM_PM_Quantity[Quantity],RM_PM_Quantity[Date],AZ$1,RM_PM_Quantity[Location],$D56,RM_PM_Quantity[Section],$C56,RM_PM_Quantity[RM Name],$E56)+IF($D56="MIND/Pre-Production",SUMIFS(RM_PM_Quantity[Quantity],RM_PM_Quantity[Date],AZ$1,RM_PM_Quantity[Location],"MIDC/Pre-Production",RM_PM_Quantity[Section],$C56,RM_PM_Quantity[RM Name],$E56),0)</f>
        <v>0</v>
      </c>
      <c r="BA56" s="84">
        <f>SUMIFS(RM_PM_Quantity[Quantity],RM_PM_Quantity[Date],BA$1,RM_PM_Quantity[Location],$D56,RM_PM_Quantity[Section],$C56,RM_PM_Quantity[RM Name],$E56)+IF($D56="MIND/Pre-Production",SUMIFS(RM_PM_Quantity[Quantity],RM_PM_Quantity[Date],BA$1,RM_PM_Quantity[Location],"MIDC/Pre-Production",RM_PM_Quantity[Section],$C56,RM_PM_Quantity[RM Name],$E56),0)</f>
        <v>0</v>
      </c>
      <c r="BB56" s="84">
        <f>SUMIFS(RM_PM_Quantity[Quantity],RM_PM_Quantity[Date],BB$1,RM_PM_Quantity[Location],$D56,RM_PM_Quantity[Section],$C56,RM_PM_Quantity[RM Name],$E56)+IF($D56="MIND/Pre-Production",SUMIFS(RM_PM_Quantity[Quantity],RM_PM_Quantity[Date],BB$1,RM_PM_Quantity[Location],"MIDC/Pre-Production",RM_PM_Quantity[Section],$C56,RM_PM_Quantity[RM Name],$E56),0)</f>
        <v>0</v>
      </c>
      <c r="BC56" s="84">
        <f>SUMIFS(RM_PM_Quantity[Quantity],RM_PM_Quantity[Date],BC$1,RM_PM_Quantity[Location],$D56,RM_PM_Quantity[Section],$C56,RM_PM_Quantity[RM Name],$E56)+IF($D56="MIND/Pre-Production",SUMIFS(RM_PM_Quantity[Quantity],RM_PM_Quantity[Date],BC$1,RM_PM_Quantity[Location],"MIDC/Pre-Production",RM_PM_Quantity[Section],$C56,RM_PM_Quantity[RM Name],$E56),0)</f>
        <v>0</v>
      </c>
      <c r="BD56" s="84">
        <f>SUMIFS(RM_PM_Quantity[Quantity],RM_PM_Quantity[Date],BD$1,RM_PM_Quantity[Location],$D56,RM_PM_Quantity[Section],$C56,RM_PM_Quantity[RM Name],$E56)+IF($D56="MIND/Pre-Production",SUMIFS(RM_PM_Quantity[Quantity],RM_PM_Quantity[Date],BD$1,RM_PM_Quantity[Location],"MIDC/Pre-Production",RM_PM_Quantity[Section],$C56,RM_PM_Quantity[RM Name],$E56),0)</f>
        <v>0</v>
      </c>
      <c r="BE56" s="84">
        <f>SUMIFS(RM_PM_Quantity[Quantity],RM_PM_Quantity[Date],BE$1,RM_PM_Quantity[Location],$D56,RM_PM_Quantity[Section],$C56,RM_PM_Quantity[RM Name],$E56)+IF($D56="MIND/Pre-Production",SUMIFS(RM_PM_Quantity[Quantity],RM_PM_Quantity[Date],BE$1,RM_PM_Quantity[Location],"MIDC/Pre-Production",RM_PM_Quantity[Section],$C56,RM_PM_Quantity[RM Name],$E56),0)</f>
        <v>0</v>
      </c>
      <c r="BF56" s="84">
        <f>SUMIFS(RM_PM_Quantity[Quantity],RM_PM_Quantity[Date],BF$1,RM_PM_Quantity[Location],$D56,RM_PM_Quantity[Section],$C56,RM_PM_Quantity[RM Name],$E56)+IF($D56="MIND/Pre-Production",SUMIFS(RM_PM_Quantity[Quantity],RM_PM_Quantity[Date],BF$1,RM_PM_Quantity[Location],"MIDC/Pre-Production",RM_PM_Quantity[Section],$C56,RM_PM_Quantity[RM Name],$E56),0)</f>
        <v>0</v>
      </c>
      <c r="BG56" s="84">
        <f>SUMIFS(RM_PM_Quantity[Quantity],RM_PM_Quantity[Date],BG$1,RM_PM_Quantity[Location],$D56,RM_PM_Quantity[Section],$C56,RM_PM_Quantity[RM Name],$E56)+IF($D56="MIND/Pre-Production",SUMIFS(RM_PM_Quantity[Quantity],RM_PM_Quantity[Date],BG$1,RM_PM_Quantity[Location],"MIDC/Pre-Production",RM_PM_Quantity[Section],$C56,RM_PM_Quantity[RM Name],$E56),0)</f>
        <v>0</v>
      </c>
      <c r="BH56" s="84">
        <f>SUMIFS(RM_PM_Quantity[Quantity],RM_PM_Quantity[Date],BH$1,RM_PM_Quantity[Location],$D56,RM_PM_Quantity[Section],$C56,RM_PM_Quantity[RM Name],$E56)+IF($D56="MIND/Pre-Production",SUMIFS(RM_PM_Quantity[Quantity],RM_PM_Quantity[Date],BH$1,RM_PM_Quantity[Location],"MIDC/Pre-Production",RM_PM_Quantity[Section],$C56,RM_PM_Quantity[RM Name],$E56),0)</f>
        <v>0</v>
      </c>
      <c r="BI56" s="84">
        <f>SUMIFS(RM_PM_Quantity[Quantity],RM_PM_Quantity[Date],BI$1,RM_PM_Quantity[Location],$D56,RM_PM_Quantity[Section],$C56,RM_PM_Quantity[RM Name],$E56)+IF($D56="MIND/Pre-Production",SUMIFS(RM_PM_Quantity[Quantity],RM_PM_Quantity[Date],BI$1,RM_PM_Quantity[Location],"MIDC/Pre-Production",RM_PM_Quantity[Section],$C56,RM_PM_Quantity[RM Name],$E56),0)</f>
        <v>0</v>
      </c>
      <c r="BJ56" s="84">
        <f>SUMIFS(RM_PM_Quantity[Quantity],RM_PM_Quantity[Date],BJ$1,RM_PM_Quantity[Location],$D56,RM_PM_Quantity[Section],$C56,RM_PM_Quantity[RM Name],$E56)+IF($D56="MIND/Pre-Production",SUMIFS(RM_PM_Quantity[Quantity],RM_PM_Quantity[Date],BJ$1,RM_PM_Quantity[Location],"MIDC/Pre-Production",RM_PM_Quantity[Section],$C56,RM_PM_Quantity[RM Name],$E56),0)</f>
        <v>0</v>
      </c>
      <c r="BK56" s="84">
        <f>SUMIFS(RM_PM_Quantity[Quantity],RM_PM_Quantity[Date],BK$1,RM_PM_Quantity[Location],$D56,RM_PM_Quantity[Section],$C56,RM_PM_Quantity[RM Name],$E56)+IF($D56="MIND/Pre-Production",SUMIFS(RM_PM_Quantity[Quantity],RM_PM_Quantity[Date],BK$1,RM_PM_Quantity[Location],"MIDC/Pre-Production",RM_PM_Quantity[Section],$C56,RM_PM_Quantity[RM Name],$E56),0)</f>
        <v>0</v>
      </c>
      <c r="BL56" s="84">
        <f>SUMIFS(RM_PM_Quantity[Quantity],RM_PM_Quantity[Date],BL$1,RM_PM_Quantity[Location],$D56,RM_PM_Quantity[Section],$C56,RM_PM_Quantity[RM Name],$E56)+IF($D56="MIND/Pre-Production",SUMIFS(RM_PM_Quantity[Quantity],RM_PM_Quantity[Date],BL$1,RM_PM_Quantity[Location],"MIDC/Pre-Production",RM_PM_Quantity[Section],$C56,RM_PM_Quantity[RM Name],$E56),0)</f>
        <v>0</v>
      </c>
      <c r="BM56" s="84">
        <f>SUMIFS(RM_PM_Quantity[Quantity],RM_PM_Quantity[Date],BM$1,RM_PM_Quantity[Location],$D56,RM_PM_Quantity[Section],$C56,RM_PM_Quantity[RM Name],$E56)+IF($D56="MIND/Pre-Production",SUMIFS(RM_PM_Quantity[Quantity],RM_PM_Quantity[Date],BM$1,RM_PM_Quantity[Location],"MIDC/Pre-Production",RM_PM_Quantity[Section],$C56,RM_PM_Quantity[RM Name],$E56),0)</f>
        <v>0</v>
      </c>
      <c r="BN56" s="84">
        <f>SUMIFS(RM_PM_Quantity[Quantity],RM_PM_Quantity[Date],BN$1,RM_PM_Quantity[Location],$D56,RM_PM_Quantity[Section],$C56,RM_PM_Quantity[RM Name],$E56)+IF($D56="MIND/Pre-Production",SUMIFS(RM_PM_Quantity[Quantity],RM_PM_Quantity[Date],BN$1,RM_PM_Quantity[Location],"MIDC/Pre-Production",RM_PM_Quantity[Section],$C56,RM_PM_Quantity[RM Name],$E56),0)</f>
        <v>0</v>
      </c>
      <c r="BO56" s="84">
        <f>SUMIFS(RM_PM_Quantity[Quantity],RM_PM_Quantity[Date],BO$1,RM_PM_Quantity[Location],$D56,RM_PM_Quantity[Section],$C56,RM_PM_Quantity[RM Name],$E56)+IF($D56="MIND/Pre-Production",SUMIFS(RM_PM_Quantity[Quantity],RM_PM_Quantity[Date],BO$1,RM_PM_Quantity[Location],"MIDC/Pre-Production",RM_PM_Quantity[Section],$C56,RM_PM_Quantity[RM Name],$E56),0)</f>
        <v>0</v>
      </c>
      <c r="BP56" s="84">
        <f>SUMIFS(RM_PM_Quantity[Quantity],RM_PM_Quantity[Date],BP$1,RM_PM_Quantity[Location],$D56,RM_PM_Quantity[Section],$C56,RM_PM_Quantity[RM Name],$E56)+IF($D56="MIND/Pre-Production",SUMIFS(RM_PM_Quantity[Quantity],RM_PM_Quantity[Date],BP$1,RM_PM_Quantity[Location],"MIDC/Pre-Production",RM_PM_Quantity[Section],$C56,RM_PM_Quantity[RM Name],$E56),0)</f>
        <v>0</v>
      </c>
      <c r="BQ56" s="84">
        <f>SUMIFS(RM_PM_Quantity[Quantity],RM_PM_Quantity[Date],BQ$1,RM_PM_Quantity[Location],$D56,RM_PM_Quantity[Section],$C56,RM_PM_Quantity[RM Name],$E56)+IF($D56="MIND/Pre-Production",SUMIFS(RM_PM_Quantity[Quantity],RM_PM_Quantity[Date],BQ$1,RM_PM_Quantity[Location],"MIDC/Pre-Production",RM_PM_Quantity[Section],$C56,RM_PM_Quantity[RM Name],$E56),0)</f>
        <v>0</v>
      </c>
      <c r="BR56" s="84">
        <f>SUMIFS(RM_PM_Quantity[Quantity],RM_PM_Quantity[Date],BR$1,RM_PM_Quantity[Location],$D56,RM_PM_Quantity[Section],$C56,RM_PM_Quantity[RM Name],$E56)+IF($D56="MIND/Pre-Production",SUMIFS(RM_PM_Quantity[Quantity],RM_PM_Quantity[Date],BR$1,RM_PM_Quantity[Location],"MIDC/Pre-Production",RM_PM_Quantity[Section],$C56,RM_PM_Quantity[RM Name],$E56),0)</f>
        <v>0</v>
      </c>
      <c r="BS56" s="84">
        <f>SUMIFS(RM_PM_Quantity[Quantity],RM_PM_Quantity[Date],BS$1,RM_PM_Quantity[Location],$D56,RM_PM_Quantity[Section],$C56,RM_PM_Quantity[RM Name],$E56)+IF($D56="MIND/Pre-Production",SUMIFS(RM_PM_Quantity[Quantity],RM_PM_Quantity[Date],BS$1,RM_PM_Quantity[Location],"MIDC/Pre-Production",RM_PM_Quantity[Section],$C56,RM_PM_Quantity[RM Name],$E56),0)</f>
        <v>0</v>
      </c>
      <c r="BT56" s="84">
        <f>SUMIFS(RM_PM_Quantity[ID],RM_PM_Quantity[Location],BT$1,RM_PM_Quantity[Section],$D56,RM_PM_Quantity[RM Name],$C56,RM_PM_Quantity[Quantity],$E56)+IF($D56="MIND/Pre-Production",SUMIFS(RM_PM_Quantity[ID],RM_PM_Quantity[Location],BT$1,RM_PM_Quantity[Section],"MIDC/Pre-Production",RM_PM_Quantity[RM Name],$C56,RM_PM_Quantity[Quantity],$E56),0)</f>
        <v>0</v>
      </c>
      <c r="BU56" s="84">
        <f>SUMIFS(RM_PM_Quantity[Name of Supervisor],RM_PM_Quantity[Section],BU$1,RM_PM_Quantity[RM Name],$D56,RM_PM_Quantity[Quantity],$C56,RM_PM_Quantity[ID],$E56)+IF($D56="MIND/Pre-Production",SUMIFS(RM_PM_Quantity[Name of Supervisor],RM_PM_Quantity[Section],BU$1,RM_PM_Quantity[RM Name],"MIDC/Pre-Production",RM_PM_Quantity[Quantity],$C56,RM_PM_Quantity[ID],$E56),0)</f>
        <v>0</v>
      </c>
      <c r="BV56" s="84">
        <f>SUMIFS(RM_PM_Quantity[Date],RM_PM_Quantity[RM Name],BV$1,RM_PM_Quantity[Quantity],$D56,RM_PM_Quantity[ID],$C56,RM_PM_Quantity[Name of Supervisor],$E56)+IF($D56="MIND/Pre-Production",SUMIFS(RM_PM_Quantity[Date],RM_PM_Quantity[RM Name],BV$1,RM_PM_Quantity[Quantity],"MIDC/Pre-Production",RM_PM_Quantity[ID],$C56,RM_PM_Quantity[Name of Supervisor],$E56),0)</f>
        <v>0</v>
      </c>
      <c r="BW56" s="84">
        <f>SUMIFS(RM_PM_Quantity[Location],RM_PM_Quantity[Quantity],BW$1,RM_PM_Quantity[ID],$D56,RM_PM_Quantity[Name of Supervisor],$C56,RM_PM_Quantity[Date],$E56)+IF($D56="MIND/Pre-Production",SUMIFS(RM_PM_Quantity[Location],RM_PM_Quantity[Quantity],BW$1,RM_PM_Quantity[ID],"MIDC/Pre-Production",RM_PM_Quantity[Name of Supervisor],$C56,RM_PM_Quantity[Date],$E56),0)</f>
        <v>0</v>
      </c>
      <c r="BX56" s="84">
        <f>SUMIFS(RM_PM_Quantity[Section],RM_PM_Quantity[ID],BX$1,RM_PM_Quantity[Name of Supervisor],$D56,RM_PM_Quantity[Date],$C56,RM_PM_Quantity[Location],$E56)+IF($D56="MIND/Pre-Production",SUMIFS(RM_PM_Quantity[Section],RM_PM_Quantity[ID],BX$1,RM_PM_Quantity[Name of Supervisor],"MIDC/Pre-Production",RM_PM_Quantity[Date],$C56,RM_PM_Quantity[Location],$E56),0)</f>
        <v>0</v>
      </c>
      <c r="BY56" s="84">
        <f>SUMIFS(RM_PM_Quantity[RM Name],RM_PM_Quantity[Name of Supervisor],BY$1,RM_PM_Quantity[Date],$D56,RM_PM_Quantity[Location],$C56,RM_PM_Quantity[Section],$E56)+IF($D56="MIND/Pre-Production",SUMIFS(RM_PM_Quantity[RM Name],RM_PM_Quantity[Name of Supervisor],BY$1,RM_PM_Quantity[Date],"MIDC/Pre-Production",RM_PM_Quantity[Location],$C56,RM_PM_Quantity[Section],$E56),0)</f>
        <v>0</v>
      </c>
    </row>
    <row r="57" spans="1:77" ht="45.75" customHeight="1">
      <c r="A57" s="79">
        <v>56</v>
      </c>
      <c r="B57" s="87" t="s">
        <v>154</v>
      </c>
      <c r="C57" s="80" t="s">
        <v>146</v>
      </c>
      <c r="D57" s="81" t="s">
        <v>54</v>
      </c>
      <c r="E57" s="90" t="s">
        <v>155</v>
      </c>
      <c r="F57" s="83">
        <f>IFERROR(_xlfn.XLOOKUP(B57,'[1]RM Tracker'!B:B,'[1]RM Tracker'!E:E),"0")</f>
        <v>4.9800000000000004</v>
      </c>
      <c r="G57" s="85">
        <f t="shared" si="2"/>
        <v>0</v>
      </c>
      <c r="H57" s="85">
        <f t="shared" si="3"/>
        <v>-4.9800000000000004</v>
      </c>
      <c r="I57" s="91">
        <f t="shared" si="4"/>
        <v>0</v>
      </c>
      <c r="J57" s="84">
        <f>SUMIFS(RM_PM_Quantity[Quantity],RM_PM_Quantity[Date],J$1,RM_PM_Quantity[Location],$D57,RM_PM_Quantity[Section],$C57,RM_PM_Quantity[RM Name],$E57)+IF($D57="MIND/Pre-Production",SUMIFS(RM_PM_Quantity[Quantity],RM_PM_Quantity[Date],J$1,RM_PM_Quantity[Location],"MIDC/Pre-Production",RM_PM_Quantity[Section],$C57,RM_PM_Quantity[RM Name],$E57),0)</f>
        <v>0</v>
      </c>
      <c r="K57" s="84">
        <f>SUMIFS(RM_PM_Quantity[Quantity],RM_PM_Quantity[Date],K$1,RM_PM_Quantity[Location],$D57,RM_PM_Quantity[Section],$C57,RM_PM_Quantity[RM Name],$E57)+IF($D57="MIND/Pre-Production",SUMIFS(RM_PM_Quantity[Quantity],RM_PM_Quantity[Date],K$1,RM_PM_Quantity[Location],"MIDC/Pre-Production",RM_PM_Quantity[Section],$C57,RM_PM_Quantity[RM Name],$E57),0)</f>
        <v>0</v>
      </c>
      <c r="L57" s="84">
        <f>SUMIFS(RM_PM_Quantity[Quantity],RM_PM_Quantity[Date],L$1,RM_PM_Quantity[Location],$D57,RM_PM_Quantity[Section],$C57,RM_PM_Quantity[RM Name],$E57)+IF($D57="MIND/Pre-Production",SUMIFS(RM_PM_Quantity[Quantity],RM_PM_Quantity[Date],L$1,RM_PM_Quantity[Location],"MIDC/Pre-Production",RM_PM_Quantity[Section],$C57,RM_PM_Quantity[RM Name],$E57),0)</f>
        <v>0</v>
      </c>
      <c r="M57" s="84">
        <f>SUMIFS(RM_PM_Quantity[Quantity],RM_PM_Quantity[Date],M$1,RM_PM_Quantity[Location],$D57,RM_PM_Quantity[Section],$C57,RM_PM_Quantity[RM Name],$E57)+IF($D57="MIND/Pre-Production",SUMIFS(RM_PM_Quantity[Quantity],RM_PM_Quantity[Date],M$1,RM_PM_Quantity[Location],"MIDC/Pre-Production",RM_PM_Quantity[Section],$C57,RM_PM_Quantity[RM Name],$E57),0)</f>
        <v>0</v>
      </c>
      <c r="N57" s="84">
        <f>SUMIFS(RM_PM_Quantity[Quantity],RM_PM_Quantity[Date],N$1,RM_PM_Quantity[Location],$D57,RM_PM_Quantity[Section],$C57,RM_PM_Quantity[RM Name],$E57)+IF($D57="MIND/Pre-Production",SUMIFS(RM_PM_Quantity[Quantity],RM_PM_Quantity[Date],N$1,RM_PM_Quantity[Location],"MIDC/Pre-Production",RM_PM_Quantity[Section],$C57,RM_PM_Quantity[RM Name],$E57),0)</f>
        <v>0</v>
      </c>
      <c r="O57" s="84">
        <f>SUMIFS(RM_PM_Quantity[Quantity],RM_PM_Quantity[Date],O$1,RM_PM_Quantity[Location],$D57,RM_PM_Quantity[Section],$C57,RM_PM_Quantity[RM Name],$E57)+IF($D57="MIND/Pre-Production",SUMIFS(RM_PM_Quantity[Quantity],RM_PM_Quantity[Date],O$1,RM_PM_Quantity[Location],"MIDC/Pre-Production",RM_PM_Quantity[Section],$C57,RM_PM_Quantity[RM Name],$E57),0)</f>
        <v>0</v>
      </c>
      <c r="P57" s="84">
        <f>SUMIFS(RM_PM_Quantity[Quantity],RM_PM_Quantity[Date],P$1,RM_PM_Quantity[Location],$D57,RM_PM_Quantity[Section],$C57,RM_PM_Quantity[RM Name],$E57)+IF($D57="MIND/Pre-Production",SUMIFS(RM_PM_Quantity[Quantity],RM_PM_Quantity[Date],P$1,RM_PM_Quantity[Location],"MIDC/Pre-Production",RM_PM_Quantity[Section],$C57,RM_PM_Quantity[RM Name],$E57),0)</f>
        <v>0</v>
      </c>
      <c r="Q57" s="84">
        <f>SUMIFS(RM_PM_Quantity[Quantity],RM_PM_Quantity[Date],Q$1,RM_PM_Quantity[Location],$D57,RM_PM_Quantity[Section],$C57,RM_PM_Quantity[RM Name],$E57)+IF($D57="MIND/Pre-Production",SUMIFS(RM_PM_Quantity[Quantity],RM_PM_Quantity[Date],Q$1,RM_PM_Quantity[Location],"MIDC/Pre-Production",RM_PM_Quantity[Section],$C57,RM_PM_Quantity[RM Name],$E57),0)</f>
        <v>0</v>
      </c>
      <c r="R57" s="84">
        <f>SUMIFS(RM_PM_Quantity[Quantity],RM_PM_Quantity[Date],R$1,RM_PM_Quantity[Location],$D57,RM_PM_Quantity[Section],$C57,RM_PM_Quantity[RM Name],$E57)+IF($D57="MIND/Pre-Production",SUMIFS(RM_PM_Quantity[Quantity],RM_PM_Quantity[Date],R$1,RM_PM_Quantity[Location],"MIDC/Pre-Production",RM_PM_Quantity[Section],$C57,RM_PM_Quantity[RM Name],$E57),0)</f>
        <v>0</v>
      </c>
      <c r="S57" s="84">
        <f>SUMIFS(RM_PM_Quantity[Quantity],RM_PM_Quantity[Date],S$1,RM_PM_Quantity[Location],$D57,RM_PM_Quantity[Section],$C57,RM_PM_Quantity[RM Name],$E57)+IF($D57="MIND/Pre-Production",SUMIFS(RM_PM_Quantity[Quantity],RM_PM_Quantity[Date],S$1,RM_PM_Quantity[Location],"MIDC/Pre-Production",RM_PM_Quantity[Section],$C57,RM_PM_Quantity[RM Name],$E57),0)</f>
        <v>0</v>
      </c>
      <c r="T57" s="84">
        <f>SUMIFS(RM_PM_Quantity[Quantity],RM_PM_Quantity[Date],T$1,RM_PM_Quantity[Location],$D57,RM_PM_Quantity[Section],$C57,RM_PM_Quantity[RM Name],$E57)+IF($D57="MIND/Pre-Production",SUMIFS(RM_PM_Quantity[Quantity],RM_PM_Quantity[Date],T$1,RM_PM_Quantity[Location],"MIDC/Pre-Production",RM_PM_Quantity[Section],$C57,RM_PM_Quantity[RM Name],$E57),0)</f>
        <v>0</v>
      </c>
      <c r="U57" s="84">
        <f>SUMIFS(RM_PM_Quantity[Quantity],RM_PM_Quantity[Date],U$1,RM_PM_Quantity[Location],$D57,RM_PM_Quantity[Section],$C57,RM_PM_Quantity[RM Name],$E57)+IF($D57="MIND/Pre-Production",SUMIFS(RM_PM_Quantity[Quantity],RM_PM_Quantity[Date],U$1,RM_PM_Quantity[Location],"MIDC/Pre-Production",RM_PM_Quantity[Section],$C57,RM_PM_Quantity[RM Name],$E57),0)</f>
        <v>0</v>
      </c>
      <c r="V57" s="84">
        <f>SUMIFS(RM_PM_Quantity[Quantity],RM_PM_Quantity[Date],V$1,RM_PM_Quantity[Location],$D57,RM_PM_Quantity[Section],$C57,RM_PM_Quantity[RM Name],$E57)+IF($D57="MIND/Pre-Production",SUMIFS(RM_PM_Quantity[Quantity],RM_PM_Quantity[Date],V$1,RM_PM_Quantity[Location],"MIDC/Pre-Production",RM_PM_Quantity[Section],$C57,RM_PM_Quantity[RM Name],$E57),0)</f>
        <v>0</v>
      </c>
      <c r="W57" s="84">
        <f>SUMIFS(RM_PM_Quantity[Quantity],RM_PM_Quantity[Date],W$1,RM_PM_Quantity[Location],$D57,RM_PM_Quantity[Section],$C57,RM_PM_Quantity[RM Name],$E57)+IF($D57="MIND/Pre-Production",SUMIFS(RM_PM_Quantity[Quantity],RM_PM_Quantity[Date],W$1,RM_PM_Quantity[Location],"MIDC/Pre-Production",RM_PM_Quantity[Section],$C57,RM_PM_Quantity[RM Name],$E57),0)</f>
        <v>0</v>
      </c>
      <c r="X57" s="84">
        <f>SUMIFS(RM_PM_Quantity[Quantity],RM_PM_Quantity[Date],X$1,RM_PM_Quantity[Location],$D57,RM_PM_Quantity[Section],$C57,RM_PM_Quantity[RM Name],$E57)+IF($D57="MIND/Pre-Production",SUMIFS(RM_PM_Quantity[Quantity],RM_PM_Quantity[Date],X$1,RM_PM_Quantity[Location],"MIDC/Pre-Production",RM_PM_Quantity[Section],$C57,RM_PM_Quantity[RM Name],$E57),0)</f>
        <v>0</v>
      </c>
      <c r="Y57" s="84">
        <f>SUMIFS(RM_PM_Quantity[Quantity],RM_PM_Quantity[Date],Y$1,RM_PM_Quantity[Location],$D57,RM_PM_Quantity[Section],$C57,RM_PM_Quantity[RM Name],$E57)+IF($D57="MIND/Pre-Production",SUMIFS(RM_PM_Quantity[Quantity],RM_PM_Quantity[Date],Y$1,RM_PM_Quantity[Location],"MIDC/Pre-Production",RM_PM_Quantity[Section],$C57,RM_PM_Quantity[RM Name],$E57),0)</f>
        <v>0</v>
      </c>
      <c r="Z57" s="84">
        <f>SUMIFS(RM_PM_Quantity[Quantity],RM_PM_Quantity[Date],Z$1,RM_PM_Quantity[Location],$D57,RM_PM_Quantity[Section],$C57,RM_PM_Quantity[RM Name],$E57)+IF($D57="MIND/Pre-Production",SUMIFS(RM_PM_Quantity[Quantity],RM_PM_Quantity[Date],Z$1,RM_PM_Quantity[Location],"MIDC/Pre-Production",RM_PM_Quantity[Section],$C57,RM_PM_Quantity[RM Name],$E57),0)</f>
        <v>0</v>
      </c>
      <c r="AA57" s="84">
        <f>SUMIFS(RM_PM_Quantity[Quantity],RM_PM_Quantity[Date],AA$1,RM_PM_Quantity[Location],$D57,RM_PM_Quantity[Section],$C57,RM_PM_Quantity[RM Name],$E57)+IF($D57="MIND/Pre-Production",SUMIFS(RM_PM_Quantity[Quantity],RM_PM_Quantity[Date],AA$1,RM_PM_Quantity[Location],"MIDC/Pre-Production",RM_PM_Quantity[Section],$C57,RM_PM_Quantity[RM Name],$E57),0)</f>
        <v>0</v>
      </c>
      <c r="AB57" s="84">
        <f>SUMIFS(RM_PM_Quantity[Quantity],RM_PM_Quantity[Date],AB$1,RM_PM_Quantity[Location],$D57,RM_PM_Quantity[Section],$C57,RM_PM_Quantity[RM Name],$E57)+IF($D57="MIND/Pre-Production",SUMIFS(RM_PM_Quantity[Quantity],RM_PM_Quantity[Date],AB$1,RM_PM_Quantity[Location],"MIDC/Pre-Production",RM_PM_Quantity[Section],$C57,RM_PM_Quantity[RM Name],$E57),0)</f>
        <v>0</v>
      </c>
      <c r="AC57" s="84">
        <f>SUMIFS(RM_PM_Quantity[Quantity],RM_PM_Quantity[Date],AC$1,RM_PM_Quantity[Location],$D57,RM_PM_Quantity[Section],$C57,RM_PM_Quantity[RM Name],$E57)+IF($D57="MIND/Pre-Production",SUMIFS(RM_PM_Quantity[Quantity],RM_PM_Quantity[Date],AC$1,RM_PM_Quantity[Location],"MIDC/Pre-Production",RM_PM_Quantity[Section],$C57,RM_PM_Quantity[RM Name],$E57),0)</f>
        <v>0</v>
      </c>
      <c r="AD57" s="84">
        <f>SUMIFS(RM_PM_Quantity[Quantity],RM_PM_Quantity[Date],AD$1,RM_PM_Quantity[Location],$D57,RM_PM_Quantity[Section],$C57,RM_PM_Quantity[RM Name],$E57)+IF($D57="MIND/Pre-Production",SUMIFS(RM_PM_Quantity[Quantity],RM_PM_Quantity[Date],AD$1,RM_PM_Quantity[Location],"MIDC/Pre-Production",RM_PM_Quantity[Section],$C57,RM_PM_Quantity[RM Name],$E57),0)</f>
        <v>0</v>
      </c>
      <c r="AE57" s="84">
        <f>SUMIFS(RM_PM_Quantity[Quantity],RM_PM_Quantity[Date],AE$1,RM_PM_Quantity[Location],$D57,RM_PM_Quantity[Section],$C57,RM_PM_Quantity[RM Name],$E57)+IF($D57="MIND/Pre-Production",SUMIFS(RM_PM_Quantity[Quantity],RM_PM_Quantity[Date],AE$1,RM_PM_Quantity[Location],"MIDC/Pre-Production",RM_PM_Quantity[Section],$C57,RM_PM_Quantity[RM Name],$E57),0)</f>
        <v>0</v>
      </c>
      <c r="AF57" s="84">
        <f>SUMIFS(RM_PM_Quantity[Quantity],RM_PM_Quantity[Date],AF$1,RM_PM_Quantity[Location],$D57,RM_PM_Quantity[Section],$C57,RM_PM_Quantity[RM Name],$E57)+IF($D57="MIND/Pre-Production",SUMIFS(RM_PM_Quantity[Quantity],RM_PM_Quantity[Date],AF$1,RM_PM_Quantity[Location],"MIDC/Pre-Production",RM_PM_Quantity[Section],$C57,RM_PM_Quantity[RM Name],$E57),0)</f>
        <v>0</v>
      </c>
      <c r="AG57" s="84">
        <f>SUMIFS(RM_PM_Quantity[Quantity],RM_PM_Quantity[Date],AG$1,RM_PM_Quantity[Location],$D57,RM_PM_Quantity[Section],$C57,RM_PM_Quantity[RM Name],$E57)+IF($D57="MIND/Pre-Production",SUMIFS(RM_PM_Quantity[Quantity],RM_PM_Quantity[Date],AG$1,RM_PM_Quantity[Location],"MIDC/Pre-Production",RM_PM_Quantity[Section],$C57,RM_PM_Quantity[RM Name],$E57),0)</f>
        <v>0</v>
      </c>
      <c r="AH57" s="84">
        <f>SUMIFS(RM_PM_Quantity[Quantity],RM_PM_Quantity[Date],AH$1,RM_PM_Quantity[Location],$D57,RM_PM_Quantity[Section],$C57,RM_PM_Quantity[RM Name],$E57)+IF($D57="MIND/Pre-Production",SUMIFS(RM_PM_Quantity[Quantity],RM_PM_Quantity[Date],AH$1,RM_PM_Quantity[Location],"MIDC/Pre-Production",RM_PM_Quantity[Section],$C57,RM_PM_Quantity[RM Name],$E57),0)</f>
        <v>0</v>
      </c>
      <c r="AI57" s="84">
        <f>SUMIFS(RM_PM_Quantity[Quantity],RM_PM_Quantity[Date],AI$1,RM_PM_Quantity[Location],$D57,RM_PM_Quantity[Section],$C57,RM_PM_Quantity[RM Name],$E57)+IF($D57="MIND/Pre-Production",SUMIFS(RM_PM_Quantity[Quantity],RM_PM_Quantity[Date],AI$1,RM_PM_Quantity[Location],"MIDC/Pre-Production",RM_PM_Quantity[Section],$C57,RM_PM_Quantity[RM Name],$E57),0)</f>
        <v>0</v>
      </c>
      <c r="AJ57" s="84">
        <f>SUMIFS(RM_PM_Quantity[Quantity],RM_PM_Quantity[Date],AJ$1,RM_PM_Quantity[Location],$D57,RM_PM_Quantity[Section],$C57,RM_PM_Quantity[RM Name],$E57)+IF($D57="MIND/Pre-Production",SUMIFS(RM_PM_Quantity[Quantity],RM_PM_Quantity[Date],AJ$1,RM_PM_Quantity[Location],"MIDC/Pre-Production",RM_PM_Quantity[Section],$C57,RM_PM_Quantity[RM Name],$E57),0)</f>
        <v>16</v>
      </c>
      <c r="AK57" s="84">
        <f>SUMIFS(RM_PM_Quantity[Quantity],RM_PM_Quantity[Date],AK$1,RM_PM_Quantity[Location],$D57,RM_PM_Quantity[Section],$C57,RM_PM_Quantity[RM Name],$E57)+IF($D57="MIND/Pre-Production",SUMIFS(RM_PM_Quantity[Quantity],RM_PM_Quantity[Date],AK$1,RM_PM_Quantity[Location],"MIDC/Pre-Production",RM_PM_Quantity[Section],$C57,RM_PM_Quantity[RM Name],$E57),0)</f>
        <v>0</v>
      </c>
      <c r="AL57" s="84">
        <f>SUMIFS(RM_PM_Quantity[Quantity],RM_PM_Quantity[Date],AL$1,RM_PM_Quantity[Location],$D57,RM_PM_Quantity[Section],$C57,RM_PM_Quantity[RM Name],$E57)+IF($D57="MIND/Pre-Production",SUMIFS(RM_PM_Quantity[Quantity],RM_PM_Quantity[Date],AL$1,RM_PM_Quantity[Location],"MIDC/Pre-Production",RM_PM_Quantity[Section],$C57,RM_PM_Quantity[RM Name],$E57),0)</f>
        <v>0</v>
      </c>
      <c r="AM57" s="84">
        <f>SUMIFS(RM_PM_Quantity[Quantity],RM_PM_Quantity[Date],AM$1,RM_PM_Quantity[Location],$D57,RM_PM_Quantity[Section],$C57,RM_PM_Quantity[RM Name],$E57)+IF($D57="MIND/Pre-Production",SUMIFS(RM_PM_Quantity[Quantity],RM_PM_Quantity[Date],AM$1,RM_PM_Quantity[Location],"MIDC/Pre-Production",RM_PM_Quantity[Section],$C57,RM_PM_Quantity[RM Name],$E57),0)</f>
        <v>0</v>
      </c>
      <c r="AN57" s="84">
        <f>SUMIFS(RM_PM_Quantity[Quantity],RM_PM_Quantity[Date],AN$1,RM_PM_Quantity[Location],$D57,RM_PM_Quantity[Section],$C57,RM_PM_Quantity[RM Name],$E57)+IF($D57="MIND/Pre-Production",SUMIFS(RM_PM_Quantity[Quantity],RM_PM_Quantity[Date],AN$1,RM_PM_Quantity[Location],"MIDC/Pre-Production",RM_PM_Quantity[Section],$C57,RM_PM_Quantity[RM Name],$E57),0)</f>
        <v>0</v>
      </c>
      <c r="AO57" s="84">
        <f>SUMIFS(RM_PM_Quantity[Quantity],RM_PM_Quantity[Date],AO$1,RM_PM_Quantity[Location],$D57,RM_PM_Quantity[Section],$C57,RM_PM_Quantity[RM Name],$E57)+IF($D57="MIND/Pre-Production",SUMIFS(RM_PM_Quantity[Quantity],RM_PM_Quantity[Date],AO$1,RM_PM_Quantity[Location],"MIDC/Pre-Production",RM_PM_Quantity[Section],$C57,RM_PM_Quantity[RM Name],$E57),0)</f>
        <v>0</v>
      </c>
      <c r="AP57" s="84">
        <f>SUMIFS(RM_PM_Quantity[Quantity],RM_PM_Quantity[Date],AP$1,RM_PM_Quantity[Location],$D57,RM_PM_Quantity[Section],$C57,RM_PM_Quantity[RM Name],$E57)+IF($D57="MIND/Pre-Production",SUMIFS(RM_PM_Quantity[Quantity],RM_PM_Quantity[Date],AP$1,RM_PM_Quantity[Location],"MIDC/Pre-Production",RM_PM_Quantity[Section],$C57,RM_PM_Quantity[RM Name],$E57),0)</f>
        <v>0</v>
      </c>
      <c r="AQ57" s="84">
        <f>SUMIFS(RM_PM_Quantity[Quantity],RM_PM_Quantity[Date],AQ$1,RM_PM_Quantity[Location],$D57,RM_PM_Quantity[Section],$C57,RM_PM_Quantity[RM Name],$E57)+IF($D57="MIND/Pre-Production",SUMIFS(RM_PM_Quantity[Quantity],RM_PM_Quantity[Date],AQ$1,RM_PM_Quantity[Location],"MIDC/Pre-Production",RM_PM_Quantity[Section],$C57,RM_PM_Quantity[RM Name],$E57),0)</f>
        <v>0</v>
      </c>
      <c r="AR57" s="84">
        <f>SUMIFS(RM_PM_Quantity[Quantity],RM_PM_Quantity[Date],AR$1,RM_PM_Quantity[Location],$D57,RM_PM_Quantity[Section],$C57,RM_PM_Quantity[RM Name],$E57)+IF($D57="MIND/Pre-Production",SUMIFS(RM_PM_Quantity[Quantity],RM_PM_Quantity[Date],AR$1,RM_PM_Quantity[Location],"MIDC/Pre-Production",RM_PM_Quantity[Section],$C57,RM_PM_Quantity[RM Name],$E57),0)</f>
        <v>0</v>
      </c>
      <c r="AS57" s="84">
        <f>SUMIFS(RM_PM_Quantity[Quantity],RM_PM_Quantity[Date],AS$1,RM_PM_Quantity[Location],$D57,RM_PM_Quantity[Section],$C57,RM_PM_Quantity[RM Name],$E57)+IF($D57="MIND/Pre-Production",SUMIFS(RM_PM_Quantity[Quantity],RM_PM_Quantity[Date],AS$1,RM_PM_Quantity[Location],"MIDC/Pre-Production",RM_PM_Quantity[Section],$C57,RM_PM_Quantity[RM Name],$E57),0)</f>
        <v>0</v>
      </c>
      <c r="AT57" s="84">
        <f>SUMIFS(RM_PM_Quantity[Quantity],RM_PM_Quantity[Date],AT$1,RM_PM_Quantity[Location],$D57,RM_PM_Quantity[Section],$C57,RM_PM_Quantity[RM Name],$E57)+IF($D57="MIND/Pre-Production",SUMIFS(RM_PM_Quantity[Quantity],RM_PM_Quantity[Date],AT$1,RM_PM_Quantity[Location],"MIDC/Pre-Production",RM_PM_Quantity[Section],$C57,RM_PM_Quantity[RM Name],$E57),0)</f>
        <v>0</v>
      </c>
      <c r="AU57" s="84">
        <f>SUMIFS(RM_PM_Quantity[Quantity],RM_PM_Quantity[Date],AU$1,RM_PM_Quantity[Location],$D57,RM_PM_Quantity[Section],$C57,RM_PM_Quantity[RM Name],$E57)+IF($D57="MIND/Pre-Production",SUMIFS(RM_PM_Quantity[Quantity],RM_PM_Quantity[Date],AU$1,RM_PM_Quantity[Location],"MIDC/Pre-Production",RM_PM_Quantity[Section],$C57,RM_PM_Quantity[RM Name],$E57),0)</f>
        <v>0</v>
      </c>
      <c r="AV57" s="84">
        <f>SUMIFS(RM_PM_Quantity[Quantity],RM_PM_Quantity[Date],AV$1,RM_PM_Quantity[Location],$D57,RM_PM_Quantity[Section],$C57,RM_PM_Quantity[RM Name],$E57)+IF($D57="MIND/Pre-Production",SUMIFS(RM_PM_Quantity[Quantity],RM_PM_Quantity[Date],AV$1,RM_PM_Quantity[Location],"MIDC/Pre-Production",RM_PM_Quantity[Section],$C57,RM_PM_Quantity[RM Name],$E57),0)</f>
        <v>0</v>
      </c>
      <c r="AW57" s="84">
        <f>SUMIFS(RM_PM_Quantity[Quantity],RM_PM_Quantity[Date],AW$1,RM_PM_Quantity[Location],$D57,RM_PM_Quantity[Section],$C57,RM_PM_Quantity[RM Name],$E57)+IF($D57="MIND/Pre-Production",SUMIFS(RM_PM_Quantity[Quantity],RM_PM_Quantity[Date],AW$1,RM_PM_Quantity[Location],"MIDC/Pre-Production",RM_PM_Quantity[Section],$C57,RM_PM_Quantity[RM Name],$E57),0)</f>
        <v>0</v>
      </c>
      <c r="AX57" s="84">
        <f>SUMIFS(RM_PM_Quantity[Quantity],RM_PM_Quantity[Date],AX$1,RM_PM_Quantity[Location],$D57,RM_PM_Quantity[Section],$C57,RM_PM_Quantity[RM Name],$E57)+IF($D57="MIND/Pre-Production",SUMIFS(RM_PM_Quantity[Quantity],RM_PM_Quantity[Date],AX$1,RM_PM_Quantity[Location],"MIDC/Pre-Production",RM_PM_Quantity[Section],$C57,RM_PM_Quantity[RM Name],$E57),0)</f>
        <v>0</v>
      </c>
      <c r="AY57" s="84">
        <f>SUMIFS(RM_PM_Quantity[Quantity],RM_PM_Quantity[Date],AY$1,RM_PM_Quantity[Location],$D57,RM_PM_Quantity[Section],$C57,RM_PM_Quantity[RM Name],$E57)+IF($D57="MIND/Pre-Production",SUMIFS(RM_PM_Quantity[Quantity],RM_PM_Quantity[Date],AY$1,RM_PM_Quantity[Location],"MIDC/Pre-Production",RM_PM_Quantity[Section],$C57,RM_PM_Quantity[RM Name],$E57),0)</f>
        <v>0</v>
      </c>
      <c r="AZ57" s="84">
        <f>SUMIFS(RM_PM_Quantity[Quantity],RM_PM_Quantity[Date],AZ$1,RM_PM_Quantity[Location],$D57,RM_PM_Quantity[Section],$C57,RM_PM_Quantity[RM Name],$E57)+IF($D57="MIND/Pre-Production",SUMIFS(RM_PM_Quantity[Quantity],RM_PM_Quantity[Date],AZ$1,RM_PM_Quantity[Location],"MIDC/Pre-Production",RM_PM_Quantity[Section],$C57,RM_PM_Quantity[RM Name],$E57),0)</f>
        <v>0</v>
      </c>
      <c r="BA57" s="84">
        <f>SUMIFS(RM_PM_Quantity[Quantity],RM_PM_Quantity[Date],BA$1,RM_PM_Quantity[Location],$D57,RM_PM_Quantity[Section],$C57,RM_PM_Quantity[RM Name],$E57)+IF($D57="MIND/Pre-Production",SUMIFS(RM_PM_Quantity[Quantity],RM_PM_Quantity[Date],BA$1,RM_PM_Quantity[Location],"MIDC/Pre-Production",RM_PM_Quantity[Section],$C57,RM_PM_Quantity[RM Name],$E57),0)</f>
        <v>0</v>
      </c>
      <c r="BB57" s="84">
        <f>SUMIFS(RM_PM_Quantity[Quantity],RM_PM_Quantity[Date],BB$1,RM_PM_Quantity[Location],$D57,RM_PM_Quantity[Section],$C57,RM_PM_Quantity[RM Name],$E57)+IF($D57="MIND/Pre-Production",SUMIFS(RM_PM_Quantity[Quantity],RM_PM_Quantity[Date],BB$1,RM_PM_Quantity[Location],"MIDC/Pre-Production",RM_PM_Quantity[Section],$C57,RM_PM_Quantity[RM Name],$E57),0)</f>
        <v>0</v>
      </c>
      <c r="BC57" s="84">
        <f>SUMIFS(RM_PM_Quantity[Quantity],RM_PM_Quantity[Date],BC$1,RM_PM_Quantity[Location],$D57,RM_PM_Quantity[Section],$C57,RM_PM_Quantity[RM Name],$E57)+IF($D57="MIND/Pre-Production",SUMIFS(RM_PM_Quantity[Quantity],RM_PM_Quantity[Date],BC$1,RM_PM_Quantity[Location],"MIDC/Pre-Production",RM_PM_Quantity[Section],$C57,RM_PM_Quantity[RM Name],$E57),0)</f>
        <v>0</v>
      </c>
      <c r="BD57" s="84">
        <f>SUMIFS(RM_PM_Quantity[Quantity],RM_PM_Quantity[Date],BD$1,RM_PM_Quantity[Location],$D57,RM_PM_Quantity[Section],$C57,RM_PM_Quantity[RM Name],$E57)+IF($D57="MIND/Pre-Production",SUMIFS(RM_PM_Quantity[Quantity],RM_PM_Quantity[Date],BD$1,RM_PM_Quantity[Location],"MIDC/Pre-Production",RM_PM_Quantity[Section],$C57,RM_PM_Quantity[RM Name],$E57),0)</f>
        <v>0</v>
      </c>
      <c r="BE57" s="84">
        <f>SUMIFS(RM_PM_Quantity[Quantity],RM_PM_Quantity[Date],BE$1,RM_PM_Quantity[Location],$D57,RM_PM_Quantity[Section],$C57,RM_PM_Quantity[RM Name],$E57)+IF($D57="MIND/Pre-Production",SUMIFS(RM_PM_Quantity[Quantity],RM_PM_Quantity[Date],BE$1,RM_PM_Quantity[Location],"MIDC/Pre-Production",RM_PM_Quantity[Section],$C57,RM_PM_Quantity[RM Name],$E57),0)</f>
        <v>0</v>
      </c>
      <c r="BF57" s="84">
        <f>SUMIFS(RM_PM_Quantity[Quantity],RM_PM_Quantity[Date],BF$1,RM_PM_Quantity[Location],$D57,RM_PM_Quantity[Section],$C57,RM_PM_Quantity[RM Name],$E57)+IF($D57="MIND/Pre-Production",SUMIFS(RM_PM_Quantity[Quantity],RM_PM_Quantity[Date],BF$1,RM_PM_Quantity[Location],"MIDC/Pre-Production",RM_PM_Quantity[Section],$C57,RM_PM_Quantity[RM Name],$E57),0)</f>
        <v>0</v>
      </c>
      <c r="BG57" s="84">
        <f>SUMIFS(RM_PM_Quantity[Quantity],RM_PM_Quantity[Date],BG$1,RM_PM_Quantity[Location],$D57,RM_PM_Quantity[Section],$C57,RM_PM_Quantity[RM Name],$E57)+IF($D57="MIND/Pre-Production",SUMIFS(RM_PM_Quantity[Quantity],RM_PM_Quantity[Date],BG$1,RM_PM_Quantity[Location],"MIDC/Pre-Production",RM_PM_Quantity[Section],$C57,RM_PM_Quantity[RM Name],$E57),0)</f>
        <v>0</v>
      </c>
      <c r="BH57" s="84">
        <f>SUMIFS(RM_PM_Quantity[Quantity],RM_PM_Quantity[Date],BH$1,RM_PM_Quantity[Location],$D57,RM_PM_Quantity[Section],$C57,RM_PM_Quantity[RM Name],$E57)+IF($D57="MIND/Pre-Production",SUMIFS(RM_PM_Quantity[Quantity],RM_PM_Quantity[Date],BH$1,RM_PM_Quantity[Location],"MIDC/Pre-Production",RM_PM_Quantity[Section],$C57,RM_PM_Quantity[RM Name],$E57),0)</f>
        <v>0</v>
      </c>
      <c r="BI57" s="84">
        <f>SUMIFS(RM_PM_Quantity[Quantity],RM_PM_Quantity[Date],BI$1,RM_PM_Quantity[Location],$D57,RM_PM_Quantity[Section],$C57,RM_PM_Quantity[RM Name],$E57)+IF($D57="MIND/Pre-Production",SUMIFS(RM_PM_Quantity[Quantity],RM_PM_Quantity[Date],BI$1,RM_PM_Quantity[Location],"MIDC/Pre-Production",RM_PM_Quantity[Section],$C57,RM_PM_Quantity[RM Name],$E57),0)</f>
        <v>0</v>
      </c>
      <c r="BJ57" s="84">
        <f>SUMIFS(RM_PM_Quantity[Quantity],RM_PM_Quantity[Date],BJ$1,RM_PM_Quantity[Location],$D57,RM_PM_Quantity[Section],$C57,RM_PM_Quantity[RM Name],$E57)+IF($D57="MIND/Pre-Production",SUMIFS(RM_PM_Quantity[Quantity],RM_PM_Quantity[Date],BJ$1,RM_PM_Quantity[Location],"MIDC/Pre-Production",RM_PM_Quantity[Section],$C57,RM_PM_Quantity[RM Name],$E57),0)</f>
        <v>0</v>
      </c>
      <c r="BK57" s="84">
        <f>SUMIFS(RM_PM_Quantity[Quantity],RM_PM_Quantity[Date],BK$1,RM_PM_Quantity[Location],$D57,RM_PM_Quantity[Section],$C57,RM_PM_Quantity[RM Name],$E57)+IF($D57="MIND/Pre-Production",SUMIFS(RM_PM_Quantity[Quantity],RM_PM_Quantity[Date],BK$1,RM_PM_Quantity[Location],"MIDC/Pre-Production",RM_PM_Quantity[Section],$C57,RM_PM_Quantity[RM Name],$E57),0)</f>
        <v>0</v>
      </c>
      <c r="BL57" s="84">
        <f>SUMIFS(RM_PM_Quantity[Quantity],RM_PM_Quantity[Date],BL$1,RM_PM_Quantity[Location],$D57,RM_PM_Quantity[Section],$C57,RM_PM_Quantity[RM Name],$E57)+IF($D57="MIND/Pre-Production",SUMIFS(RM_PM_Quantity[Quantity],RM_PM_Quantity[Date],BL$1,RM_PM_Quantity[Location],"MIDC/Pre-Production",RM_PM_Quantity[Section],$C57,RM_PM_Quantity[RM Name],$E57),0)</f>
        <v>0</v>
      </c>
      <c r="BM57" s="84">
        <f>SUMIFS(RM_PM_Quantity[Quantity],RM_PM_Quantity[Date],BM$1,RM_PM_Quantity[Location],$D57,RM_PM_Quantity[Section],$C57,RM_PM_Quantity[RM Name],$E57)+IF($D57="MIND/Pre-Production",SUMIFS(RM_PM_Quantity[Quantity],RM_PM_Quantity[Date],BM$1,RM_PM_Quantity[Location],"MIDC/Pre-Production",RM_PM_Quantity[Section],$C57,RM_PM_Quantity[RM Name],$E57),0)</f>
        <v>0</v>
      </c>
      <c r="BN57" s="84">
        <f>SUMIFS(RM_PM_Quantity[Quantity],RM_PM_Quantity[Date],BN$1,RM_PM_Quantity[Location],$D57,RM_PM_Quantity[Section],$C57,RM_PM_Quantity[RM Name],$E57)+IF($D57="MIND/Pre-Production",SUMIFS(RM_PM_Quantity[Quantity],RM_PM_Quantity[Date],BN$1,RM_PM_Quantity[Location],"MIDC/Pre-Production",RM_PM_Quantity[Section],$C57,RM_PM_Quantity[RM Name],$E57),0)</f>
        <v>0</v>
      </c>
      <c r="BO57" s="84">
        <f>SUMIFS(RM_PM_Quantity[Quantity],RM_PM_Quantity[Date],BO$1,RM_PM_Quantity[Location],$D57,RM_PM_Quantity[Section],$C57,RM_PM_Quantity[RM Name],$E57)+IF($D57="MIND/Pre-Production",SUMIFS(RM_PM_Quantity[Quantity],RM_PM_Quantity[Date],BO$1,RM_PM_Quantity[Location],"MIDC/Pre-Production",RM_PM_Quantity[Section],$C57,RM_PM_Quantity[RM Name],$E57),0)</f>
        <v>0</v>
      </c>
      <c r="BP57" s="84">
        <f>SUMIFS(RM_PM_Quantity[Quantity],RM_PM_Quantity[Date],BP$1,RM_PM_Quantity[Location],$D57,RM_PM_Quantity[Section],$C57,RM_PM_Quantity[RM Name],$E57)+IF($D57="MIND/Pre-Production",SUMIFS(RM_PM_Quantity[Quantity],RM_PM_Quantity[Date],BP$1,RM_PM_Quantity[Location],"MIDC/Pre-Production",RM_PM_Quantity[Section],$C57,RM_PM_Quantity[RM Name],$E57),0)</f>
        <v>0</v>
      </c>
      <c r="BQ57" s="84">
        <f>SUMIFS(RM_PM_Quantity[Quantity],RM_PM_Quantity[Date],BQ$1,RM_PM_Quantity[Location],$D57,RM_PM_Quantity[Section],$C57,RM_PM_Quantity[RM Name],$E57)+IF($D57="MIND/Pre-Production",SUMIFS(RM_PM_Quantity[Quantity],RM_PM_Quantity[Date],BQ$1,RM_PM_Quantity[Location],"MIDC/Pre-Production",RM_PM_Quantity[Section],$C57,RM_PM_Quantity[RM Name],$E57),0)</f>
        <v>0</v>
      </c>
      <c r="BR57" s="84">
        <f>SUMIFS(RM_PM_Quantity[Quantity],RM_PM_Quantity[Date],BR$1,RM_PM_Quantity[Location],$D57,RM_PM_Quantity[Section],$C57,RM_PM_Quantity[RM Name],$E57)+IF($D57="MIND/Pre-Production",SUMIFS(RM_PM_Quantity[Quantity],RM_PM_Quantity[Date],BR$1,RM_PM_Quantity[Location],"MIDC/Pre-Production",RM_PM_Quantity[Section],$C57,RM_PM_Quantity[RM Name],$E57),0)</f>
        <v>0</v>
      </c>
      <c r="BS57" s="84">
        <f>SUMIFS(RM_PM_Quantity[Quantity],RM_PM_Quantity[Date],BS$1,RM_PM_Quantity[Location],$D57,RM_PM_Quantity[Section],$C57,RM_PM_Quantity[RM Name],$E57)+IF($D57="MIND/Pre-Production",SUMIFS(RM_PM_Quantity[Quantity],RM_PM_Quantity[Date],BS$1,RM_PM_Quantity[Location],"MIDC/Pre-Production",RM_PM_Quantity[Section],$C57,RM_PM_Quantity[RM Name],$E57),0)</f>
        <v>0</v>
      </c>
      <c r="BT57" s="84">
        <f>SUMIFS(RM_PM_Quantity[ID],RM_PM_Quantity[Location],BT$1,RM_PM_Quantity[Section],$D57,RM_PM_Quantity[RM Name],$C57,RM_PM_Quantity[Quantity],$E57)+IF($D57="MIND/Pre-Production",SUMIFS(RM_PM_Quantity[ID],RM_PM_Quantity[Location],BT$1,RM_PM_Quantity[Section],"MIDC/Pre-Production",RM_PM_Quantity[RM Name],$C57,RM_PM_Quantity[Quantity],$E57),0)</f>
        <v>0</v>
      </c>
      <c r="BU57" s="84">
        <f>SUMIFS(RM_PM_Quantity[Name of Supervisor],RM_PM_Quantity[Section],BU$1,RM_PM_Quantity[RM Name],$D57,RM_PM_Quantity[Quantity],$C57,RM_PM_Quantity[ID],$E57)+IF($D57="MIND/Pre-Production",SUMIFS(RM_PM_Quantity[Name of Supervisor],RM_PM_Quantity[Section],BU$1,RM_PM_Quantity[RM Name],"MIDC/Pre-Production",RM_PM_Quantity[Quantity],$C57,RM_PM_Quantity[ID],$E57),0)</f>
        <v>0</v>
      </c>
      <c r="BV57" s="84">
        <f>SUMIFS(RM_PM_Quantity[Date],RM_PM_Quantity[RM Name],BV$1,RM_PM_Quantity[Quantity],$D57,RM_PM_Quantity[ID],$C57,RM_PM_Quantity[Name of Supervisor],$E57)+IF($D57="MIND/Pre-Production",SUMIFS(RM_PM_Quantity[Date],RM_PM_Quantity[RM Name],BV$1,RM_PM_Quantity[Quantity],"MIDC/Pre-Production",RM_PM_Quantity[ID],$C57,RM_PM_Quantity[Name of Supervisor],$E57),0)</f>
        <v>0</v>
      </c>
      <c r="BW57" s="84">
        <f>SUMIFS(RM_PM_Quantity[Location],RM_PM_Quantity[Quantity],BW$1,RM_PM_Quantity[ID],$D57,RM_PM_Quantity[Name of Supervisor],$C57,RM_PM_Quantity[Date],$E57)+IF($D57="MIND/Pre-Production",SUMIFS(RM_PM_Quantity[Location],RM_PM_Quantity[Quantity],BW$1,RM_PM_Quantity[ID],"MIDC/Pre-Production",RM_PM_Quantity[Name of Supervisor],$C57,RM_PM_Quantity[Date],$E57),0)</f>
        <v>0</v>
      </c>
      <c r="BX57" s="84">
        <f>SUMIFS(RM_PM_Quantity[Section],RM_PM_Quantity[ID],BX$1,RM_PM_Quantity[Name of Supervisor],$D57,RM_PM_Quantity[Date],$C57,RM_PM_Quantity[Location],$E57)+IF($D57="MIND/Pre-Production",SUMIFS(RM_PM_Quantity[Section],RM_PM_Quantity[ID],BX$1,RM_PM_Quantity[Name of Supervisor],"MIDC/Pre-Production",RM_PM_Quantity[Date],$C57,RM_PM_Quantity[Location],$E57),0)</f>
        <v>0</v>
      </c>
      <c r="BY57" s="84">
        <f>SUMIFS(RM_PM_Quantity[RM Name],RM_PM_Quantity[Name of Supervisor],BY$1,RM_PM_Quantity[Date],$D57,RM_PM_Quantity[Location],$C57,RM_PM_Quantity[Section],$E57)+IF($D57="MIND/Pre-Production",SUMIFS(RM_PM_Quantity[RM Name],RM_PM_Quantity[Name of Supervisor],BY$1,RM_PM_Quantity[Date],"MIDC/Pre-Production",RM_PM_Quantity[Location],$C57,RM_PM_Quantity[Section],$E57),0)</f>
        <v>0</v>
      </c>
    </row>
    <row r="58" spans="1:77" ht="45.75" customHeight="1">
      <c r="A58" s="79">
        <v>57</v>
      </c>
      <c r="B58" s="79" t="s">
        <v>156</v>
      </c>
      <c r="C58" s="80" t="s">
        <v>146</v>
      </c>
      <c r="D58" s="81" t="s">
        <v>54</v>
      </c>
      <c r="E58" s="90" t="s">
        <v>157</v>
      </c>
      <c r="F58" s="83">
        <f>IFERROR(_xlfn.XLOOKUP(B58,'[1]RM Tracker'!B:B,'[1]RM Tracker'!E:E),"0")</f>
        <v>36.748798029556667</v>
      </c>
      <c r="G58" s="85">
        <f t="shared" si="2"/>
        <v>0</v>
      </c>
      <c r="H58" s="85">
        <f t="shared" si="3"/>
        <v>-36.748798029556667</v>
      </c>
      <c r="I58" s="91">
        <f t="shared" si="4"/>
        <v>0</v>
      </c>
      <c r="J58" s="84">
        <f>SUMIFS(RM_PM_Quantity[Quantity],RM_PM_Quantity[Date],J$1,RM_PM_Quantity[Location],$D58,RM_PM_Quantity[Section],$C58,RM_PM_Quantity[RM Name],$E58)+IF($D58="MIND/Pre-Production",SUMIFS(RM_PM_Quantity[Quantity],RM_PM_Quantity[Date],J$1,RM_PM_Quantity[Location],"MIDC/Pre-Production",RM_PM_Quantity[Section],$C58,RM_PM_Quantity[RM Name],$E58),0)</f>
        <v>0</v>
      </c>
      <c r="K58" s="84">
        <f>SUMIFS(RM_PM_Quantity[Quantity],RM_PM_Quantity[Date],K$1,RM_PM_Quantity[Location],$D58,RM_PM_Quantity[Section],$C58,RM_PM_Quantity[RM Name],$E58)+IF($D58="MIND/Pre-Production",SUMIFS(RM_PM_Quantity[Quantity],RM_PM_Quantity[Date],K$1,RM_PM_Quantity[Location],"MIDC/Pre-Production",RM_PM_Quantity[Section],$C58,RM_PM_Quantity[RM Name],$E58),0)</f>
        <v>0</v>
      </c>
      <c r="L58" s="84">
        <f>SUMIFS(RM_PM_Quantity[Quantity],RM_PM_Quantity[Date],L$1,RM_PM_Quantity[Location],$D58,RM_PM_Quantity[Section],$C58,RM_PM_Quantity[RM Name],$E58)+IF($D58="MIND/Pre-Production",SUMIFS(RM_PM_Quantity[Quantity],RM_PM_Quantity[Date],L$1,RM_PM_Quantity[Location],"MIDC/Pre-Production",RM_PM_Quantity[Section],$C58,RM_PM_Quantity[RM Name],$E58),0)</f>
        <v>0</v>
      </c>
      <c r="M58" s="84">
        <f>SUMIFS(RM_PM_Quantity[Quantity],RM_PM_Quantity[Date],M$1,RM_PM_Quantity[Location],$D58,RM_PM_Quantity[Section],$C58,RM_PM_Quantity[RM Name],$E58)+IF($D58="MIND/Pre-Production",SUMIFS(RM_PM_Quantity[Quantity],RM_PM_Quantity[Date],M$1,RM_PM_Quantity[Location],"MIDC/Pre-Production",RM_PM_Quantity[Section],$C58,RM_PM_Quantity[RM Name],$E58),0)</f>
        <v>0</v>
      </c>
      <c r="N58" s="84">
        <f>SUMIFS(RM_PM_Quantity[Quantity],RM_PM_Quantity[Date],N$1,RM_PM_Quantity[Location],$D58,RM_PM_Quantity[Section],$C58,RM_PM_Quantity[RM Name],$E58)+IF($D58="MIND/Pre-Production",SUMIFS(RM_PM_Quantity[Quantity],RM_PM_Quantity[Date],N$1,RM_PM_Quantity[Location],"MIDC/Pre-Production",RM_PM_Quantity[Section],$C58,RM_PM_Quantity[RM Name],$E58),0)</f>
        <v>0</v>
      </c>
      <c r="O58" s="84">
        <f>SUMIFS(RM_PM_Quantity[Quantity],RM_PM_Quantity[Date],O$1,RM_PM_Quantity[Location],$D58,RM_PM_Quantity[Section],$C58,RM_PM_Quantity[RM Name],$E58)+IF($D58="MIND/Pre-Production",SUMIFS(RM_PM_Quantity[Quantity],RM_PM_Quantity[Date],O$1,RM_PM_Quantity[Location],"MIDC/Pre-Production",RM_PM_Quantity[Section],$C58,RM_PM_Quantity[RM Name],$E58),0)</f>
        <v>0</v>
      </c>
      <c r="P58" s="84">
        <f>SUMIFS(RM_PM_Quantity[Quantity],RM_PM_Quantity[Date],P$1,RM_PM_Quantity[Location],$D58,RM_PM_Quantity[Section],$C58,RM_PM_Quantity[RM Name],$E58)+IF($D58="MIND/Pre-Production",SUMIFS(RM_PM_Quantity[Quantity],RM_PM_Quantity[Date],P$1,RM_PM_Quantity[Location],"MIDC/Pre-Production",RM_PM_Quantity[Section],$C58,RM_PM_Quantity[RM Name],$E58),0)</f>
        <v>0</v>
      </c>
      <c r="Q58" s="84">
        <f>SUMIFS(RM_PM_Quantity[Quantity],RM_PM_Quantity[Date],Q$1,RM_PM_Quantity[Location],$D58,RM_PM_Quantity[Section],$C58,RM_PM_Quantity[RM Name],$E58)+IF($D58="MIND/Pre-Production",SUMIFS(RM_PM_Quantity[Quantity],RM_PM_Quantity[Date],Q$1,RM_PM_Quantity[Location],"MIDC/Pre-Production",RM_PM_Quantity[Section],$C58,RM_PM_Quantity[RM Name],$E58),0)</f>
        <v>0</v>
      </c>
      <c r="R58" s="84">
        <f>SUMIFS(RM_PM_Quantity[Quantity],RM_PM_Quantity[Date],R$1,RM_PM_Quantity[Location],$D58,RM_PM_Quantity[Section],$C58,RM_PM_Quantity[RM Name],$E58)+IF($D58="MIND/Pre-Production",SUMIFS(RM_PM_Quantity[Quantity],RM_PM_Quantity[Date],R$1,RM_PM_Quantity[Location],"MIDC/Pre-Production",RM_PM_Quantity[Section],$C58,RM_PM_Quantity[RM Name],$E58),0)</f>
        <v>0</v>
      </c>
      <c r="S58" s="84">
        <f>SUMIFS(RM_PM_Quantity[Quantity],RM_PM_Quantity[Date],S$1,RM_PM_Quantity[Location],$D58,RM_PM_Quantity[Section],$C58,RM_PM_Quantity[RM Name],$E58)+IF($D58="MIND/Pre-Production",SUMIFS(RM_PM_Quantity[Quantity],RM_PM_Quantity[Date],S$1,RM_PM_Quantity[Location],"MIDC/Pre-Production",RM_PM_Quantity[Section],$C58,RM_PM_Quantity[RM Name],$E58),0)</f>
        <v>0</v>
      </c>
      <c r="T58" s="84">
        <f>SUMIFS(RM_PM_Quantity[Quantity],RM_PM_Quantity[Date],T$1,RM_PM_Quantity[Location],$D58,RM_PM_Quantity[Section],$C58,RM_PM_Quantity[RM Name],$E58)+IF($D58="MIND/Pre-Production",SUMIFS(RM_PM_Quantity[Quantity],RM_PM_Quantity[Date],T$1,RM_PM_Quantity[Location],"MIDC/Pre-Production",RM_PM_Quantity[Section],$C58,RM_PM_Quantity[RM Name],$E58),0)</f>
        <v>0</v>
      </c>
      <c r="U58" s="84">
        <f>SUMIFS(RM_PM_Quantity[Quantity],RM_PM_Quantity[Date],U$1,RM_PM_Quantity[Location],$D58,RM_PM_Quantity[Section],$C58,RM_PM_Quantity[RM Name],$E58)+IF($D58="MIND/Pre-Production",SUMIFS(RM_PM_Quantity[Quantity],RM_PM_Quantity[Date],U$1,RM_PM_Quantity[Location],"MIDC/Pre-Production",RM_PM_Quantity[Section],$C58,RM_PM_Quantity[RM Name],$E58),0)</f>
        <v>0</v>
      </c>
      <c r="V58" s="84">
        <f>SUMIFS(RM_PM_Quantity[Quantity],RM_PM_Quantity[Date],V$1,RM_PM_Quantity[Location],$D58,RM_PM_Quantity[Section],$C58,RM_PM_Quantity[RM Name],$E58)+IF($D58="MIND/Pre-Production",SUMIFS(RM_PM_Quantity[Quantity],RM_PM_Quantity[Date],V$1,RM_PM_Quantity[Location],"MIDC/Pre-Production",RM_PM_Quantity[Section],$C58,RM_PM_Quantity[RM Name],$E58),0)</f>
        <v>0</v>
      </c>
      <c r="W58" s="84">
        <f>SUMIFS(RM_PM_Quantity[Quantity],RM_PM_Quantity[Date],W$1,RM_PM_Quantity[Location],$D58,RM_PM_Quantity[Section],$C58,RM_PM_Quantity[RM Name],$E58)+IF($D58="MIND/Pre-Production",SUMIFS(RM_PM_Quantity[Quantity],RM_PM_Quantity[Date],W$1,RM_PM_Quantity[Location],"MIDC/Pre-Production",RM_PM_Quantity[Section],$C58,RM_PM_Quantity[RM Name],$E58),0)</f>
        <v>0</v>
      </c>
      <c r="X58" s="84">
        <f>SUMIFS(RM_PM_Quantity[Quantity],RM_PM_Quantity[Date],X$1,RM_PM_Quantity[Location],$D58,RM_PM_Quantity[Section],$C58,RM_PM_Quantity[RM Name],$E58)+IF($D58="MIND/Pre-Production",SUMIFS(RM_PM_Quantity[Quantity],RM_PM_Quantity[Date],X$1,RM_PM_Quantity[Location],"MIDC/Pre-Production",RM_PM_Quantity[Section],$C58,RM_PM_Quantity[RM Name],$E58),0)</f>
        <v>0</v>
      </c>
      <c r="Y58" s="84">
        <f>SUMIFS(RM_PM_Quantity[Quantity],RM_PM_Quantity[Date],Y$1,RM_PM_Quantity[Location],$D58,RM_PM_Quantity[Section],$C58,RM_PM_Quantity[RM Name],$E58)+IF($D58="MIND/Pre-Production",SUMIFS(RM_PM_Quantity[Quantity],RM_PM_Quantity[Date],Y$1,RM_PM_Quantity[Location],"MIDC/Pre-Production",RM_PM_Quantity[Section],$C58,RM_PM_Quantity[RM Name],$E58),0)</f>
        <v>0</v>
      </c>
      <c r="Z58" s="84">
        <f>SUMIFS(RM_PM_Quantity[Quantity],RM_PM_Quantity[Date],Z$1,RM_PM_Quantity[Location],$D58,RM_PM_Quantity[Section],$C58,RM_PM_Quantity[RM Name],$E58)+IF($D58="MIND/Pre-Production",SUMIFS(RM_PM_Quantity[Quantity],RM_PM_Quantity[Date],Z$1,RM_PM_Quantity[Location],"MIDC/Pre-Production",RM_PM_Quantity[Section],$C58,RM_PM_Quantity[RM Name],$E58),0)</f>
        <v>0</v>
      </c>
      <c r="AA58" s="84">
        <f>SUMIFS(RM_PM_Quantity[Quantity],RM_PM_Quantity[Date],AA$1,RM_PM_Quantity[Location],$D58,RM_PM_Quantity[Section],$C58,RM_PM_Quantity[RM Name],$E58)+IF($D58="MIND/Pre-Production",SUMIFS(RM_PM_Quantity[Quantity],RM_PM_Quantity[Date],AA$1,RM_PM_Quantity[Location],"MIDC/Pre-Production",RM_PM_Quantity[Section],$C58,RM_PM_Quantity[RM Name],$E58),0)</f>
        <v>0</v>
      </c>
      <c r="AB58" s="84">
        <f>SUMIFS(RM_PM_Quantity[Quantity],RM_PM_Quantity[Date],AB$1,RM_PM_Quantity[Location],$D58,RM_PM_Quantity[Section],$C58,RM_PM_Quantity[RM Name],$E58)+IF($D58="MIND/Pre-Production",SUMIFS(RM_PM_Quantity[Quantity],RM_PM_Quantity[Date],AB$1,RM_PM_Quantity[Location],"MIDC/Pre-Production",RM_PM_Quantity[Section],$C58,RM_PM_Quantity[RM Name],$E58),0)</f>
        <v>0</v>
      </c>
      <c r="AC58" s="84">
        <f>SUMIFS(RM_PM_Quantity[Quantity],RM_PM_Quantity[Date],AC$1,RM_PM_Quantity[Location],$D58,RM_PM_Quantity[Section],$C58,RM_PM_Quantity[RM Name],$E58)+IF($D58="MIND/Pre-Production",SUMIFS(RM_PM_Quantity[Quantity],RM_PM_Quantity[Date],AC$1,RM_PM_Quantity[Location],"MIDC/Pre-Production",RM_PM_Quantity[Section],$C58,RM_PM_Quantity[RM Name],$E58),0)</f>
        <v>0</v>
      </c>
      <c r="AD58" s="84">
        <f>SUMIFS(RM_PM_Quantity[Quantity],RM_PM_Quantity[Date],AD$1,RM_PM_Quantity[Location],$D58,RM_PM_Quantity[Section],$C58,RM_PM_Quantity[RM Name],$E58)+IF($D58="MIND/Pre-Production",SUMIFS(RM_PM_Quantity[Quantity],RM_PM_Quantity[Date],AD$1,RM_PM_Quantity[Location],"MIDC/Pre-Production",RM_PM_Quantity[Section],$C58,RM_PM_Quantity[RM Name],$E58),0)</f>
        <v>0</v>
      </c>
      <c r="AE58" s="84">
        <f>SUMIFS(RM_PM_Quantity[Quantity],RM_PM_Quantity[Date],AE$1,RM_PM_Quantity[Location],$D58,RM_PM_Quantity[Section],$C58,RM_PM_Quantity[RM Name],$E58)+IF($D58="MIND/Pre-Production",SUMIFS(RM_PM_Quantity[Quantity],RM_PM_Quantity[Date],AE$1,RM_PM_Quantity[Location],"MIDC/Pre-Production",RM_PM_Quantity[Section],$C58,RM_PM_Quantity[RM Name],$E58),0)</f>
        <v>0</v>
      </c>
      <c r="AF58" s="84">
        <f>SUMIFS(RM_PM_Quantity[Quantity],RM_PM_Quantity[Date],AF$1,RM_PM_Quantity[Location],$D58,RM_PM_Quantity[Section],$C58,RM_PM_Quantity[RM Name],$E58)+IF($D58="MIND/Pre-Production",SUMIFS(RM_PM_Quantity[Quantity],RM_PM_Quantity[Date],AF$1,RM_PM_Quantity[Location],"MIDC/Pre-Production",RM_PM_Quantity[Section],$C58,RM_PM_Quantity[RM Name],$E58),0)</f>
        <v>0</v>
      </c>
      <c r="AG58" s="84">
        <f>SUMIFS(RM_PM_Quantity[Quantity],RM_PM_Quantity[Date],AG$1,RM_PM_Quantity[Location],$D58,RM_PM_Quantity[Section],$C58,RM_PM_Quantity[RM Name],$E58)+IF($D58="MIND/Pre-Production",SUMIFS(RM_PM_Quantity[Quantity],RM_PM_Quantity[Date],AG$1,RM_PM_Quantity[Location],"MIDC/Pre-Production",RM_PM_Quantity[Section],$C58,RM_PM_Quantity[RM Name],$E58),0)</f>
        <v>0</v>
      </c>
      <c r="AH58" s="84">
        <f>SUMIFS(RM_PM_Quantity[Quantity],RM_PM_Quantity[Date],AH$1,RM_PM_Quantity[Location],$D58,RM_PM_Quantity[Section],$C58,RM_PM_Quantity[RM Name],$E58)+IF($D58="MIND/Pre-Production",SUMIFS(RM_PM_Quantity[Quantity],RM_PM_Quantity[Date],AH$1,RM_PM_Quantity[Location],"MIDC/Pre-Production",RM_PM_Quantity[Section],$C58,RM_PM_Quantity[RM Name],$E58),0)</f>
        <v>0</v>
      </c>
      <c r="AI58" s="84">
        <f>SUMIFS(RM_PM_Quantity[Quantity],RM_PM_Quantity[Date],AI$1,RM_PM_Quantity[Location],$D58,RM_PM_Quantity[Section],$C58,RM_PM_Quantity[RM Name],$E58)+IF($D58="MIND/Pre-Production",SUMIFS(RM_PM_Quantity[Quantity],RM_PM_Quantity[Date],AI$1,RM_PM_Quantity[Location],"MIDC/Pre-Production",RM_PM_Quantity[Section],$C58,RM_PM_Quantity[RM Name],$E58),0)</f>
        <v>0</v>
      </c>
      <c r="AJ58" s="84">
        <f>SUMIFS(RM_PM_Quantity[Quantity],RM_PM_Quantity[Date],AJ$1,RM_PM_Quantity[Location],$D58,RM_PM_Quantity[Section],$C58,RM_PM_Quantity[RM Name],$E58)+IF($D58="MIND/Pre-Production",SUMIFS(RM_PM_Quantity[Quantity],RM_PM_Quantity[Date],AJ$1,RM_PM_Quantity[Location],"MIDC/Pre-Production",RM_PM_Quantity[Section],$C58,RM_PM_Quantity[RM Name],$E58),0)</f>
        <v>17</v>
      </c>
      <c r="AK58" s="84">
        <f>SUMIFS(RM_PM_Quantity[Quantity],RM_PM_Quantity[Date],AK$1,RM_PM_Quantity[Location],$D58,RM_PM_Quantity[Section],$C58,RM_PM_Quantity[RM Name],$E58)+IF($D58="MIND/Pre-Production",SUMIFS(RM_PM_Quantity[Quantity],RM_PM_Quantity[Date],AK$1,RM_PM_Quantity[Location],"MIDC/Pre-Production",RM_PM_Quantity[Section],$C58,RM_PM_Quantity[RM Name],$E58),0)</f>
        <v>0</v>
      </c>
      <c r="AL58" s="84">
        <f>SUMIFS(RM_PM_Quantity[Quantity],RM_PM_Quantity[Date],AL$1,RM_PM_Quantity[Location],$D58,RM_PM_Quantity[Section],$C58,RM_PM_Quantity[RM Name],$E58)+IF($D58="MIND/Pre-Production",SUMIFS(RM_PM_Quantity[Quantity],RM_PM_Quantity[Date],AL$1,RM_PM_Quantity[Location],"MIDC/Pre-Production",RM_PM_Quantity[Section],$C58,RM_PM_Quantity[RM Name],$E58),0)</f>
        <v>0</v>
      </c>
      <c r="AM58" s="84">
        <f>SUMIFS(RM_PM_Quantity[Quantity],RM_PM_Quantity[Date],AM$1,RM_PM_Quantity[Location],$D58,RM_PM_Quantity[Section],$C58,RM_PM_Quantity[RM Name],$E58)+IF($D58="MIND/Pre-Production",SUMIFS(RM_PM_Quantity[Quantity],RM_PM_Quantity[Date],AM$1,RM_PM_Quantity[Location],"MIDC/Pre-Production",RM_PM_Quantity[Section],$C58,RM_PM_Quantity[RM Name],$E58),0)</f>
        <v>0</v>
      </c>
      <c r="AN58" s="84">
        <f>SUMIFS(RM_PM_Quantity[Quantity],RM_PM_Quantity[Date],AN$1,RM_PM_Quantity[Location],$D58,RM_PM_Quantity[Section],$C58,RM_PM_Quantity[RM Name],$E58)+IF($D58="MIND/Pre-Production",SUMIFS(RM_PM_Quantity[Quantity],RM_PM_Quantity[Date],AN$1,RM_PM_Quantity[Location],"MIDC/Pre-Production",RM_PM_Quantity[Section],$C58,RM_PM_Quantity[RM Name],$E58),0)</f>
        <v>0</v>
      </c>
      <c r="AO58" s="84">
        <f>SUMIFS(RM_PM_Quantity[Quantity],RM_PM_Quantity[Date],AO$1,RM_PM_Quantity[Location],$D58,RM_PM_Quantity[Section],$C58,RM_PM_Quantity[RM Name],$E58)+IF($D58="MIND/Pre-Production",SUMIFS(RM_PM_Quantity[Quantity],RM_PM_Quantity[Date],AO$1,RM_PM_Quantity[Location],"MIDC/Pre-Production",RM_PM_Quantity[Section],$C58,RM_PM_Quantity[RM Name],$E58),0)</f>
        <v>0</v>
      </c>
      <c r="AP58" s="84">
        <f>SUMIFS(RM_PM_Quantity[Quantity],RM_PM_Quantity[Date],AP$1,RM_PM_Quantity[Location],$D58,RM_PM_Quantity[Section],$C58,RM_PM_Quantity[RM Name],$E58)+IF($D58="MIND/Pre-Production",SUMIFS(RM_PM_Quantity[Quantity],RM_PM_Quantity[Date],AP$1,RM_PM_Quantity[Location],"MIDC/Pre-Production",RM_PM_Quantity[Section],$C58,RM_PM_Quantity[RM Name],$E58),0)</f>
        <v>0</v>
      </c>
      <c r="AQ58" s="84">
        <f>SUMIFS(RM_PM_Quantity[Quantity],RM_PM_Quantity[Date],AQ$1,RM_PM_Quantity[Location],$D58,RM_PM_Quantity[Section],$C58,RM_PM_Quantity[RM Name],$E58)+IF($D58="MIND/Pre-Production",SUMIFS(RM_PM_Quantity[Quantity],RM_PM_Quantity[Date],AQ$1,RM_PM_Quantity[Location],"MIDC/Pre-Production",RM_PM_Quantity[Section],$C58,RM_PM_Quantity[RM Name],$E58),0)</f>
        <v>0</v>
      </c>
      <c r="AR58" s="84">
        <f>SUMIFS(RM_PM_Quantity[Quantity],RM_PM_Quantity[Date],AR$1,RM_PM_Quantity[Location],$D58,RM_PM_Quantity[Section],$C58,RM_PM_Quantity[RM Name],$E58)+IF($D58="MIND/Pre-Production",SUMIFS(RM_PM_Quantity[Quantity],RM_PM_Quantity[Date],AR$1,RM_PM_Quantity[Location],"MIDC/Pre-Production",RM_PM_Quantity[Section],$C58,RM_PM_Quantity[RM Name],$E58),0)</f>
        <v>0</v>
      </c>
      <c r="AS58" s="84">
        <f>SUMIFS(RM_PM_Quantity[Quantity],RM_PM_Quantity[Date],AS$1,RM_PM_Quantity[Location],$D58,RM_PM_Quantity[Section],$C58,RM_PM_Quantity[RM Name],$E58)+IF($D58="MIND/Pre-Production",SUMIFS(RM_PM_Quantity[Quantity],RM_PM_Quantity[Date],AS$1,RM_PM_Quantity[Location],"MIDC/Pre-Production",RM_PM_Quantity[Section],$C58,RM_PM_Quantity[RM Name],$E58),0)</f>
        <v>0</v>
      </c>
      <c r="AT58" s="84">
        <f>SUMIFS(RM_PM_Quantity[Quantity],RM_PM_Quantity[Date],AT$1,RM_PM_Quantity[Location],$D58,RM_PM_Quantity[Section],$C58,RM_PM_Quantity[RM Name],$E58)+IF($D58="MIND/Pre-Production",SUMIFS(RM_PM_Quantity[Quantity],RM_PM_Quantity[Date],AT$1,RM_PM_Quantity[Location],"MIDC/Pre-Production",RM_PM_Quantity[Section],$C58,RM_PM_Quantity[RM Name],$E58),0)</f>
        <v>0</v>
      </c>
      <c r="AU58" s="84">
        <f>SUMIFS(RM_PM_Quantity[Quantity],RM_PM_Quantity[Date],AU$1,RM_PM_Quantity[Location],$D58,RM_PM_Quantity[Section],$C58,RM_PM_Quantity[RM Name],$E58)+IF($D58="MIND/Pre-Production",SUMIFS(RM_PM_Quantity[Quantity],RM_PM_Quantity[Date],AU$1,RM_PM_Quantity[Location],"MIDC/Pre-Production",RM_PM_Quantity[Section],$C58,RM_PM_Quantity[RM Name],$E58),0)</f>
        <v>0</v>
      </c>
      <c r="AV58" s="84">
        <f>SUMIFS(RM_PM_Quantity[Quantity],RM_PM_Quantity[Date],AV$1,RM_PM_Quantity[Location],$D58,RM_PM_Quantity[Section],$C58,RM_PM_Quantity[RM Name],$E58)+IF($D58="MIND/Pre-Production",SUMIFS(RM_PM_Quantity[Quantity],RM_PM_Quantity[Date],AV$1,RM_PM_Quantity[Location],"MIDC/Pre-Production",RM_PM_Quantity[Section],$C58,RM_PM_Quantity[RM Name],$E58),0)</f>
        <v>0</v>
      </c>
      <c r="AW58" s="84">
        <f>SUMIFS(RM_PM_Quantity[Quantity],RM_PM_Quantity[Date],AW$1,RM_PM_Quantity[Location],$D58,RM_PM_Quantity[Section],$C58,RM_PM_Quantity[RM Name],$E58)+IF($D58="MIND/Pre-Production",SUMIFS(RM_PM_Quantity[Quantity],RM_PM_Quantity[Date],AW$1,RM_PM_Quantity[Location],"MIDC/Pre-Production",RM_PM_Quantity[Section],$C58,RM_PM_Quantity[RM Name],$E58),0)</f>
        <v>0</v>
      </c>
      <c r="AX58" s="84">
        <f>SUMIFS(RM_PM_Quantity[Quantity],RM_PM_Quantity[Date],AX$1,RM_PM_Quantity[Location],$D58,RM_PM_Quantity[Section],$C58,RM_PM_Quantity[RM Name],$E58)+IF($D58="MIND/Pre-Production",SUMIFS(RM_PM_Quantity[Quantity],RM_PM_Quantity[Date],AX$1,RM_PM_Quantity[Location],"MIDC/Pre-Production",RM_PM_Quantity[Section],$C58,RM_PM_Quantity[RM Name],$E58),0)</f>
        <v>0</v>
      </c>
      <c r="AY58" s="84">
        <f>SUMIFS(RM_PM_Quantity[Quantity],RM_PM_Quantity[Date],AY$1,RM_PM_Quantity[Location],$D58,RM_PM_Quantity[Section],$C58,RM_PM_Quantity[RM Name],$E58)+IF($D58="MIND/Pre-Production",SUMIFS(RM_PM_Quantity[Quantity],RM_PM_Quantity[Date],AY$1,RM_PM_Quantity[Location],"MIDC/Pre-Production",RM_PM_Quantity[Section],$C58,RM_PM_Quantity[RM Name],$E58),0)</f>
        <v>0</v>
      </c>
      <c r="AZ58" s="84">
        <f>SUMIFS(RM_PM_Quantity[Quantity],RM_PM_Quantity[Date],AZ$1,RM_PM_Quantity[Location],$D58,RM_PM_Quantity[Section],$C58,RM_PM_Quantity[RM Name],$E58)+IF($D58="MIND/Pre-Production",SUMIFS(RM_PM_Quantity[Quantity],RM_PM_Quantity[Date],AZ$1,RM_PM_Quantity[Location],"MIDC/Pre-Production",RM_PM_Quantity[Section],$C58,RM_PM_Quantity[RM Name],$E58),0)</f>
        <v>0</v>
      </c>
      <c r="BA58" s="84">
        <f>SUMIFS(RM_PM_Quantity[Quantity],RM_PM_Quantity[Date],BA$1,RM_PM_Quantity[Location],$D58,RM_PM_Quantity[Section],$C58,RM_PM_Quantity[RM Name],$E58)+IF($D58="MIND/Pre-Production",SUMIFS(RM_PM_Quantity[Quantity],RM_PM_Quantity[Date],BA$1,RM_PM_Quantity[Location],"MIDC/Pre-Production",RM_PM_Quantity[Section],$C58,RM_PM_Quantity[RM Name],$E58),0)</f>
        <v>0</v>
      </c>
      <c r="BB58" s="84">
        <f>SUMIFS(RM_PM_Quantity[Quantity],RM_PM_Quantity[Date],BB$1,RM_PM_Quantity[Location],$D58,RM_PM_Quantity[Section],$C58,RM_PM_Quantity[RM Name],$E58)+IF($D58="MIND/Pre-Production",SUMIFS(RM_PM_Quantity[Quantity],RM_PM_Quantity[Date],BB$1,RM_PM_Quantity[Location],"MIDC/Pre-Production",RM_PM_Quantity[Section],$C58,RM_PM_Quantity[RM Name],$E58),0)</f>
        <v>0</v>
      </c>
      <c r="BC58" s="84">
        <f>SUMIFS(RM_PM_Quantity[Quantity],RM_PM_Quantity[Date],BC$1,RM_PM_Quantity[Location],$D58,RM_PM_Quantity[Section],$C58,RM_PM_Quantity[RM Name],$E58)+IF($D58="MIND/Pre-Production",SUMIFS(RM_PM_Quantity[Quantity],RM_PM_Quantity[Date],BC$1,RM_PM_Quantity[Location],"MIDC/Pre-Production",RM_PM_Quantity[Section],$C58,RM_PM_Quantity[RM Name],$E58),0)</f>
        <v>0</v>
      </c>
      <c r="BD58" s="84">
        <f>SUMIFS(RM_PM_Quantity[Quantity],RM_PM_Quantity[Date],BD$1,RM_PM_Quantity[Location],$D58,RM_PM_Quantity[Section],$C58,RM_PM_Quantity[RM Name],$E58)+IF($D58="MIND/Pre-Production",SUMIFS(RM_PM_Quantity[Quantity],RM_PM_Quantity[Date],BD$1,RM_PM_Quantity[Location],"MIDC/Pre-Production",RM_PM_Quantity[Section],$C58,RM_PM_Quantity[RM Name],$E58),0)</f>
        <v>0</v>
      </c>
      <c r="BE58" s="84">
        <f>SUMIFS(RM_PM_Quantity[Quantity],RM_PM_Quantity[Date],BE$1,RM_PM_Quantity[Location],$D58,RM_PM_Quantity[Section],$C58,RM_PM_Quantity[RM Name],$E58)+IF($D58="MIND/Pre-Production",SUMIFS(RM_PM_Quantity[Quantity],RM_PM_Quantity[Date],BE$1,RM_PM_Quantity[Location],"MIDC/Pre-Production",RM_PM_Quantity[Section],$C58,RM_PM_Quantity[RM Name],$E58),0)</f>
        <v>0</v>
      </c>
      <c r="BF58" s="84">
        <f>SUMIFS(RM_PM_Quantity[Quantity],RM_PM_Quantity[Date],BF$1,RM_PM_Quantity[Location],$D58,RM_PM_Quantity[Section],$C58,RM_PM_Quantity[RM Name],$E58)+IF($D58="MIND/Pre-Production",SUMIFS(RM_PM_Quantity[Quantity],RM_PM_Quantity[Date],BF$1,RM_PM_Quantity[Location],"MIDC/Pre-Production",RM_PM_Quantity[Section],$C58,RM_PM_Quantity[RM Name],$E58),0)</f>
        <v>0</v>
      </c>
      <c r="BG58" s="84">
        <f>SUMIFS(RM_PM_Quantity[Quantity],RM_PM_Quantity[Date],BG$1,RM_PM_Quantity[Location],$D58,RM_PM_Quantity[Section],$C58,RM_PM_Quantity[RM Name],$E58)+IF($D58="MIND/Pre-Production",SUMIFS(RM_PM_Quantity[Quantity],RM_PM_Quantity[Date],BG$1,RM_PM_Quantity[Location],"MIDC/Pre-Production",RM_PM_Quantity[Section],$C58,RM_PM_Quantity[RM Name],$E58),0)</f>
        <v>0</v>
      </c>
      <c r="BH58" s="84">
        <f>SUMIFS(RM_PM_Quantity[Quantity],RM_PM_Quantity[Date],BH$1,RM_PM_Quantity[Location],$D58,RM_PM_Quantity[Section],$C58,RM_PM_Quantity[RM Name],$E58)+IF($D58="MIND/Pre-Production",SUMIFS(RM_PM_Quantity[Quantity],RM_PM_Quantity[Date],BH$1,RM_PM_Quantity[Location],"MIDC/Pre-Production",RM_PM_Quantity[Section],$C58,RM_PM_Quantity[RM Name],$E58),0)</f>
        <v>0</v>
      </c>
      <c r="BI58" s="84">
        <f>SUMIFS(RM_PM_Quantity[Quantity],RM_PM_Quantity[Date],BI$1,RM_PM_Quantity[Location],$D58,RM_PM_Quantity[Section],$C58,RM_PM_Quantity[RM Name],$E58)+IF($D58="MIND/Pre-Production",SUMIFS(RM_PM_Quantity[Quantity],RM_PM_Quantity[Date],BI$1,RM_PM_Quantity[Location],"MIDC/Pre-Production",RM_PM_Quantity[Section],$C58,RM_PM_Quantity[RM Name],$E58),0)</f>
        <v>0</v>
      </c>
      <c r="BJ58" s="84">
        <f>SUMIFS(RM_PM_Quantity[Quantity],RM_PM_Quantity[Date],BJ$1,RM_PM_Quantity[Location],$D58,RM_PM_Quantity[Section],$C58,RM_PM_Quantity[RM Name],$E58)+IF($D58="MIND/Pre-Production",SUMIFS(RM_PM_Quantity[Quantity],RM_PM_Quantity[Date],BJ$1,RM_PM_Quantity[Location],"MIDC/Pre-Production",RM_PM_Quantity[Section],$C58,RM_PM_Quantity[RM Name],$E58),0)</f>
        <v>0</v>
      </c>
      <c r="BK58" s="84">
        <f>SUMIFS(RM_PM_Quantity[Quantity],RM_PM_Quantity[Date],BK$1,RM_PM_Quantity[Location],$D58,RM_PM_Quantity[Section],$C58,RM_PM_Quantity[RM Name],$E58)+IF($D58="MIND/Pre-Production",SUMIFS(RM_PM_Quantity[Quantity],RM_PM_Quantity[Date],BK$1,RM_PM_Quantity[Location],"MIDC/Pre-Production",RM_PM_Quantity[Section],$C58,RM_PM_Quantity[RM Name],$E58),0)</f>
        <v>0</v>
      </c>
      <c r="BL58" s="84">
        <f>SUMIFS(RM_PM_Quantity[Quantity],RM_PM_Quantity[Date],BL$1,RM_PM_Quantity[Location],$D58,RM_PM_Quantity[Section],$C58,RM_PM_Quantity[RM Name],$E58)+IF($D58="MIND/Pre-Production",SUMIFS(RM_PM_Quantity[Quantity],RM_PM_Quantity[Date],BL$1,RM_PM_Quantity[Location],"MIDC/Pre-Production",RM_PM_Quantity[Section],$C58,RM_PM_Quantity[RM Name],$E58),0)</f>
        <v>0</v>
      </c>
      <c r="BM58" s="84">
        <f>SUMIFS(RM_PM_Quantity[Quantity],RM_PM_Quantity[Date],BM$1,RM_PM_Quantity[Location],$D58,RM_PM_Quantity[Section],$C58,RM_PM_Quantity[RM Name],$E58)+IF($D58="MIND/Pre-Production",SUMIFS(RM_PM_Quantity[Quantity],RM_PM_Quantity[Date],BM$1,RM_PM_Quantity[Location],"MIDC/Pre-Production",RM_PM_Quantity[Section],$C58,RM_PM_Quantity[RM Name],$E58),0)</f>
        <v>0</v>
      </c>
      <c r="BN58" s="84">
        <f>SUMIFS(RM_PM_Quantity[Quantity],RM_PM_Quantity[Date],BN$1,RM_PM_Quantity[Location],$D58,RM_PM_Quantity[Section],$C58,RM_PM_Quantity[RM Name],$E58)+IF($D58="MIND/Pre-Production",SUMIFS(RM_PM_Quantity[Quantity],RM_PM_Quantity[Date],BN$1,RM_PM_Quantity[Location],"MIDC/Pre-Production",RM_PM_Quantity[Section],$C58,RM_PM_Quantity[RM Name],$E58),0)</f>
        <v>0</v>
      </c>
      <c r="BO58" s="84">
        <f>SUMIFS(RM_PM_Quantity[Quantity],RM_PM_Quantity[Date],BO$1,RM_PM_Quantity[Location],$D58,RM_PM_Quantity[Section],$C58,RM_PM_Quantity[RM Name],$E58)+IF($D58="MIND/Pre-Production",SUMIFS(RM_PM_Quantity[Quantity],RM_PM_Quantity[Date],BO$1,RM_PM_Quantity[Location],"MIDC/Pre-Production",RM_PM_Quantity[Section],$C58,RM_PM_Quantity[RM Name],$E58),0)</f>
        <v>0</v>
      </c>
      <c r="BP58" s="84">
        <f>SUMIFS(RM_PM_Quantity[Quantity],RM_PM_Quantity[Date],BP$1,RM_PM_Quantity[Location],$D58,RM_PM_Quantity[Section],$C58,RM_PM_Quantity[RM Name],$E58)+IF($D58="MIND/Pre-Production",SUMIFS(RM_PM_Quantity[Quantity],RM_PM_Quantity[Date],BP$1,RM_PM_Quantity[Location],"MIDC/Pre-Production",RM_PM_Quantity[Section],$C58,RM_PM_Quantity[RM Name],$E58),0)</f>
        <v>0</v>
      </c>
      <c r="BQ58" s="84">
        <f>SUMIFS(RM_PM_Quantity[Quantity],RM_PM_Quantity[Date],BQ$1,RM_PM_Quantity[Location],$D58,RM_PM_Quantity[Section],$C58,RM_PM_Quantity[RM Name],$E58)+IF($D58="MIND/Pre-Production",SUMIFS(RM_PM_Quantity[Quantity],RM_PM_Quantity[Date],BQ$1,RM_PM_Quantity[Location],"MIDC/Pre-Production",RM_PM_Quantity[Section],$C58,RM_PM_Quantity[RM Name],$E58),0)</f>
        <v>0</v>
      </c>
      <c r="BR58" s="84">
        <f>SUMIFS(RM_PM_Quantity[Quantity],RM_PM_Quantity[Date],BR$1,RM_PM_Quantity[Location],$D58,RM_PM_Quantity[Section],$C58,RM_PM_Quantity[RM Name],$E58)+IF($D58="MIND/Pre-Production",SUMIFS(RM_PM_Quantity[Quantity],RM_PM_Quantity[Date],BR$1,RM_PM_Quantity[Location],"MIDC/Pre-Production",RM_PM_Quantity[Section],$C58,RM_PM_Quantity[RM Name],$E58),0)</f>
        <v>0</v>
      </c>
      <c r="BS58" s="84">
        <f>SUMIFS(RM_PM_Quantity[Quantity],RM_PM_Quantity[Date],BS$1,RM_PM_Quantity[Location],$D58,RM_PM_Quantity[Section],$C58,RM_PM_Quantity[RM Name],$E58)+IF($D58="MIND/Pre-Production",SUMIFS(RM_PM_Quantity[Quantity],RM_PM_Quantity[Date],BS$1,RM_PM_Quantity[Location],"MIDC/Pre-Production",RM_PM_Quantity[Section],$C58,RM_PM_Quantity[RM Name],$E58),0)</f>
        <v>0</v>
      </c>
      <c r="BT58" s="84">
        <f>SUMIFS(RM_PM_Quantity[ID],RM_PM_Quantity[Location],BT$1,RM_PM_Quantity[Section],$D58,RM_PM_Quantity[RM Name],$C58,RM_PM_Quantity[Quantity],$E58)+IF($D58="MIND/Pre-Production",SUMIFS(RM_PM_Quantity[ID],RM_PM_Quantity[Location],BT$1,RM_PM_Quantity[Section],"MIDC/Pre-Production",RM_PM_Quantity[RM Name],$C58,RM_PM_Quantity[Quantity],$E58),0)</f>
        <v>0</v>
      </c>
      <c r="BU58" s="84">
        <f>SUMIFS(RM_PM_Quantity[Name of Supervisor],RM_PM_Quantity[Section],BU$1,RM_PM_Quantity[RM Name],$D58,RM_PM_Quantity[Quantity],$C58,RM_PM_Quantity[ID],$E58)+IF($D58="MIND/Pre-Production",SUMIFS(RM_PM_Quantity[Name of Supervisor],RM_PM_Quantity[Section],BU$1,RM_PM_Quantity[RM Name],"MIDC/Pre-Production",RM_PM_Quantity[Quantity],$C58,RM_PM_Quantity[ID],$E58),0)</f>
        <v>0</v>
      </c>
      <c r="BV58" s="84">
        <f>SUMIFS(RM_PM_Quantity[Date],RM_PM_Quantity[RM Name],BV$1,RM_PM_Quantity[Quantity],$D58,RM_PM_Quantity[ID],$C58,RM_PM_Quantity[Name of Supervisor],$E58)+IF($D58="MIND/Pre-Production",SUMIFS(RM_PM_Quantity[Date],RM_PM_Quantity[RM Name],BV$1,RM_PM_Quantity[Quantity],"MIDC/Pre-Production",RM_PM_Quantity[ID],$C58,RM_PM_Quantity[Name of Supervisor],$E58),0)</f>
        <v>0</v>
      </c>
      <c r="BW58" s="84">
        <f>SUMIFS(RM_PM_Quantity[Location],RM_PM_Quantity[Quantity],BW$1,RM_PM_Quantity[ID],$D58,RM_PM_Quantity[Name of Supervisor],$C58,RM_PM_Quantity[Date],$E58)+IF($D58="MIND/Pre-Production",SUMIFS(RM_PM_Quantity[Location],RM_PM_Quantity[Quantity],BW$1,RM_PM_Quantity[ID],"MIDC/Pre-Production",RM_PM_Quantity[Name of Supervisor],$C58,RM_PM_Quantity[Date],$E58),0)</f>
        <v>0</v>
      </c>
      <c r="BX58" s="84">
        <f>SUMIFS(RM_PM_Quantity[Section],RM_PM_Quantity[ID],BX$1,RM_PM_Quantity[Name of Supervisor],$D58,RM_PM_Quantity[Date],$C58,RM_PM_Quantity[Location],$E58)+IF($D58="MIND/Pre-Production",SUMIFS(RM_PM_Quantity[Section],RM_PM_Quantity[ID],BX$1,RM_PM_Quantity[Name of Supervisor],"MIDC/Pre-Production",RM_PM_Quantity[Date],$C58,RM_PM_Quantity[Location],$E58),0)</f>
        <v>0</v>
      </c>
      <c r="BY58" s="84">
        <f>SUMIFS(RM_PM_Quantity[RM Name],RM_PM_Quantity[Name of Supervisor],BY$1,RM_PM_Quantity[Date],$D58,RM_PM_Quantity[Location],$C58,RM_PM_Quantity[Section],$E58)+IF($D58="MIND/Pre-Production",SUMIFS(RM_PM_Quantity[RM Name],RM_PM_Quantity[Name of Supervisor],BY$1,RM_PM_Quantity[Date],"MIDC/Pre-Production",RM_PM_Quantity[Location],$C58,RM_PM_Quantity[Section],$E58),0)</f>
        <v>0</v>
      </c>
    </row>
    <row r="59" spans="1:77" ht="45.75" customHeight="1">
      <c r="A59" s="79">
        <v>58</v>
      </c>
      <c r="B59" s="87" t="s">
        <v>158</v>
      </c>
      <c r="C59" s="80" t="s">
        <v>146</v>
      </c>
      <c r="D59" s="81" t="s">
        <v>54</v>
      </c>
      <c r="E59" s="90" t="s">
        <v>159</v>
      </c>
      <c r="F59" s="83">
        <f>IFERROR(_xlfn.XLOOKUP(B59,'[1]RM Tracker'!B:B,'[1]RM Tracker'!E:E),"0")</f>
        <v>0</v>
      </c>
      <c r="G59" s="85">
        <f t="shared" si="2"/>
        <v>0</v>
      </c>
      <c r="H59" s="85">
        <f t="shared" si="3"/>
        <v>0</v>
      </c>
      <c r="I59" s="91">
        <f t="shared" si="4"/>
        <v>0</v>
      </c>
      <c r="J59" s="84">
        <f>SUMIFS(RM_PM_Quantity[Quantity],RM_PM_Quantity[Date],J$1,RM_PM_Quantity[Location],$D59,RM_PM_Quantity[Section],$C59,RM_PM_Quantity[RM Name],$E59)+IF($D59="MIND/Pre-Production",SUMIFS(RM_PM_Quantity[Quantity],RM_PM_Quantity[Date],J$1,RM_PM_Quantity[Location],"MIDC/Pre-Production",RM_PM_Quantity[Section],$C59,RM_PM_Quantity[RM Name],$E59),0)</f>
        <v>0</v>
      </c>
      <c r="K59" s="84">
        <f>SUMIFS(RM_PM_Quantity[Quantity],RM_PM_Quantity[Date],K$1,RM_PM_Quantity[Location],$D59,RM_PM_Quantity[Section],$C59,RM_PM_Quantity[RM Name],$E59)+IF($D59="MIND/Pre-Production",SUMIFS(RM_PM_Quantity[Quantity],RM_PM_Quantity[Date],K$1,RM_PM_Quantity[Location],"MIDC/Pre-Production",RM_PM_Quantity[Section],$C59,RM_PM_Quantity[RM Name],$E59),0)</f>
        <v>0</v>
      </c>
      <c r="L59" s="84">
        <f>SUMIFS(RM_PM_Quantity[Quantity],RM_PM_Quantity[Date],L$1,RM_PM_Quantity[Location],$D59,RM_PM_Quantity[Section],$C59,RM_PM_Quantity[RM Name],$E59)+IF($D59="MIND/Pre-Production",SUMIFS(RM_PM_Quantity[Quantity],RM_PM_Quantity[Date],L$1,RM_PM_Quantity[Location],"MIDC/Pre-Production",RM_PM_Quantity[Section],$C59,RM_PM_Quantity[RM Name],$E59),0)</f>
        <v>0</v>
      </c>
      <c r="M59" s="84">
        <f>SUMIFS(RM_PM_Quantity[Quantity],RM_PM_Quantity[Date],M$1,RM_PM_Quantity[Location],$D59,RM_PM_Quantity[Section],$C59,RM_PM_Quantity[RM Name],$E59)+IF($D59="MIND/Pre-Production",SUMIFS(RM_PM_Quantity[Quantity],RM_PM_Quantity[Date],M$1,RM_PM_Quantity[Location],"MIDC/Pre-Production",RM_PM_Quantity[Section],$C59,RM_PM_Quantity[RM Name],$E59),0)</f>
        <v>0</v>
      </c>
      <c r="N59" s="84">
        <f>SUMIFS(RM_PM_Quantity[Quantity],RM_PM_Quantity[Date],N$1,RM_PM_Quantity[Location],$D59,RM_PM_Quantity[Section],$C59,RM_PM_Quantity[RM Name],$E59)+IF($D59="MIND/Pre-Production",SUMIFS(RM_PM_Quantity[Quantity],RM_PM_Quantity[Date],N$1,RM_PM_Quantity[Location],"MIDC/Pre-Production",RM_PM_Quantity[Section],$C59,RM_PM_Quantity[RM Name],$E59),0)</f>
        <v>0</v>
      </c>
      <c r="O59" s="84">
        <f>SUMIFS(RM_PM_Quantity[Quantity],RM_PM_Quantity[Date],O$1,RM_PM_Quantity[Location],$D59,RM_PM_Quantity[Section],$C59,RM_PM_Quantity[RM Name],$E59)+IF($D59="MIND/Pre-Production",SUMIFS(RM_PM_Quantity[Quantity],RM_PM_Quantity[Date],O$1,RM_PM_Quantity[Location],"MIDC/Pre-Production",RM_PM_Quantity[Section],$C59,RM_PM_Quantity[RM Name],$E59),0)</f>
        <v>0</v>
      </c>
      <c r="P59" s="84">
        <f>SUMIFS(RM_PM_Quantity[Quantity],RM_PM_Quantity[Date],P$1,RM_PM_Quantity[Location],$D59,RM_PM_Quantity[Section],$C59,RM_PM_Quantity[RM Name],$E59)+IF($D59="MIND/Pre-Production",SUMIFS(RM_PM_Quantity[Quantity],RM_PM_Quantity[Date],P$1,RM_PM_Quantity[Location],"MIDC/Pre-Production",RM_PM_Quantity[Section],$C59,RM_PM_Quantity[RM Name],$E59),0)</f>
        <v>0</v>
      </c>
      <c r="Q59" s="84">
        <f>SUMIFS(RM_PM_Quantity[Quantity],RM_PM_Quantity[Date],Q$1,RM_PM_Quantity[Location],$D59,RM_PM_Quantity[Section],$C59,RM_PM_Quantity[RM Name],$E59)+IF($D59="MIND/Pre-Production",SUMIFS(RM_PM_Quantity[Quantity],RM_PM_Quantity[Date],Q$1,RM_PM_Quantity[Location],"MIDC/Pre-Production",RM_PM_Quantity[Section],$C59,RM_PM_Quantity[RM Name],$E59),0)</f>
        <v>0</v>
      </c>
      <c r="R59" s="84">
        <f>SUMIFS(RM_PM_Quantity[Quantity],RM_PM_Quantity[Date],R$1,RM_PM_Quantity[Location],$D59,RM_PM_Quantity[Section],$C59,RM_PM_Quantity[RM Name],$E59)+IF($D59="MIND/Pre-Production",SUMIFS(RM_PM_Quantity[Quantity],RM_PM_Quantity[Date],R$1,RM_PM_Quantity[Location],"MIDC/Pre-Production",RM_PM_Quantity[Section],$C59,RM_PM_Quantity[RM Name],$E59),0)</f>
        <v>0</v>
      </c>
      <c r="S59" s="84">
        <f>SUMIFS(RM_PM_Quantity[Quantity],RM_PM_Quantity[Date],S$1,RM_PM_Quantity[Location],$D59,RM_PM_Quantity[Section],$C59,RM_PM_Quantity[RM Name],$E59)+IF($D59="MIND/Pre-Production",SUMIFS(RM_PM_Quantity[Quantity],RM_PM_Quantity[Date],S$1,RM_PM_Quantity[Location],"MIDC/Pre-Production",RM_PM_Quantity[Section],$C59,RM_PM_Quantity[RM Name],$E59),0)</f>
        <v>0</v>
      </c>
      <c r="T59" s="84">
        <f>SUMIFS(RM_PM_Quantity[Quantity],RM_PM_Quantity[Date],T$1,RM_PM_Quantity[Location],$D59,RM_PM_Quantity[Section],$C59,RM_PM_Quantity[RM Name],$E59)+IF($D59="MIND/Pre-Production",SUMIFS(RM_PM_Quantity[Quantity],RM_PM_Quantity[Date],T$1,RM_PM_Quantity[Location],"MIDC/Pre-Production",RM_PM_Quantity[Section],$C59,RM_PM_Quantity[RM Name],$E59),0)</f>
        <v>0</v>
      </c>
      <c r="U59" s="84">
        <f>SUMIFS(RM_PM_Quantity[Quantity],RM_PM_Quantity[Date],U$1,RM_PM_Quantity[Location],$D59,RM_PM_Quantity[Section],$C59,RM_PM_Quantity[RM Name],$E59)+IF($D59="MIND/Pre-Production",SUMIFS(RM_PM_Quantity[Quantity],RM_PM_Quantity[Date],U$1,RM_PM_Quantity[Location],"MIDC/Pre-Production",RM_PM_Quantity[Section],$C59,RM_PM_Quantity[RM Name],$E59),0)</f>
        <v>0</v>
      </c>
      <c r="V59" s="84">
        <f>SUMIFS(RM_PM_Quantity[Quantity],RM_PM_Quantity[Date],V$1,RM_PM_Quantity[Location],$D59,RM_PM_Quantity[Section],$C59,RM_PM_Quantity[RM Name],$E59)+IF($D59="MIND/Pre-Production",SUMIFS(RM_PM_Quantity[Quantity],RM_PM_Quantity[Date],V$1,RM_PM_Quantity[Location],"MIDC/Pre-Production",RM_PM_Quantity[Section],$C59,RM_PM_Quantity[RM Name],$E59),0)</f>
        <v>0</v>
      </c>
      <c r="W59" s="84">
        <f>SUMIFS(RM_PM_Quantity[Quantity],RM_PM_Quantity[Date],W$1,RM_PM_Quantity[Location],$D59,RM_PM_Quantity[Section],$C59,RM_PM_Quantity[RM Name],$E59)+IF($D59="MIND/Pre-Production",SUMIFS(RM_PM_Quantity[Quantity],RM_PM_Quantity[Date],W$1,RM_PM_Quantity[Location],"MIDC/Pre-Production",RM_PM_Quantity[Section],$C59,RM_PM_Quantity[RM Name],$E59),0)</f>
        <v>0</v>
      </c>
      <c r="X59" s="84">
        <f>SUMIFS(RM_PM_Quantity[Quantity],RM_PM_Quantity[Date],X$1,RM_PM_Quantity[Location],$D59,RM_PM_Quantity[Section],$C59,RM_PM_Quantity[RM Name],$E59)+IF($D59="MIND/Pre-Production",SUMIFS(RM_PM_Quantity[Quantity],RM_PM_Quantity[Date],X$1,RM_PM_Quantity[Location],"MIDC/Pre-Production",RM_PM_Quantity[Section],$C59,RM_PM_Quantity[RM Name],$E59),0)</f>
        <v>0</v>
      </c>
      <c r="Y59" s="84">
        <f>SUMIFS(RM_PM_Quantity[Quantity],RM_PM_Quantity[Date],Y$1,RM_PM_Quantity[Location],$D59,RM_PM_Quantity[Section],$C59,RM_PM_Quantity[RM Name],$E59)+IF($D59="MIND/Pre-Production",SUMIFS(RM_PM_Quantity[Quantity],RM_PM_Quantity[Date],Y$1,RM_PM_Quantity[Location],"MIDC/Pre-Production",RM_PM_Quantity[Section],$C59,RM_PM_Quantity[RM Name],$E59),0)</f>
        <v>0</v>
      </c>
      <c r="Z59" s="84">
        <f>SUMIFS(RM_PM_Quantity[Quantity],RM_PM_Quantity[Date],Z$1,RM_PM_Quantity[Location],$D59,RM_PM_Quantity[Section],$C59,RM_PM_Quantity[RM Name],$E59)+IF($D59="MIND/Pre-Production",SUMIFS(RM_PM_Quantity[Quantity],RM_PM_Quantity[Date],Z$1,RM_PM_Quantity[Location],"MIDC/Pre-Production",RM_PM_Quantity[Section],$C59,RM_PM_Quantity[RM Name],$E59),0)</f>
        <v>0</v>
      </c>
      <c r="AA59" s="84">
        <f>SUMIFS(RM_PM_Quantity[Quantity],RM_PM_Quantity[Date],AA$1,RM_PM_Quantity[Location],$D59,RM_PM_Quantity[Section],$C59,RM_PM_Quantity[RM Name],$E59)+IF($D59="MIND/Pre-Production",SUMIFS(RM_PM_Quantity[Quantity],RM_PM_Quantity[Date],AA$1,RM_PM_Quantity[Location],"MIDC/Pre-Production",RM_PM_Quantity[Section],$C59,RM_PM_Quantity[RM Name],$E59),0)</f>
        <v>0</v>
      </c>
      <c r="AB59" s="84">
        <f>SUMIFS(RM_PM_Quantity[Quantity],RM_PM_Quantity[Date],AB$1,RM_PM_Quantity[Location],$D59,RM_PM_Quantity[Section],$C59,RM_PM_Quantity[RM Name],$E59)+IF($D59="MIND/Pre-Production",SUMIFS(RM_PM_Quantity[Quantity],RM_PM_Quantity[Date],AB$1,RM_PM_Quantity[Location],"MIDC/Pre-Production",RM_PM_Quantity[Section],$C59,RM_PM_Quantity[RM Name],$E59),0)</f>
        <v>0</v>
      </c>
      <c r="AC59" s="84">
        <f>SUMIFS(RM_PM_Quantity[Quantity],RM_PM_Quantity[Date],AC$1,RM_PM_Quantity[Location],$D59,RM_PM_Quantity[Section],$C59,RM_PM_Quantity[RM Name],$E59)+IF($D59="MIND/Pre-Production",SUMIFS(RM_PM_Quantity[Quantity],RM_PM_Quantity[Date],AC$1,RM_PM_Quantity[Location],"MIDC/Pre-Production",RM_PM_Quantity[Section],$C59,RM_PM_Quantity[RM Name],$E59),0)</f>
        <v>0</v>
      </c>
      <c r="AD59" s="84">
        <f>SUMIFS(RM_PM_Quantity[Quantity],RM_PM_Quantity[Date],AD$1,RM_PM_Quantity[Location],$D59,RM_PM_Quantity[Section],$C59,RM_PM_Quantity[RM Name],$E59)+IF($D59="MIND/Pre-Production",SUMIFS(RM_PM_Quantity[Quantity],RM_PM_Quantity[Date],AD$1,RM_PM_Quantity[Location],"MIDC/Pre-Production",RM_PM_Quantity[Section],$C59,RM_PM_Quantity[RM Name],$E59),0)</f>
        <v>0</v>
      </c>
      <c r="AE59" s="84">
        <f>SUMIFS(RM_PM_Quantity[Quantity],RM_PM_Quantity[Date],AE$1,RM_PM_Quantity[Location],$D59,RM_PM_Quantity[Section],$C59,RM_PM_Quantity[RM Name],$E59)+IF($D59="MIND/Pre-Production",SUMIFS(RM_PM_Quantity[Quantity],RM_PM_Quantity[Date],AE$1,RM_PM_Quantity[Location],"MIDC/Pre-Production",RM_PM_Quantity[Section],$C59,RM_PM_Quantity[RM Name],$E59),0)</f>
        <v>0</v>
      </c>
      <c r="AF59" s="84">
        <f>SUMIFS(RM_PM_Quantity[Quantity],RM_PM_Quantity[Date],AF$1,RM_PM_Quantity[Location],$D59,RM_PM_Quantity[Section],$C59,RM_PM_Quantity[RM Name],$E59)+IF($D59="MIND/Pre-Production",SUMIFS(RM_PM_Quantity[Quantity],RM_PM_Quantity[Date],AF$1,RM_PM_Quantity[Location],"MIDC/Pre-Production",RM_PM_Quantity[Section],$C59,RM_PM_Quantity[RM Name],$E59),0)</f>
        <v>0</v>
      </c>
      <c r="AG59" s="84">
        <f>SUMIFS(RM_PM_Quantity[Quantity],RM_PM_Quantity[Date],AG$1,RM_PM_Quantity[Location],$D59,RM_PM_Quantity[Section],$C59,RM_PM_Quantity[RM Name],$E59)+IF($D59="MIND/Pre-Production",SUMIFS(RM_PM_Quantity[Quantity],RM_PM_Quantity[Date],AG$1,RM_PM_Quantity[Location],"MIDC/Pre-Production",RM_PM_Quantity[Section],$C59,RM_PM_Quantity[RM Name],$E59),0)</f>
        <v>0</v>
      </c>
      <c r="AH59" s="84">
        <f>SUMIFS(RM_PM_Quantity[Quantity],RM_PM_Quantity[Date],AH$1,RM_PM_Quantity[Location],$D59,RM_PM_Quantity[Section],$C59,RM_PM_Quantity[RM Name],$E59)+IF($D59="MIND/Pre-Production",SUMIFS(RM_PM_Quantity[Quantity],RM_PM_Quantity[Date],AH$1,RM_PM_Quantity[Location],"MIDC/Pre-Production",RM_PM_Quantity[Section],$C59,RM_PM_Quantity[RM Name],$E59),0)</f>
        <v>0</v>
      </c>
      <c r="AI59" s="84">
        <f>SUMIFS(RM_PM_Quantity[Quantity],RM_PM_Quantity[Date],AI$1,RM_PM_Quantity[Location],$D59,RM_PM_Quantity[Section],$C59,RM_PM_Quantity[RM Name],$E59)+IF($D59="MIND/Pre-Production",SUMIFS(RM_PM_Quantity[Quantity],RM_PM_Quantity[Date],AI$1,RM_PM_Quantity[Location],"MIDC/Pre-Production",RM_PM_Quantity[Section],$C59,RM_PM_Quantity[RM Name],$E59),0)</f>
        <v>0</v>
      </c>
      <c r="AJ59" s="84">
        <f>SUMIFS(RM_PM_Quantity[Quantity],RM_PM_Quantity[Date],AJ$1,RM_PM_Quantity[Location],$D59,RM_PM_Quantity[Section],$C59,RM_PM_Quantity[RM Name],$E59)+IF($D59="MIND/Pre-Production",SUMIFS(RM_PM_Quantity[Quantity],RM_PM_Quantity[Date],AJ$1,RM_PM_Quantity[Location],"MIDC/Pre-Production",RM_PM_Quantity[Section],$C59,RM_PM_Quantity[RM Name],$E59),0)</f>
        <v>20</v>
      </c>
      <c r="AK59" s="84">
        <f>SUMIFS(RM_PM_Quantity[Quantity],RM_PM_Quantity[Date],AK$1,RM_PM_Quantity[Location],$D59,RM_PM_Quantity[Section],$C59,RM_PM_Quantity[RM Name],$E59)+IF($D59="MIND/Pre-Production",SUMIFS(RM_PM_Quantity[Quantity],RM_PM_Quantity[Date],AK$1,RM_PM_Quantity[Location],"MIDC/Pre-Production",RM_PM_Quantity[Section],$C59,RM_PM_Quantity[RM Name],$E59),0)</f>
        <v>0</v>
      </c>
      <c r="AL59" s="84">
        <f>SUMIFS(RM_PM_Quantity[Quantity],RM_PM_Quantity[Date],AL$1,RM_PM_Quantity[Location],$D59,RM_PM_Quantity[Section],$C59,RM_PM_Quantity[RM Name],$E59)+IF($D59="MIND/Pre-Production",SUMIFS(RM_PM_Quantity[Quantity],RM_PM_Quantity[Date],AL$1,RM_PM_Quantity[Location],"MIDC/Pre-Production",RM_PM_Quantity[Section],$C59,RM_PM_Quantity[RM Name],$E59),0)</f>
        <v>0</v>
      </c>
      <c r="AM59" s="84">
        <f>SUMIFS(RM_PM_Quantity[Quantity],RM_PM_Quantity[Date],AM$1,RM_PM_Quantity[Location],$D59,RM_PM_Quantity[Section],$C59,RM_PM_Quantity[RM Name],$E59)+IF($D59="MIND/Pre-Production",SUMIFS(RM_PM_Quantity[Quantity],RM_PM_Quantity[Date],AM$1,RM_PM_Quantity[Location],"MIDC/Pre-Production",RM_PM_Quantity[Section],$C59,RM_PM_Quantity[RM Name],$E59),0)</f>
        <v>0</v>
      </c>
      <c r="AN59" s="84">
        <f>SUMIFS(RM_PM_Quantity[Quantity],RM_PM_Quantity[Date],AN$1,RM_PM_Quantity[Location],$D59,RM_PM_Quantity[Section],$C59,RM_PM_Quantity[RM Name],$E59)+IF($D59="MIND/Pre-Production",SUMIFS(RM_PM_Quantity[Quantity],RM_PM_Quantity[Date],AN$1,RM_PM_Quantity[Location],"MIDC/Pre-Production",RM_PM_Quantity[Section],$C59,RM_PM_Quantity[RM Name],$E59),0)</f>
        <v>0</v>
      </c>
      <c r="AO59" s="84">
        <f>SUMIFS(RM_PM_Quantity[Quantity],RM_PM_Quantity[Date],AO$1,RM_PM_Quantity[Location],$D59,RM_PM_Quantity[Section],$C59,RM_PM_Quantity[RM Name],$E59)+IF($D59="MIND/Pre-Production",SUMIFS(RM_PM_Quantity[Quantity],RM_PM_Quantity[Date],AO$1,RM_PM_Quantity[Location],"MIDC/Pre-Production",RM_PM_Quantity[Section],$C59,RM_PM_Quantity[RM Name],$E59),0)</f>
        <v>0</v>
      </c>
      <c r="AP59" s="84">
        <f>SUMIFS(RM_PM_Quantity[Quantity],RM_PM_Quantity[Date],AP$1,RM_PM_Quantity[Location],$D59,RM_PM_Quantity[Section],$C59,RM_PM_Quantity[RM Name],$E59)+IF($D59="MIND/Pre-Production",SUMIFS(RM_PM_Quantity[Quantity],RM_PM_Quantity[Date],AP$1,RM_PM_Quantity[Location],"MIDC/Pre-Production",RM_PM_Quantity[Section],$C59,RM_PM_Quantity[RM Name],$E59),0)</f>
        <v>0</v>
      </c>
      <c r="AQ59" s="84">
        <f>SUMIFS(RM_PM_Quantity[Quantity],RM_PM_Quantity[Date],AQ$1,RM_PM_Quantity[Location],$D59,RM_PM_Quantity[Section],$C59,RM_PM_Quantity[RM Name],$E59)+IF($D59="MIND/Pre-Production",SUMIFS(RM_PM_Quantity[Quantity],RM_PM_Quantity[Date],AQ$1,RM_PM_Quantity[Location],"MIDC/Pre-Production",RM_PM_Quantity[Section],$C59,RM_PM_Quantity[RM Name],$E59),0)</f>
        <v>0</v>
      </c>
      <c r="AR59" s="84">
        <f>SUMIFS(RM_PM_Quantity[Quantity],RM_PM_Quantity[Date],AR$1,RM_PM_Quantity[Location],$D59,RM_PM_Quantity[Section],$C59,RM_PM_Quantity[RM Name],$E59)+IF($D59="MIND/Pre-Production",SUMIFS(RM_PM_Quantity[Quantity],RM_PM_Quantity[Date],AR$1,RM_PM_Quantity[Location],"MIDC/Pre-Production",RM_PM_Quantity[Section],$C59,RM_PM_Quantity[RM Name],$E59),0)</f>
        <v>0</v>
      </c>
      <c r="AS59" s="84">
        <f>SUMIFS(RM_PM_Quantity[Quantity],RM_PM_Quantity[Date],AS$1,RM_PM_Quantity[Location],$D59,RM_PM_Quantity[Section],$C59,RM_PM_Quantity[RM Name],$E59)+IF($D59="MIND/Pre-Production",SUMIFS(RM_PM_Quantity[Quantity],RM_PM_Quantity[Date],AS$1,RM_PM_Quantity[Location],"MIDC/Pre-Production",RM_PM_Quantity[Section],$C59,RM_PM_Quantity[RM Name],$E59),0)</f>
        <v>0</v>
      </c>
      <c r="AT59" s="84">
        <f>SUMIFS(RM_PM_Quantity[Quantity],RM_PM_Quantity[Date],AT$1,RM_PM_Quantity[Location],$D59,RM_PM_Quantity[Section],$C59,RM_PM_Quantity[RM Name],$E59)+IF($D59="MIND/Pre-Production",SUMIFS(RM_PM_Quantity[Quantity],RM_PM_Quantity[Date],AT$1,RM_PM_Quantity[Location],"MIDC/Pre-Production",RM_PM_Quantity[Section],$C59,RM_PM_Quantity[RM Name],$E59),0)</f>
        <v>0</v>
      </c>
      <c r="AU59" s="84">
        <f>SUMIFS(RM_PM_Quantity[Quantity],RM_PM_Quantity[Date],AU$1,RM_PM_Quantity[Location],$D59,RM_PM_Quantity[Section],$C59,RM_PM_Quantity[RM Name],$E59)+IF($D59="MIND/Pre-Production",SUMIFS(RM_PM_Quantity[Quantity],RM_PM_Quantity[Date],AU$1,RM_PM_Quantity[Location],"MIDC/Pre-Production",RM_PM_Quantity[Section],$C59,RM_PM_Quantity[RM Name],$E59),0)</f>
        <v>0</v>
      </c>
      <c r="AV59" s="84">
        <f>SUMIFS(RM_PM_Quantity[Quantity],RM_PM_Quantity[Date],AV$1,RM_PM_Quantity[Location],$D59,RM_PM_Quantity[Section],$C59,RM_PM_Quantity[RM Name],$E59)+IF($D59="MIND/Pre-Production",SUMIFS(RM_PM_Quantity[Quantity],RM_PM_Quantity[Date],AV$1,RM_PM_Quantity[Location],"MIDC/Pre-Production",RM_PM_Quantity[Section],$C59,RM_PM_Quantity[RM Name],$E59),0)</f>
        <v>0</v>
      </c>
      <c r="AW59" s="84">
        <f>SUMIFS(RM_PM_Quantity[Quantity],RM_PM_Quantity[Date],AW$1,RM_PM_Quantity[Location],$D59,RM_PM_Quantity[Section],$C59,RM_PM_Quantity[RM Name],$E59)+IF($D59="MIND/Pre-Production",SUMIFS(RM_PM_Quantity[Quantity],RM_PM_Quantity[Date],AW$1,RM_PM_Quantity[Location],"MIDC/Pre-Production",RM_PM_Quantity[Section],$C59,RM_PM_Quantity[RM Name],$E59),0)</f>
        <v>0</v>
      </c>
      <c r="AX59" s="84">
        <f>SUMIFS(RM_PM_Quantity[Quantity],RM_PM_Quantity[Date],AX$1,RM_PM_Quantity[Location],$D59,RM_PM_Quantity[Section],$C59,RM_PM_Quantity[RM Name],$E59)+IF($D59="MIND/Pre-Production",SUMIFS(RM_PM_Quantity[Quantity],RM_PM_Quantity[Date],AX$1,RM_PM_Quantity[Location],"MIDC/Pre-Production",RM_PM_Quantity[Section],$C59,RM_PM_Quantity[RM Name],$E59),0)</f>
        <v>0</v>
      </c>
      <c r="AY59" s="84">
        <f>SUMIFS(RM_PM_Quantity[Quantity],RM_PM_Quantity[Date],AY$1,RM_PM_Quantity[Location],$D59,RM_PM_Quantity[Section],$C59,RM_PM_Quantity[RM Name],$E59)+IF($D59="MIND/Pre-Production",SUMIFS(RM_PM_Quantity[Quantity],RM_PM_Quantity[Date],AY$1,RM_PM_Quantity[Location],"MIDC/Pre-Production",RM_PM_Quantity[Section],$C59,RM_PM_Quantity[RM Name],$E59),0)</f>
        <v>0</v>
      </c>
      <c r="AZ59" s="84">
        <f>SUMIFS(RM_PM_Quantity[Quantity],RM_PM_Quantity[Date],AZ$1,RM_PM_Quantity[Location],$D59,RM_PM_Quantity[Section],$C59,RM_PM_Quantity[RM Name],$E59)+IF($D59="MIND/Pre-Production",SUMIFS(RM_PM_Quantity[Quantity],RM_PM_Quantity[Date],AZ$1,RM_PM_Quantity[Location],"MIDC/Pre-Production",RM_PM_Quantity[Section],$C59,RM_PM_Quantity[RM Name],$E59),0)</f>
        <v>0</v>
      </c>
      <c r="BA59" s="84">
        <f>SUMIFS(RM_PM_Quantity[Quantity],RM_PM_Quantity[Date],BA$1,RM_PM_Quantity[Location],$D59,RM_PM_Quantity[Section],$C59,RM_PM_Quantity[RM Name],$E59)+IF($D59="MIND/Pre-Production",SUMIFS(RM_PM_Quantity[Quantity],RM_PM_Quantity[Date],BA$1,RM_PM_Quantity[Location],"MIDC/Pre-Production",RM_PM_Quantity[Section],$C59,RM_PM_Quantity[RM Name],$E59),0)</f>
        <v>0</v>
      </c>
      <c r="BB59" s="84">
        <f>SUMIFS(RM_PM_Quantity[Quantity],RM_PM_Quantity[Date],BB$1,RM_PM_Quantity[Location],$D59,RM_PM_Quantity[Section],$C59,RM_PM_Quantity[RM Name],$E59)+IF($D59="MIND/Pre-Production",SUMIFS(RM_PM_Quantity[Quantity],RM_PM_Quantity[Date],BB$1,RM_PM_Quantity[Location],"MIDC/Pre-Production",RM_PM_Quantity[Section],$C59,RM_PM_Quantity[RM Name],$E59),0)</f>
        <v>0</v>
      </c>
      <c r="BC59" s="84">
        <f>SUMIFS(RM_PM_Quantity[Quantity],RM_PM_Quantity[Date],BC$1,RM_PM_Quantity[Location],$D59,RM_PM_Quantity[Section],$C59,RM_PM_Quantity[RM Name],$E59)+IF($D59="MIND/Pre-Production",SUMIFS(RM_PM_Quantity[Quantity],RM_PM_Quantity[Date],BC$1,RM_PM_Quantity[Location],"MIDC/Pre-Production",RM_PM_Quantity[Section],$C59,RM_PM_Quantity[RM Name],$E59),0)</f>
        <v>0</v>
      </c>
      <c r="BD59" s="84">
        <f>SUMIFS(RM_PM_Quantity[Quantity],RM_PM_Quantity[Date],BD$1,RM_PM_Quantity[Location],$D59,RM_PM_Quantity[Section],$C59,RM_PM_Quantity[RM Name],$E59)+IF($D59="MIND/Pre-Production",SUMIFS(RM_PM_Quantity[Quantity],RM_PM_Quantity[Date],BD$1,RM_PM_Quantity[Location],"MIDC/Pre-Production",RM_PM_Quantity[Section],$C59,RM_PM_Quantity[RM Name],$E59),0)</f>
        <v>0</v>
      </c>
      <c r="BE59" s="84">
        <f>SUMIFS(RM_PM_Quantity[Quantity],RM_PM_Quantity[Date],BE$1,RM_PM_Quantity[Location],$D59,RM_PM_Quantity[Section],$C59,RM_PM_Quantity[RM Name],$E59)+IF($D59="MIND/Pre-Production",SUMIFS(RM_PM_Quantity[Quantity],RM_PM_Quantity[Date],BE$1,RM_PM_Quantity[Location],"MIDC/Pre-Production",RM_PM_Quantity[Section],$C59,RM_PM_Quantity[RM Name],$E59),0)</f>
        <v>0</v>
      </c>
      <c r="BF59" s="84">
        <f>SUMIFS(RM_PM_Quantity[Quantity],RM_PM_Quantity[Date],BF$1,RM_PM_Quantity[Location],$D59,RM_PM_Quantity[Section],$C59,RM_PM_Quantity[RM Name],$E59)+IF($D59="MIND/Pre-Production",SUMIFS(RM_PM_Quantity[Quantity],RM_PM_Quantity[Date],BF$1,RM_PM_Quantity[Location],"MIDC/Pre-Production",RM_PM_Quantity[Section],$C59,RM_PM_Quantity[RM Name],$E59),0)</f>
        <v>0</v>
      </c>
      <c r="BG59" s="84">
        <f>SUMIFS(RM_PM_Quantity[Quantity],RM_PM_Quantity[Date],BG$1,RM_PM_Quantity[Location],$D59,RM_PM_Quantity[Section],$C59,RM_PM_Quantity[RM Name],$E59)+IF($D59="MIND/Pre-Production",SUMIFS(RM_PM_Quantity[Quantity],RM_PM_Quantity[Date],BG$1,RM_PM_Quantity[Location],"MIDC/Pre-Production",RM_PM_Quantity[Section],$C59,RM_PM_Quantity[RM Name],$E59),0)</f>
        <v>0</v>
      </c>
      <c r="BH59" s="84">
        <f>SUMIFS(RM_PM_Quantity[Quantity],RM_PM_Quantity[Date],BH$1,RM_PM_Quantity[Location],$D59,RM_PM_Quantity[Section],$C59,RM_PM_Quantity[RM Name],$E59)+IF($D59="MIND/Pre-Production",SUMIFS(RM_PM_Quantity[Quantity],RM_PM_Quantity[Date],BH$1,RM_PM_Quantity[Location],"MIDC/Pre-Production",RM_PM_Quantity[Section],$C59,RM_PM_Quantity[RM Name],$E59),0)</f>
        <v>0</v>
      </c>
      <c r="BI59" s="84">
        <f>SUMIFS(RM_PM_Quantity[Quantity],RM_PM_Quantity[Date],BI$1,RM_PM_Quantity[Location],$D59,RM_PM_Quantity[Section],$C59,RM_PM_Quantity[RM Name],$E59)+IF($D59="MIND/Pre-Production",SUMIFS(RM_PM_Quantity[Quantity],RM_PM_Quantity[Date],BI$1,RM_PM_Quantity[Location],"MIDC/Pre-Production",RM_PM_Quantity[Section],$C59,RM_PM_Quantity[RM Name],$E59),0)</f>
        <v>0</v>
      </c>
      <c r="BJ59" s="84">
        <f>SUMIFS(RM_PM_Quantity[Quantity],RM_PM_Quantity[Date],BJ$1,RM_PM_Quantity[Location],$D59,RM_PM_Quantity[Section],$C59,RM_PM_Quantity[RM Name],$E59)+IF($D59="MIND/Pre-Production",SUMIFS(RM_PM_Quantity[Quantity],RM_PM_Quantity[Date],BJ$1,RM_PM_Quantity[Location],"MIDC/Pre-Production",RM_PM_Quantity[Section],$C59,RM_PM_Quantity[RM Name],$E59),0)</f>
        <v>0</v>
      </c>
      <c r="BK59" s="84">
        <f>SUMIFS(RM_PM_Quantity[Quantity],RM_PM_Quantity[Date],BK$1,RM_PM_Quantity[Location],$D59,RM_PM_Quantity[Section],$C59,RM_PM_Quantity[RM Name],$E59)+IF($D59="MIND/Pre-Production",SUMIFS(RM_PM_Quantity[Quantity],RM_PM_Quantity[Date],BK$1,RM_PM_Quantity[Location],"MIDC/Pre-Production",RM_PM_Quantity[Section],$C59,RM_PM_Quantity[RM Name],$E59),0)</f>
        <v>0</v>
      </c>
      <c r="BL59" s="84">
        <f>SUMIFS(RM_PM_Quantity[Quantity],RM_PM_Quantity[Date],BL$1,RM_PM_Quantity[Location],$D59,RM_PM_Quantity[Section],$C59,RM_PM_Quantity[RM Name],$E59)+IF($D59="MIND/Pre-Production",SUMIFS(RM_PM_Quantity[Quantity],RM_PM_Quantity[Date],BL$1,RM_PM_Quantity[Location],"MIDC/Pre-Production",RM_PM_Quantity[Section],$C59,RM_PM_Quantity[RM Name],$E59),0)</f>
        <v>0</v>
      </c>
      <c r="BM59" s="84">
        <f>SUMIFS(RM_PM_Quantity[Quantity],RM_PM_Quantity[Date],BM$1,RM_PM_Quantity[Location],$D59,RM_PM_Quantity[Section],$C59,RM_PM_Quantity[RM Name],$E59)+IF($D59="MIND/Pre-Production",SUMIFS(RM_PM_Quantity[Quantity],RM_PM_Quantity[Date],BM$1,RM_PM_Quantity[Location],"MIDC/Pre-Production",RM_PM_Quantity[Section],$C59,RM_PM_Quantity[RM Name],$E59),0)</f>
        <v>0</v>
      </c>
      <c r="BN59" s="84">
        <f>SUMIFS(RM_PM_Quantity[Quantity],RM_PM_Quantity[Date],BN$1,RM_PM_Quantity[Location],$D59,RM_PM_Quantity[Section],$C59,RM_PM_Quantity[RM Name],$E59)+IF($D59="MIND/Pre-Production",SUMIFS(RM_PM_Quantity[Quantity],RM_PM_Quantity[Date],BN$1,RM_PM_Quantity[Location],"MIDC/Pre-Production",RM_PM_Quantity[Section],$C59,RM_PM_Quantity[RM Name],$E59),0)</f>
        <v>0</v>
      </c>
      <c r="BO59" s="84">
        <f>SUMIFS(RM_PM_Quantity[Quantity],RM_PM_Quantity[Date],BO$1,RM_PM_Quantity[Location],$D59,RM_PM_Quantity[Section],$C59,RM_PM_Quantity[RM Name],$E59)+IF($D59="MIND/Pre-Production",SUMIFS(RM_PM_Quantity[Quantity],RM_PM_Quantity[Date],BO$1,RM_PM_Quantity[Location],"MIDC/Pre-Production",RM_PM_Quantity[Section],$C59,RM_PM_Quantity[RM Name],$E59),0)</f>
        <v>0</v>
      </c>
      <c r="BP59" s="84">
        <f>SUMIFS(RM_PM_Quantity[Quantity],RM_PM_Quantity[Date],BP$1,RM_PM_Quantity[Location],$D59,RM_PM_Quantity[Section],$C59,RM_PM_Quantity[RM Name],$E59)+IF($D59="MIND/Pre-Production",SUMIFS(RM_PM_Quantity[Quantity],RM_PM_Quantity[Date],BP$1,RM_PM_Quantity[Location],"MIDC/Pre-Production",RM_PM_Quantity[Section],$C59,RM_PM_Quantity[RM Name],$E59),0)</f>
        <v>0</v>
      </c>
      <c r="BQ59" s="84">
        <f>SUMIFS(RM_PM_Quantity[Quantity],RM_PM_Quantity[Date],BQ$1,RM_PM_Quantity[Location],$D59,RM_PM_Quantity[Section],$C59,RM_PM_Quantity[RM Name],$E59)+IF($D59="MIND/Pre-Production",SUMIFS(RM_PM_Quantity[Quantity],RM_PM_Quantity[Date],BQ$1,RM_PM_Quantity[Location],"MIDC/Pre-Production",RM_PM_Quantity[Section],$C59,RM_PM_Quantity[RM Name],$E59),0)</f>
        <v>0</v>
      </c>
      <c r="BR59" s="84">
        <f>SUMIFS(RM_PM_Quantity[Quantity],RM_PM_Quantity[Date],BR$1,RM_PM_Quantity[Location],$D59,RM_PM_Quantity[Section],$C59,RM_PM_Quantity[RM Name],$E59)+IF($D59="MIND/Pre-Production",SUMIFS(RM_PM_Quantity[Quantity],RM_PM_Quantity[Date],BR$1,RM_PM_Quantity[Location],"MIDC/Pre-Production",RM_PM_Quantity[Section],$C59,RM_PM_Quantity[RM Name],$E59),0)</f>
        <v>0</v>
      </c>
      <c r="BS59" s="84">
        <f>SUMIFS(RM_PM_Quantity[Quantity],RM_PM_Quantity[Date],BS$1,RM_PM_Quantity[Location],$D59,RM_PM_Quantity[Section],$C59,RM_PM_Quantity[RM Name],$E59)+IF($D59="MIND/Pre-Production",SUMIFS(RM_PM_Quantity[Quantity],RM_PM_Quantity[Date],BS$1,RM_PM_Quantity[Location],"MIDC/Pre-Production",RM_PM_Quantity[Section],$C59,RM_PM_Quantity[RM Name],$E59),0)</f>
        <v>0</v>
      </c>
      <c r="BT59" s="84">
        <f>SUMIFS(RM_PM_Quantity[ID],RM_PM_Quantity[Location],BT$1,RM_PM_Quantity[Section],$D59,RM_PM_Quantity[RM Name],$C59,RM_PM_Quantity[Quantity],$E59)+IF($D59="MIND/Pre-Production",SUMIFS(RM_PM_Quantity[ID],RM_PM_Quantity[Location],BT$1,RM_PM_Quantity[Section],"MIDC/Pre-Production",RM_PM_Quantity[RM Name],$C59,RM_PM_Quantity[Quantity],$E59),0)</f>
        <v>0</v>
      </c>
      <c r="BU59" s="84">
        <f>SUMIFS(RM_PM_Quantity[Name of Supervisor],RM_PM_Quantity[Section],BU$1,RM_PM_Quantity[RM Name],$D59,RM_PM_Quantity[Quantity],$C59,RM_PM_Quantity[ID],$E59)+IF($D59="MIND/Pre-Production",SUMIFS(RM_PM_Quantity[Name of Supervisor],RM_PM_Quantity[Section],BU$1,RM_PM_Quantity[RM Name],"MIDC/Pre-Production",RM_PM_Quantity[Quantity],$C59,RM_PM_Quantity[ID],$E59),0)</f>
        <v>0</v>
      </c>
      <c r="BV59" s="84">
        <f>SUMIFS(RM_PM_Quantity[Date],RM_PM_Quantity[RM Name],BV$1,RM_PM_Quantity[Quantity],$D59,RM_PM_Quantity[ID],$C59,RM_PM_Quantity[Name of Supervisor],$E59)+IF($D59="MIND/Pre-Production",SUMIFS(RM_PM_Quantity[Date],RM_PM_Quantity[RM Name],BV$1,RM_PM_Quantity[Quantity],"MIDC/Pre-Production",RM_PM_Quantity[ID],$C59,RM_PM_Quantity[Name of Supervisor],$E59),0)</f>
        <v>0</v>
      </c>
      <c r="BW59" s="84">
        <f>SUMIFS(RM_PM_Quantity[Location],RM_PM_Quantity[Quantity],BW$1,RM_PM_Quantity[ID],$D59,RM_PM_Quantity[Name of Supervisor],$C59,RM_PM_Quantity[Date],$E59)+IF($D59="MIND/Pre-Production",SUMIFS(RM_PM_Quantity[Location],RM_PM_Quantity[Quantity],BW$1,RM_PM_Quantity[ID],"MIDC/Pre-Production",RM_PM_Quantity[Name of Supervisor],$C59,RM_PM_Quantity[Date],$E59),0)</f>
        <v>0</v>
      </c>
      <c r="BX59" s="84">
        <f>SUMIFS(RM_PM_Quantity[Section],RM_PM_Quantity[ID],BX$1,RM_PM_Quantity[Name of Supervisor],$D59,RM_PM_Quantity[Date],$C59,RM_PM_Quantity[Location],$E59)+IF($D59="MIND/Pre-Production",SUMIFS(RM_PM_Quantity[Section],RM_PM_Quantity[ID],BX$1,RM_PM_Quantity[Name of Supervisor],"MIDC/Pre-Production",RM_PM_Quantity[Date],$C59,RM_PM_Quantity[Location],$E59),0)</f>
        <v>0</v>
      </c>
      <c r="BY59" s="84">
        <f>SUMIFS(RM_PM_Quantity[RM Name],RM_PM_Quantity[Name of Supervisor],BY$1,RM_PM_Quantity[Date],$D59,RM_PM_Quantity[Location],$C59,RM_PM_Quantity[Section],$E59)+IF($D59="MIND/Pre-Production",SUMIFS(RM_PM_Quantity[RM Name],RM_PM_Quantity[Name of Supervisor],BY$1,RM_PM_Quantity[Date],"MIDC/Pre-Production",RM_PM_Quantity[Location],$C59,RM_PM_Quantity[Section],$E59),0)</f>
        <v>0</v>
      </c>
    </row>
    <row r="60" spans="1:77" ht="45.75" customHeight="1">
      <c r="A60" s="79">
        <v>59</v>
      </c>
      <c r="B60" s="79" t="s">
        <v>160</v>
      </c>
      <c r="C60" s="80" t="s">
        <v>146</v>
      </c>
      <c r="D60" s="81" t="s">
        <v>54</v>
      </c>
      <c r="E60" s="90" t="s">
        <v>161</v>
      </c>
      <c r="F60" s="83">
        <f>IFERROR(_xlfn.XLOOKUP(B60,'[1]RM Tracker'!B:B,'[1]RM Tracker'!E:E),"0")</f>
        <v>16.838000000000001</v>
      </c>
      <c r="G60" s="85">
        <f t="shared" si="2"/>
        <v>0</v>
      </c>
      <c r="H60" s="85">
        <f t="shared" si="3"/>
        <v>-16.838000000000001</v>
      </c>
      <c r="I60" s="91">
        <f t="shared" si="4"/>
        <v>0</v>
      </c>
      <c r="J60" s="84">
        <f>SUMIFS(RM_PM_Quantity[Quantity],RM_PM_Quantity[Date],J$1,RM_PM_Quantity[Location],$D60,RM_PM_Quantity[Section],$C60,RM_PM_Quantity[RM Name],$E60)+IF($D60="MIND/Pre-Production",SUMIFS(RM_PM_Quantity[Quantity],RM_PM_Quantity[Date],J$1,RM_PM_Quantity[Location],"MIDC/Pre-Production",RM_PM_Quantity[Section],$C60,RM_PM_Quantity[RM Name],$E60),0)</f>
        <v>0</v>
      </c>
      <c r="K60" s="84">
        <f>SUMIFS(RM_PM_Quantity[Quantity],RM_PM_Quantity[Date],K$1,RM_PM_Quantity[Location],$D60,RM_PM_Quantity[Section],$C60,RM_PM_Quantity[RM Name],$E60)+IF($D60="MIND/Pre-Production",SUMIFS(RM_PM_Quantity[Quantity],RM_PM_Quantity[Date],K$1,RM_PM_Quantity[Location],"MIDC/Pre-Production",RM_PM_Quantity[Section],$C60,RM_PM_Quantity[RM Name],$E60),0)</f>
        <v>0</v>
      </c>
      <c r="L60" s="84">
        <f>SUMIFS(RM_PM_Quantity[Quantity],RM_PM_Quantity[Date],L$1,RM_PM_Quantity[Location],$D60,RM_PM_Quantity[Section],$C60,RM_PM_Quantity[RM Name],$E60)+IF($D60="MIND/Pre-Production",SUMIFS(RM_PM_Quantity[Quantity],RM_PM_Quantity[Date],L$1,RM_PM_Quantity[Location],"MIDC/Pre-Production",RM_PM_Quantity[Section],$C60,RM_PM_Quantity[RM Name],$E60),0)</f>
        <v>0</v>
      </c>
      <c r="M60" s="84">
        <f>SUMIFS(RM_PM_Quantity[Quantity],RM_PM_Quantity[Date],M$1,RM_PM_Quantity[Location],$D60,RM_PM_Quantity[Section],$C60,RM_PM_Quantity[RM Name],$E60)+IF($D60="MIND/Pre-Production",SUMIFS(RM_PM_Quantity[Quantity],RM_PM_Quantity[Date],M$1,RM_PM_Quantity[Location],"MIDC/Pre-Production",RM_PM_Quantity[Section],$C60,RM_PM_Quantity[RM Name],$E60),0)</f>
        <v>0</v>
      </c>
      <c r="N60" s="84">
        <f>SUMIFS(RM_PM_Quantity[Quantity],RM_PM_Quantity[Date],N$1,RM_PM_Quantity[Location],$D60,RM_PM_Quantity[Section],$C60,RM_PM_Quantity[RM Name],$E60)+IF($D60="MIND/Pre-Production",SUMIFS(RM_PM_Quantity[Quantity],RM_PM_Quantity[Date],N$1,RM_PM_Quantity[Location],"MIDC/Pre-Production",RM_PM_Quantity[Section],$C60,RM_PM_Quantity[RM Name],$E60),0)</f>
        <v>0</v>
      </c>
      <c r="O60" s="84">
        <f>SUMIFS(RM_PM_Quantity[Quantity],RM_PM_Quantity[Date],O$1,RM_PM_Quantity[Location],$D60,RM_PM_Quantity[Section],$C60,RM_PM_Quantity[RM Name],$E60)+IF($D60="MIND/Pre-Production",SUMIFS(RM_PM_Quantity[Quantity],RM_PM_Quantity[Date],O$1,RM_PM_Quantity[Location],"MIDC/Pre-Production",RM_PM_Quantity[Section],$C60,RM_PM_Quantity[RM Name],$E60),0)</f>
        <v>0</v>
      </c>
      <c r="P60" s="84">
        <f>SUMIFS(RM_PM_Quantity[Quantity],RM_PM_Quantity[Date],P$1,RM_PM_Quantity[Location],$D60,RM_PM_Quantity[Section],$C60,RM_PM_Quantity[RM Name],$E60)+IF($D60="MIND/Pre-Production",SUMIFS(RM_PM_Quantity[Quantity],RM_PM_Quantity[Date],P$1,RM_PM_Quantity[Location],"MIDC/Pre-Production",RM_PM_Quantity[Section],$C60,RM_PM_Quantity[RM Name],$E60),0)</f>
        <v>0</v>
      </c>
      <c r="Q60" s="84">
        <f>SUMIFS(RM_PM_Quantity[Quantity],RM_PM_Quantity[Date],Q$1,RM_PM_Quantity[Location],$D60,RM_PM_Quantity[Section],$C60,RM_PM_Quantity[RM Name],$E60)+IF($D60="MIND/Pre-Production",SUMIFS(RM_PM_Quantity[Quantity],RM_PM_Quantity[Date],Q$1,RM_PM_Quantity[Location],"MIDC/Pre-Production",RM_PM_Quantity[Section],$C60,RM_PM_Quantity[RM Name],$E60),0)</f>
        <v>0</v>
      </c>
      <c r="R60" s="84">
        <f>SUMIFS(RM_PM_Quantity[Quantity],RM_PM_Quantity[Date],R$1,RM_PM_Quantity[Location],$D60,RM_PM_Quantity[Section],$C60,RM_PM_Quantity[RM Name],$E60)+IF($D60="MIND/Pre-Production",SUMIFS(RM_PM_Quantity[Quantity],RM_PM_Quantity[Date],R$1,RM_PM_Quantity[Location],"MIDC/Pre-Production",RM_PM_Quantity[Section],$C60,RM_PM_Quantity[RM Name],$E60),0)</f>
        <v>0</v>
      </c>
      <c r="S60" s="84">
        <f>SUMIFS(RM_PM_Quantity[Quantity],RM_PM_Quantity[Date],S$1,RM_PM_Quantity[Location],$D60,RM_PM_Quantity[Section],$C60,RM_PM_Quantity[RM Name],$E60)+IF($D60="MIND/Pre-Production",SUMIFS(RM_PM_Quantity[Quantity],RM_PM_Quantity[Date],S$1,RM_PM_Quantity[Location],"MIDC/Pre-Production",RM_PM_Quantity[Section],$C60,RM_PM_Quantity[RM Name],$E60),0)</f>
        <v>0</v>
      </c>
      <c r="T60" s="84">
        <f>SUMIFS(RM_PM_Quantity[Quantity],RM_PM_Quantity[Date],T$1,RM_PM_Quantity[Location],$D60,RM_PM_Quantity[Section],$C60,RM_PM_Quantity[RM Name],$E60)+IF($D60="MIND/Pre-Production",SUMIFS(RM_PM_Quantity[Quantity],RM_PM_Quantity[Date],T$1,RM_PM_Quantity[Location],"MIDC/Pre-Production",RM_PM_Quantity[Section],$C60,RM_PM_Quantity[RM Name],$E60),0)</f>
        <v>0</v>
      </c>
      <c r="U60" s="84">
        <f>SUMIFS(RM_PM_Quantity[Quantity],RM_PM_Quantity[Date],U$1,RM_PM_Quantity[Location],$D60,RM_PM_Quantity[Section],$C60,RM_PM_Quantity[RM Name],$E60)+IF($D60="MIND/Pre-Production",SUMIFS(RM_PM_Quantity[Quantity],RM_PM_Quantity[Date],U$1,RM_PM_Quantity[Location],"MIDC/Pre-Production",RM_PM_Quantity[Section],$C60,RM_PM_Quantity[RM Name],$E60),0)</f>
        <v>0</v>
      </c>
      <c r="V60" s="84">
        <f>SUMIFS(RM_PM_Quantity[Quantity],RM_PM_Quantity[Date],V$1,RM_PM_Quantity[Location],$D60,RM_PM_Quantity[Section],$C60,RM_PM_Quantity[RM Name],$E60)+IF($D60="MIND/Pre-Production",SUMIFS(RM_PM_Quantity[Quantity],RM_PM_Quantity[Date],V$1,RM_PM_Quantity[Location],"MIDC/Pre-Production",RM_PM_Quantity[Section],$C60,RM_PM_Quantity[RM Name],$E60),0)</f>
        <v>0</v>
      </c>
      <c r="W60" s="84">
        <f>SUMIFS(RM_PM_Quantity[Quantity],RM_PM_Quantity[Date],W$1,RM_PM_Quantity[Location],$D60,RM_PM_Quantity[Section],$C60,RM_PM_Quantity[RM Name],$E60)+IF($D60="MIND/Pre-Production",SUMIFS(RM_PM_Quantity[Quantity],RM_PM_Quantity[Date],W$1,RM_PM_Quantity[Location],"MIDC/Pre-Production",RM_PM_Quantity[Section],$C60,RM_PM_Quantity[RM Name],$E60),0)</f>
        <v>0</v>
      </c>
      <c r="X60" s="84">
        <f>SUMIFS(RM_PM_Quantity[Quantity],RM_PM_Quantity[Date],X$1,RM_PM_Quantity[Location],$D60,RM_PM_Quantity[Section],$C60,RM_PM_Quantity[RM Name],$E60)+IF($D60="MIND/Pre-Production",SUMIFS(RM_PM_Quantity[Quantity],RM_PM_Quantity[Date],X$1,RM_PM_Quantity[Location],"MIDC/Pre-Production",RM_PM_Quantity[Section],$C60,RM_PM_Quantity[RM Name],$E60),0)</f>
        <v>0</v>
      </c>
      <c r="Y60" s="84">
        <f>SUMIFS(RM_PM_Quantity[Quantity],RM_PM_Quantity[Date],Y$1,RM_PM_Quantity[Location],$D60,RM_PM_Quantity[Section],$C60,RM_PM_Quantity[RM Name],$E60)+IF($D60="MIND/Pre-Production",SUMIFS(RM_PM_Quantity[Quantity],RM_PM_Quantity[Date],Y$1,RM_PM_Quantity[Location],"MIDC/Pre-Production",RM_PM_Quantity[Section],$C60,RM_PM_Quantity[RM Name],$E60),0)</f>
        <v>0</v>
      </c>
      <c r="Z60" s="84">
        <f>SUMIFS(RM_PM_Quantity[Quantity],RM_PM_Quantity[Date],Z$1,RM_PM_Quantity[Location],$D60,RM_PM_Quantity[Section],$C60,RM_PM_Quantity[RM Name],$E60)+IF($D60="MIND/Pre-Production",SUMIFS(RM_PM_Quantity[Quantity],RM_PM_Quantity[Date],Z$1,RM_PM_Quantity[Location],"MIDC/Pre-Production",RM_PM_Quantity[Section],$C60,RM_PM_Quantity[RM Name],$E60),0)</f>
        <v>0</v>
      </c>
      <c r="AA60" s="84">
        <f>SUMIFS(RM_PM_Quantity[Quantity],RM_PM_Quantity[Date],AA$1,RM_PM_Quantity[Location],$D60,RM_PM_Quantity[Section],$C60,RM_PM_Quantity[RM Name],$E60)+IF($D60="MIND/Pre-Production",SUMIFS(RM_PM_Quantity[Quantity],RM_PM_Quantity[Date],AA$1,RM_PM_Quantity[Location],"MIDC/Pre-Production",RM_PM_Quantity[Section],$C60,RM_PM_Quantity[RM Name],$E60),0)</f>
        <v>0</v>
      </c>
      <c r="AB60" s="84">
        <f>SUMIFS(RM_PM_Quantity[Quantity],RM_PM_Quantity[Date],AB$1,RM_PM_Quantity[Location],$D60,RM_PM_Quantity[Section],$C60,RM_PM_Quantity[RM Name],$E60)+IF($D60="MIND/Pre-Production",SUMIFS(RM_PM_Quantity[Quantity],RM_PM_Quantity[Date],AB$1,RM_PM_Quantity[Location],"MIDC/Pre-Production",RM_PM_Quantity[Section],$C60,RM_PM_Quantity[RM Name],$E60),0)</f>
        <v>0</v>
      </c>
      <c r="AC60" s="84">
        <f>SUMIFS(RM_PM_Quantity[Quantity],RM_PM_Quantity[Date],AC$1,RM_PM_Quantity[Location],$D60,RM_PM_Quantity[Section],$C60,RM_PM_Quantity[RM Name],$E60)+IF($D60="MIND/Pre-Production",SUMIFS(RM_PM_Quantity[Quantity],RM_PM_Quantity[Date],AC$1,RM_PM_Quantity[Location],"MIDC/Pre-Production",RM_PM_Quantity[Section],$C60,RM_PM_Quantity[RM Name],$E60),0)</f>
        <v>0</v>
      </c>
      <c r="AD60" s="84">
        <f>SUMIFS(RM_PM_Quantity[Quantity],RM_PM_Quantity[Date],AD$1,RM_PM_Quantity[Location],$D60,RM_PM_Quantity[Section],$C60,RM_PM_Quantity[RM Name],$E60)+IF($D60="MIND/Pre-Production",SUMIFS(RM_PM_Quantity[Quantity],RM_PM_Quantity[Date],AD$1,RM_PM_Quantity[Location],"MIDC/Pre-Production",RM_PM_Quantity[Section],$C60,RM_PM_Quantity[RM Name],$E60),0)</f>
        <v>0</v>
      </c>
      <c r="AE60" s="84">
        <f>SUMIFS(RM_PM_Quantity[Quantity],RM_PM_Quantity[Date],AE$1,RM_PM_Quantity[Location],$D60,RM_PM_Quantity[Section],$C60,RM_PM_Quantity[RM Name],$E60)+IF($D60="MIND/Pre-Production",SUMIFS(RM_PM_Quantity[Quantity],RM_PM_Quantity[Date],AE$1,RM_PM_Quantity[Location],"MIDC/Pre-Production",RM_PM_Quantity[Section],$C60,RM_PM_Quantity[RM Name],$E60),0)</f>
        <v>0</v>
      </c>
      <c r="AF60" s="84">
        <f>SUMIFS(RM_PM_Quantity[Quantity],RM_PM_Quantity[Date],AF$1,RM_PM_Quantity[Location],$D60,RM_PM_Quantity[Section],$C60,RM_PM_Quantity[RM Name],$E60)+IF($D60="MIND/Pre-Production",SUMIFS(RM_PM_Quantity[Quantity],RM_PM_Quantity[Date],AF$1,RM_PM_Quantity[Location],"MIDC/Pre-Production",RM_PM_Quantity[Section],$C60,RM_PM_Quantity[RM Name],$E60),0)</f>
        <v>0</v>
      </c>
      <c r="AG60" s="84">
        <f>SUMIFS(RM_PM_Quantity[Quantity],RM_PM_Quantity[Date],AG$1,RM_PM_Quantity[Location],$D60,RM_PM_Quantity[Section],$C60,RM_PM_Quantity[RM Name],$E60)+IF($D60="MIND/Pre-Production",SUMIFS(RM_PM_Quantity[Quantity],RM_PM_Quantity[Date],AG$1,RM_PM_Quantity[Location],"MIDC/Pre-Production",RM_PM_Quantity[Section],$C60,RM_PM_Quantity[RM Name],$E60),0)</f>
        <v>0</v>
      </c>
      <c r="AH60" s="84">
        <f>SUMIFS(RM_PM_Quantity[Quantity],RM_PM_Quantity[Date],AH$1,RM_PM_Quantity[Location],$D60,RM_PM_Quantity[Section],$C60,RM_PM_Quantity[RM Name],$E60)+IF($D60="MIND/Pre-Production",SUMIFS(RM_PM_Quantity[Quantity],RM_PM_Quantity[Date],AH$1,RM_PM_Quantity[Location],"MIDC/Pre-Production",RM_PM_Quantity[Section],$C60,RM_PM_Quantity[RM Name],$E60),0)</f>
        <v>0</v>
      </c>
      <c r="AI60" s="84">
        <f>SUMIFS(RM_PM_Quantity[Quantity],RM_PM_Quantity[Date],AI$1,RM_PM_Quantity[Location],$D60,RM_PM_Quantity[Section],$C60,RM_PM_Quantity[RM Name],$E60)+IF($D60="MIND/Pre-Production",SUMIFS(RM_PM_Quantity[Quantity],RM_PM_Quantity[Date],AI$1,RM_PM_Quantity[Location],"MIDC/Pre-Production",RM_PM_Quantity[Section],$C60,RM_PM_Quantity[RM Name],$E60),0)</f>
        <v>0</v>
      </c>
      <c r="AJ60" s="84">
        <f>SUMIFS(RM_PM_Quantity[Quantity],RM_PM_Quantity[Date],AJ$1,RM_PM_Quantity[Location],$D60,RM_PM_Quantity[Section],$C60,RM_PM_Quantity[RM Name],$E60)+IF($D60="MIND/Pre-Production",SUMIFS(RM_PM_Quantity[Quantity],RM_PM_Quantity[Date],AJ$1,RM_PM_Quantity[Location],"MIDC/Pre-Production",RM_PM_Quantity[Section],$C60,RM_PM_Quantity[RM Name],$E60),0)</f>
        <v>0</v>
      </c>
      <c r="AK60" s="84">
        <f>SUMIFS(RM_PM_Quantity[Quantity],RM_PM_Quantity[Date],AK$1,RM_PM_Quantity[Location],$D60,RM_PM_Quantity[Section],$C60,RM_PM_Quantity[RM Name],$E60)+IF($D60="MIND/Pre-Production",SUMIFS(RM_PM_Quantity[Quantity],RM_PM_Quantity[Date],AK$1,RM_PM_Quantity[Location],"MIDC/Pre-Production",RM_PM_Quantity[Section],$C60,RM_PM_Quantity[RM Name],$E60),0)</f>
        <v>0</v>
      </c>
      <c r="AL60" s="84">
        <f>SUMIFS(RM_PM_Quantity[Quantity],RM_PM_Quantity[Date],AL$1,RM_PM_Quantity[Location],$D60,RM_PM_Quantity[Section],$C60,RM_PM_Quantity[RM Name],$E60)+IF($D60="MIND/Pre-Production",SUMIFS(RM_PM_Quantity[Quantity],RM_PM_Quantity[Date],AL$1,RM_PM_Quantity[Location],"MIDC/Pre-Production",RM_PM_Quantity[Section],$C60,RM_PM_Quantity[RM Name],$E60),0)</f>
        <v>0</v>
      </c>
      <c r="AM60" s="84">
        <f>SUMIFS(RM_PM_Quantity[Quantity],RM_PM_Quantity[Date],AM$1,RM_PM_Quantity[Location],$D60,RM_PM_Quantity[Section],$C60,RM_PM_Quantity[RM Name],$E60)+IF($D60="MIND/Pre-Production",SUMIFS(RM_PM_Quantity[Quantity],RM_PM_Quantity[Date],AM$1,RM_PM_Quantity[Location],"MIDC/Pre-Production",RM_PM_Quantity[Section],$C60,RM_PM_Quantity[RM Name],$E60),0)</f>
        <v>0</v>
      </c>
      <c r="AN60" s="84">
        <f>SUMIFS(RM_PM_Quantity[Quantity],RM_PM_Quantity[Date],AN$1,RM_PM_Quantity[Location],$D60,RM_PM_Quantity[Section],$C60,RM_PM_Quantity[RM Name],$E60)+IF($D60="MIND/Pre-Production",SUMIFS(RM_PM_Quantity[Quantity],RM_PM_Quantity[Date],AN$1,RM_PM_Quantity[Location],"MIDC/Pre-Production",RM_PM_Quantity[Section],$C60,RM_PM_Quantity[RM Name],$E60),0)</f>
        <v>0</v>
      </c>
      <c r="AO60" s="84">
        <f>SUMIFS(RM_PM_Quantity[Quantity],RM_PM_Quantity[Date],AO$1,RM_PM_Quantity[Location],$D60,RM_PM_Quantity[Section],$C60,RM_PM_Quantity[RM Name],$E60)+IF($D60="MIND/Pre-Production",SUMIFS(RM_PM_Quantity[Quantity],RM_PM_Quantity[Date],AO$1,RM_PM_Quantity[Location],"MIDC/Pre-Production",RM_PM_Quantity[Section],$C60,RM_PM_Quantity[RM Name],$E60),0)</f>
        <v>0</v>
      </c>
      <c r="AP60" s="84">
        <f>SUMIFS(RM_PM_Quantity[Quantity],RM_PM_Quantity[Date],AP$1,RM_PM_Quantity[Location],$D60,RM_PM_Quantity[Section],$C60,RM_PM_Quantity[RM Name],$E60)+IF($D60="MIND/Pre-Production",SUMIFS(RM_PM_Quantity[Quantity],RM_PM_Quantity[Date],AP$1,RM_PM_Quantity[Location],"MIDC/Pre-Production",RM_PM_Quantity[Section],$C60,RM_PM_Quantity[RM Name],$E60),0)</f>
        <v>0</v>
      </c>
      <c r="AQ60" s="84">
        <f>SUMIFS(RM_PM_Quantity[Quantity],RM_PM_Quantity[Date],AQ$1,RM_PM_Quantity[Location],$D60,RM_PM_Quantity[Section],$C60,RM_PM_Quantity[RM Name],$E60)+IF($D60="MIND/Pre-Production",SUMIFS(RM_PM_Quantity[Quantity],RM_PM_Quantity[Date],AQ$1,RM_PM_Quantity[Location],"MIDC/Pre-Production",RM_PM_Quantity[Section],$C60,RM_PM_Quantity[RM Name],$E60),0)</f>
        <v>0</v>
      </c>
      <c r="AR60" s="84">
        <f>SUMIFS(RM_PM_Quantity[Quantity],RM_PM_Quantity[Date],AR$1,RM_PM_Quantity[Location],$D60,RM_PM_Quantity[Section],$C60,RM_PM_Quantity[RM Name],$E60)+IF($D60="MIND/Pre-Production",SUMIFS(RM_PM_Quantity[Quantity],RM_PM_Quantity[Date],AR$1,RM_PM_Quantity[Location],"MIDC/Pre-Production",RM_PM_Quantity[Section],$C60,RM_PM_Quantity[RM Name],$E60),0)</f>
        <v>0</v>
      </c>
      <c r="AS60" s="84">
        <f>SUMIFS(RM_PM_Quantity[Quantity],RM_PM_Quantity[Date],AS$1,RM_PM_Quantity[Location],$D60,RM_PM_Quantity[Section],$C60,RM_PM_Quantity[RM Name],$E60)+IF($D60="MIND/Pre-Production",SUMIFS(RM_PM_Quantity[Quantity],RM_PM_Quantity[Date],AS$1,RM_PM_Quantity[Location],"MIDC/Pre-Production",RM_PM_Quantity[Section],$C60,RM_PM_Quantity[RM Name],$E60),0)</f>
        <v>0</v>
      </c>
      <c r="AT60" s="84">
        <f>SUMIFS(RM_PM_Quantity[Quantity],RM_PM_Quantity[Date],AT$1,RM_PM_Quantity[Location],$D60,RM_PM_Quantity[Section],$C60,RM_PM_Quantity[RM Name],$E60)+IF($D60="MIND/Pre-Production",SUMIFS(RM_PM_Quantity[Quantity],RM_PM_Quantity[Date],AT$1,RM_PM_Quantity[Location],"MIDC/Pre-Production",RM_PM_Quantity[Section],$C60,RM_PM_Quantity[RM Name],$E60),0)</f>
        <v>0</v>
      </c>
      <c r="AU60" s="84">
        <f>SUMIFS(RM_PM_Quantity[Quantity],RM_PM_Quantity[Date],AU$1,RM_PM_Quantity[Location],$D60,RM_PM_Quantity[Section],$C60,RM_PM_Quantity[RM Name],$E60)+IF($D60="MIND/Pre-Production",SUMIFS(RM_PM_Quantity[Quantity],RM_PM_Quantity[Date],AU$1,RM_PM_Quantity[Location],"MIDC/Pre-Production",RM_PM_Quantity[Section],$C60,RM_PM_Quantity[RM Name],$E60),0)</f>
        <v>0</v>
      </c>
      <c r="AV60" s="84">
        <f>SUMIFS(RM_PM_Quantity[Quantity],RM_PM_Quantity[Date],AV$1,RM_PM_Quantity[Location],$D60,RM_PM_Quantity[Section],$C60,RM_PM_Quantity[RM Name],$E60)+IF($D60="MIND/Pre-Production",SUMIFS(RM_PM_Quantity[Quantity],RM_PM_Quantity[Date],AV$1,RM_PM_Quantity[Location],"MIDC/Pre-Production",RM_PM_Quantity[Section],$C60,RM_PM_Quantity[RM Name],$E60),0)</f>
        <v>0</v>
      </c>
      <c r="AW60" s="84">
        <f>SUMIFS(RM_PM_Quantity[Quantity],RM_PM_Quantity[Date],AW$1,RM_PM_Quantity[Location],$D60,RM_PM_Quantity[Section],$C60,RM_PM_Quantity[RM Name],$E60)+IF($D60="MIND/Pre-Production",SUMIFS(RM_PM_Quantity[Quantity],RM_PM_Quantity[Date],AW$1,RM_PM_Quantity[Location],"MIDC/Pre-Production",RM_PM_Quantity[Section],$C60,RM_PM_Quantity[RM Name],$E60),0)</f>
        <v>0</v>
      </c>
      <c r="AX60" s="84">
        <f>SUMIFS(RM_PM_Quantity[Quantity],RM_PM_Quantity[Date],AX$1,RM_PM_Quantity[Location],$D60,RM_PM_Quantity[Section],$C60,RM_PM_Quantity[RM Name],$E60)+IF($D60="MIND/Pre-Production",SUMIFS(RM_PM_Quantity[Quantity],RM_PM_Quantity[Date],AX$1,RM_PM_Quantity[Location],"MIDC/Pre-Production",RM_PM_Quantity[Section],$C60,RM_PM_Quantity[RM Name],$E60),0)</f>
        <v>0</v>
      </c>
      <c r="AY60" s="84">
        <f>SUMIFS(RM_PM_Quantity[Quantity],RM_PM_Quantity[Date],AY$1,RM_PM_Quantity[Location],$D60,RM_PM_Quantity[Section],$C60,RM_PM_Quantity[RM Name],$E60)+IF($D60="MIND/Pre-Production",SUMIFS(RM_PM_Quantity[Quantity],RM_PM_Quantity[Date],AY$1,RM_PM_Quantity[Location],"MIDC/Pre-Production",RM_PM_Quantity[Section],$C60,RM_PM_Quantity[RM Name],$E60),0)</f>
        <v>0</v>
      </c>
      <c r="AZ60" s="84">
        <f>SUMIFS(RM_PM_Quantity[Quantity],RM_PM_Quantity[Date],AZ$1,RM_PM_Quantity[Location],$D60,RM_PM_Quantity[Section],$C60,RM_PM_Quantity[RM Name],$E60)+IF($D60="MIND/Pre-Production",SUMIFS(RM_PM_Quantity[Quantity],RM_PM_Quantity[Date],AZ$1,RM_PM_Quantity[Location],"MIDC/Pre-Production",RM_PM_Quantity[Section],$C60,RM_PM_Quantity[RM Name],$E60),0)</f>
        <v>0</v>
      </c>
      <c r="BA60" s="84">
        <f>SUMIFS(RM_PM_Quantity[Quantity],RM_PM_Quantity[Date],BA$1,RM_PM_Quantity[Location],$D60,RM_PM_Quantity[Section],$C60,RM_PM_Quantity[RM Name],$E60)+IF($D60="MIND/Pre-Production",SUMIFS(RM_PM_Quantity[Quantity],RM_PM_Quantity[Date],BA$1,RM_PM_Quantity[Location],"MIDC/Pre-Production",RM_PM_Quantity[Section],$C60,RM_PM_Quantity[RM Name],$E60),0)</f>
        <v>0</v>
      </c>
      <c r="BB60" s="84">
        <f>SUMIFS(RM_PM_Quantity[Quantity],RM_PM_Quantity[Date],BB$1,RM_PM_Quantity[Location],$D60,RM_PM_Quantity[Section],$C60,RM_PM_Quantity[RM Name],$E60)+IF($D60="MIND/Pre-Production",SUMIFS(RM_PM_Quantity[Quantity],RM_PM_Quantity[Date],BB$1,RM_PM_Quantity[Location],"MIDC/Pre-Production",RM_PM_Quantity[Section],$C60,RM_PM_Quantity[RM Name],$E60),0)</f>
        <v>0</v>
      </c>
      <c r="BC60" s="84">
        <f>SUMIFS(RM_PM_Quantity[Quantity],RM_PM_Quantity[Date],BC$1,RM_PM_Quantity[Location],$D60,RM_PM_Quantity[Section],$C60,RM_PM_Quantity[RM Name],$E60)+IF($D60="MIND/Pre-Production",SUMIFS(RM_PM_Quantity[Quantity],RM_PM_Quantity[Date],BC$1,RM_PM_Quantity[Location],"MIDC/Pre-Production",RM_PM_Quantity[Section],$C60,RM_PM_Quantity[RM Name],$E60),0)</f>
        <v>0</v>
      </c>
      <c r="BD60" s="84">
        <f>SUMIFS(RM_PM_Quantity[Quantity],RM_PM_Quantity[Date],BD$1,RM_PM_Quantity[Location],$D60,RM_PM_Quantity[Section],$C60,RM_PM_Quantity[RM Name],$E60)+IF($D60="MIND/Pre-Production",SUMIFS(RM_PM_Quantity[Quantity],RM_PM_Quantity[Date],BD$1,RM_PM_Quantity[Location],"MIDC/Pre-Production",RM_PM_Quantity[Section],$C60,RM_PM_Quantity[RM Name],$E60),0)</f>
        <v>0</v>
      </c>
      <c r="BE60" s="84">
        <f>SUMIFS(RM_PM_Quantity[Quantity],RM_PM_Quantity[Date],BE$1,RM_PM_Quantity[Location],$D60,RM_PM_Quantity[Section],$C60,RM_PM_Quantity[RM Name],$E60)+IF($D60="MIND/Pre-Production",SUMIFS(RM_PM_Quantity[Quantity],RM_PM_Quantity[Date],BE$1,RM_PM_Quantity[Location],"MIDC/Pre-Production",RM_PM_Quantity[Section],$C60,RM_PM_Quantity[RM Name],$E60),0)</f>
        <v>0</v>
      </c>
      <c r="BF60" s="84">
        <f>SUMIFS(RM_PM_Quantity[Quantity],RM_PM_Quantity[Date],BF$1,RM_PM_Quantity[Location],$D60,RM_PM_Quantity[Section],$C60,RM_PM_Quantity[RM Name],$E60)+IF($D60="MIND/Pre-Production",SUMIFS(RM_PM_Quantity[Quantity],RM_PM_Quantity[Date],BF$1,RM_PM_Quantity[Location],"MIDC/Pre-Production",RM_PM_Quantity[Section],$C60,RM_PM_Quantity[RM Name],$E60),0)</f>
        <v>0</v>
      </c>
      <c r="BG60" s="84">
        <f>SUMIFS(RM_PM_Quantity[Quantity],RM_PM_Quantity[Date],BG$1,RM_PM_Quantity[Location],$D60,RM_PM_Quantity[Section],$C60,RM_PM_Quantity[RM Name],$E60)+IF($D60="MIND/Pre-Production",SUMIFS(RM_PM_Quantity[Quantity],RM_PM_Quantity[Date],BG$1,RM_PM_Quantity[Location],"MIDC/Pre-Production",RM_PM_Quantity[Section],$C60,RM_PM_Quantity[RM Name],$E60),0)</f>
        <v>0</v>
      </c>
      <c r="BH60" s="84">
        <f>SUMIFS(RM_PM_Quantity[Quantity],RM_PM_Quantity[Date],BH$1,RM_PM_Quantity[Location],$D60,RM_PM_Quantity[Section],$C60,RM_PM_Quantity[RM Name],$E60)+IF($D60="MIND/Pre-Production",SUMIFS(RM_PM_Quantity[Quantity],RM_PM_Quantity[Date],BH$1,RM_PM_Quantity[Location],"MIDC/Pre-Production",RM_PM_Quantity[Section],$C60,RM_PM_Quantity[RM Name],$E60),0)</f>
        <v>0</v>
      </c>
      <c r="BI60" s="84">
        <f>SUMIFS(RM_PM_Quantity[Quantity],RM_PM_Quantity[Date],BI$1,RM_PM_Quantity[Location],$D60,RM_PM_Quantity[Section],$C60,RM_PM_Quantity[RM Name],$E60)+IF($D60="MIND/Pre-Production",SUMIFS(RM_PM_Quantity[Quantity],RM_PM_Quantity[Date],BI$1,RM_PM_Quantity[Location],"MIDC/Pre-Production",RM_PM_Quantity[Section],$C60,RM_PM_Quantity[RM Name],$E60),0)</f>
        <v>0</v>
      </c>
      <c r="BJ60" s="84">
        <f>SUMIFS(RM_PM_Quantity[Quantity],RM_PM_Quantity[Date],BJ$1,RM_PM_Quantity[Location],$D60,RM_PM_Quantity[Section],$C60,RM_PM_Quantity[RM Name],$E60)+IF($D60="MIND/Pre-Production",SUMIFS(RM_PM_Quantity[Quantity],RM_PM_Quantity[Date],BJ$1,RM_PM_Quantity[Location],"MIDC/Pre-Production",RM_PM_Quantity[Section],$C60,RM_PM_Quantity[RM Name],$E60),0)</f>
        <v>0</v>
      </c>
      <c r="BK60" s="84">
        <f>SUMIFS(RM_PM_Quantity[Quantity],RM_PM_Quantity[Date],BK$1,RM_PM_Quantity[Location],$D60,RM_PM_Quantity[Section],$C60,RM_PM_Quantity[RM Name],$E60)+IF($D60="MIND/Pre-Production",SUMIFS(RM_PM_Quantity[Quantity],RM_PM_Quantity[Date],BK$1,RM_PM_Quantity[Location],"MIDC/Pre-Production",RM_PM_Quantity[Section],$C60,RM_PM_Quantity[RM Name],$E60),0)</f>
        <v>0</v>
      </c>
      <c r="BL60" s="84">
        <f>SUMIFS(RM_PM_Quantity[Quantity],RM_PM_Quantity[Date],BL$1,RM_PM_Quantity[Location],$D60,RM_PM_Quantity[Section],$C60,RM_PM_Quantity[RM Name],$E60)+IF($D60="MIND/Pre-Production",SUMIFS(RM_PM_Quantity[Quantity],RM_PM_Quantity[Date],BL$1,RM_PM_Quantity[Location],"MIDC/Pre-Production",RM_PM_Quantity[Section],$C60,RM_PM_Quantity[RM Name],$E60),0)</f>
        <v>0</v>
      </c>
      <c r="BM60" s="84">
        <f>SUMIFS(RM_PM_Quantity[Quantity],RM_PM_Quantity[Date],BM$1,RM_PM_Quantity[Location],$D60,RM_PM_Quantity[Section],$C60,RM_PM_Quantity[RM Name],$E60)+IF($D60="MIND/Pre-Production",SUMIFS(RM_PM_Quantity[Quantity],RM_PM_Quantity[Date],BM$1,RM_PM_Quantity[Location],"MIDC/Pre-Production",RM_PM_Quantity[Section],$C60,RM_PM_Quantity[RM Name],$E60),0)</f>
        <v>0</v>
      </c>
      <c r="BN60" s="84">
        <f>SUMIFS(RM_PM_Quantity[Quantity],RM_PM_Quantity[Date],BN$1,RM_PM_Quantity[Location],$D60,RM_PM_Quantity[Section],$C60,RM_PM_Quantity[RM Name],$E60)+IF($D60="MIND/Pre-Production",SUMIFS(RM_PM_Quantity[Quantity],RM_PM_Quantity[Date],BN$1,RM_PM_Quantity[Location],"MIDC/Pre-Production",RM_PM_Quantity[Section],$C60,RM_PM_Quantity[RM Name],$E60),0)</f>
        <v>0</v>
      </c>
      <c r="BO60" s="84">
        <f>SUMIFS(RM_PM_Quantity[Quantity],RM_PM_Quantity[Date],BO$1,RM_PM_Quantity[Location],$D60,RM_PM_Quantity[Section],$C60,RM_PM_Quantity[RM Name],$E60)+IF($D60="MIND/Pre-Production",SUMIFS(RM_PM_Quantity[Quantity],RM_PM_Quantity[Date],BO$1,RM_PM_Quantity[Location],"MIDC/Pre-Production",RM_PM_Quantity[Section],$C60,RM_PM_Quantity[RM Name],$E60),0)</f>
        <v>0</v>
      </c>
      <c r="BP60" s="84">
        <f>SUMIFS(RM_PM_Quantity[Quantity],RM_PM_Quantity[Date],BP$1,RM_PM_Quantity[Location],$D60,RM_PM_Quantity[Section],$C60,RM_PM_Quantity[RM Name],$E60)+IF($D60="MIND/Pre-Production",SUMIFS(RM_PM_Quantity[Quantity],RM_PM_Quantity[Date],BP$1,RM_PM_Quantity[Location],"MIDC/Pre-Production",RM_PM_Quantity[Section],$C60,RM_PM_Quantity[RM Name],$E60),0)</f>
        <v>0</v>
      </c>
      <c r="BQ60" s="84">
        <f>SUMIFS(RM_PM_Quantity[Quantity],RM_PM_Quantity[Date],BQ$1,RM_PM_Quantity[Location],$D60,RM_PM_Quantity[Section],$C60,RM_PM_Quantity[RM Name],$E60)+IF($D60="MIND/Pre-Production",SUMIFS(RM_PM_Quantity[Quantity],RM_PM_Quantity[Date],BQ$1,RM_PM_Quantity[Location],"MIDC/Pre-Production",RM_PM_Quantity[Section],$C60,RM_PM_Quantity[RM Name],$E60),0)</f>
        <v>0</v>
      </c>
      <c r="BR60" s="84">
        <f>SUMIFS(RM_PM_Quantity[Quantity],RM_PM_Quantity[Date],BR$1,RM_PM_Quantity[Location],$D60,RM_PM_Quantity[Section],$C60,RM_PM_Quantity[RM Name],$E60)+IF($D60="MIND/Pre-Production",SUMIFS(RM_PM_Quantity[Quantity],RM_PM_Quantity[Date],BR$1,RM_PM_Quantity[Location],"MIDC/Pre-Production",RM_PM_Quantity[Section],$C60,RM_PM_Quantity[RM Name],$E60),0)</f>
        <v>0</v>
      </c>
      <c r="BS60" s="84">
        <f>SUMIFS(RM_PM_Quantity[Quantity],RM_PM_Quantity[Date],BS$1,RM_PM_Quantity[Location],$D60,RM_PM_Quantity[Section],$C60,RM_PM_Quantity[RM Name],$E60)+IF($D60="MIND/Pre-Production",SUMIFS(RM_PM_Quantity[Quantity],RM_PM_Quantity[Date],BS$1,RM_PM_Quantity[Location],"MIDC/Pre-Production",RM_PM_Quantity[Section],$C60,RM_PM_Quantity[RM Name],$E60),0)</f>
        <v>0</v>
      </c>
      <c r="BT60" s="84">
        <f>SUMIFS(RM_PM_Quantity[ID],RM_PM_Quantity[Location],BT$1,RM_PM_Quantity[Section],$D60,RM_PM_Quantity[RM Name],$C60,RM_PM_Quantity[Quantity],$E60)+IF($D60="MIND/Pre-Production",SUMIFS(RM_PM_Quantity[ID],RM_PM_Quantity[Location],BT$1,RM_PM_Quantity[Section],"MIDC/Pre-Production",RM_PM_Quantity[RM Name],$C60,RM_PM_Quantity[Quantity],$E60),0)</f>
        <v>0</v>
      </c>
      <c r="BU60" s="84">
        <f>SUMIFS(RM_PM_Quantity[Name of Supervisor],RM_PM_Quantity[Section],BU$1,RM_PM_Quantity[RM Name],$D60,RM_PM_Quantity[Quantity],$C60,RM_PM_Quantity[ID],$E60)+IF($D60="MIND/Pre-Production",SUMIFS(RM_PM_Quantity[Name of Supervisor],RM_PM_Quantity[Section],BU$1,RM_PM_Quantity[RM Name],"MIDC/Pre-Production",RM_PM_Quantity[Quantity],$C60,RM_PM_Quantity[ID],$E60),0)</f>
        <v>0</v>
      </c>
      <c r="BV60" s="84">
        <f>SUMIFS(RM_PM_Quantity[Date],RM_PM_Quantity[RM Name],BV$1,RM_PM_Quantity[Quantity],$D60,RM_PM_Quantity[ID],$C60,RM_PM_Quantity[Name of Supervisor],$E60)+IF($D60="MIND/Pre-Production",SUMIFS(RM_PM_Quantity[Date],RM_PM_Quantity[RM Name],BV$1,RM_PM_Quantity[Quantity],"MIDC/Pre-Production",RM_PM_Quantity[ID],$C60,RM_PM_Quantity[Name of Supervisor],$E60),0)</f>
        <v>0</v>
      </c>
      <c r="BW60" s="84">
        <f>SUMIFS(RM_PM_Quantity[Location],RM_PM_Quantity[Quantity],BW$1,RM_PM_Quantity[ID],$D60,RM_PM_Quantity[Name of Supervisor],$C60,RM_PM_Quantity[Date],$E60)+IF($D60="MIND/Pre-Production",SUMIFS(RM_PM_Quantity[Location],RM_PM_Quantity[Quantity],BW$1,RM_PM_Quantity[ID],"MIDC/Pre-Production",RM_PM_Quantity[Name of Supervisor],$C60,RM_PM_Quantity[Date],$E60),0)</f>
        <v>0</v>
      </c>
      <c r="BX60" s="84">
        <f>SUMIFS(RM_PM_Quantity[Section],RM_PM_Quantity[ID],BX$1,RM_PM_Quantity[Name of Supervisor],$D60,RM_PM_Quantity[Date],$C60,RM_PM_Quantity[Location],$E60)+IF($D60="MIND/Pre-Production",SUMIFS(RM_PM_Quantity[Section],RM_PM_Quantity[ID],BX$1,RM_PM_Quantity[Name of Supervisor],"MIDC/Pre-Production",RM_PM_Quantity[Date],$C60,RM_PM_Quantity[Location],$E60),0)</f>
        <v>0</v>
      </c>
      <c r="BY60" s="84">
        <f>SUMIFS(RM_PM_Quantity[RM Name],RM_PM_Quantity[Name of Supervisor],BY$1,RM_PM_Quantity[Date],$D60,RM_PM_Quantity[Location],$C60,RM_PM_Quantity[Section],$E60)+IF($D60="MIND/Pre-Production",SUMIFS(RM_PM_Quantity[RM Name],RM_PM_Quantity[Name of Supervisor],BY$1,RM_PM_Quantity[Date],"MIDC/Pre-Production",RM_PM_Quantity[Location],$C60,RM_PM_Quantity[Section],$E60),0)</f>
        <v>0</v>
      </c>
    </row>
    <row r="61" spans="1:77" ht="24">
      <c r="F61" s="52">
        <f>SUM(F2:F60)</f>
        <v>488181.8961168768</v>
      </c>
      <c r="G61" s="52">
        <f>SUM(G2:G60)</f>
        <v>167513</v>
      </c>
      <c r="H61" s="52">
        <f>SUM(H2:H60)</f>
        <v>-320668.89611687674</v>
      </c>
      <c r="I61" s="91">
        <f t="shared" si="4"/>
        <v>0.34313644428939516</v>
      </c>
    </row>
    <row r="82" spans="1:77" ht="74.25">
      <c r="A82" s="72" t="s">
        <v>47</v>
      </c>
      <c r="B82" s="73" t="s">
        <v>20</v>
      </c>
      <c r="C82" s="74" t="s">
        <v>8</v>
      </c>
      <c r="D82" s="72" t="s">
        <v>10</v>
      </c>
      <c r="E82" s="74" t="s">
        <v>21</v>
      </c>
      <c r="F82" s="74" t="s">
        <v>48</v>
      </c>
      <c r="G82" s="76" t="s">
        <v>49</v>
      </c>
      <c r="H82" s="77" t="s">
        <v>50</v>
      </c>
      <c r="I82" s="78" t="s">
        <v>51</v>
      </c>
      <c r="J82" s="75" t="s">
        <v>162</v>
      </c>
      <c r="K82" s="75" t="s">
        <v>163</v>
      </c>
      <c r="L82" s="75" t="s">
        <v>164</v>
      </c>
      <c r="M82" s="75" t="s">
        <v>165</v>
      </c>
      <c r="N82" s="75" t="s">
        <v>166</v>
      </c>
      <c r="O82" s="75" t="s">
        <v>167</v>
      </c>
      <c r="P82" s="75" t="s">
        <v>168</v>
      </c>
      <c r="Q82" s="75" t="s">
        <v>169</v>
      </c>
      <c r="R82" s="75" t="s">
        <v>170</v>
      </c>
      <c r="S82" s="75" t="s">
        <v>171</v>
      </c>
      <c r="T82" s="75" t="s">
        <v>172</v>
      </c>
      <c r="U82" s="75" t="s">
        <v>173</v>
      </c>
      <c r="V82" s="75" t="s">
        <v>174</v>
      </c>
      <c r="W82" s="75" t="s">
        <v>175</v>
      </c>
      <c r="X82" s="75" t="s">
        <v>176</v>
      </c>
      <c r="Y82" s="75" t="s">
        <v>177</v>
      </c>
      <c r="Z82" s="75" t="s">
        <v>178</v>
      </c>
      <c r="AA82" s="75" t="s">
        <v>179</v>
      </c>
      <c r="AB82" s="75" t="s">
        <v>180</v>
      </c>
      <c r="AC82" s="75" t="s">
        <v>181</v>
      </c>
      <c r="AD82" s="75" t="s">
        <v>182</v>
      </c>
      <c r="AE82" s="75" t="s">
        <v>183</v>
      </c>
      <c r="AF82" s="75" t="s">
        <v>184</v>
      </c>
      <c r="AG82" s="75" t="s">
        <v>185</v>
      </c>
      <c r="AH82" s="75" t="s">
        <v>186</v>
      </c>
      <c r="AI82" s="96" t="s">
        <v>187</v>
      </c>
      <c r="AJ82" s="96" t="s">
        <v>188</v>
      </c>
      <c r="AK82" s="96" t="s">
        <v>189</v>
      </c>
      <c r="AL82" s="96" t="s">
        <v>190</v>
      </c>
      <c r="AM82" s="96" t="s">
        <v>191</v>
      </c>
      <c r="AN82" s="96" t="s">
        <v>192</v>
      </c>
      <c r="AO82" s="96" t="s">
        <v>193</v>
      </c>
      <c r="AP82" s="96" t="s">
        <v>194</v>
      </c>
      <c r="AQ82" s="96" t="s">
        <v>195</v>
      </c>
      <c r="AR82" s="96" t="s">
        <v>196</v>
      </c>
      <c r="AS82" s="96" t="s">
        <v>197</v>
      </c>
      <c r="AT82" s="96" t="s">
        <v>198</v>
      </c>
      <c r="AU82" s="96" t="s">
        <v>199</v>
      </c>
      <c r="AV82" s="96" t="s">
        <v>200</v>
      </c>
      <c r="AW82" s="96" t="s">
        <v>201</v>
      </c>
      <c r="AX82" s="96" t="s">
        <v>202</v>
      </c>
      <c r="AY82" s="96" t="s">
        <v>203</v>
      </c>
      <c r="AZ82" s="96" t="s">
        <v>204</v>
      </c>
      <c r="BA82" s="96" t="s">
        <v>205</v>
      </c>
      <c r="BB82" s="96" t="s">
        <v>206</v>
      </c>
      <c r="BC82" s="96" t="s">
        <v>207</v>
      </c>
      <c r="BD82" s="96" t="s">
        <v>208</v>
      </c>
      <c r="BE82" s="96" t="s">
        <v>209</v>
      </c>
      <c r="BF82" s="96" t="s">
        <v>210</v>
      </c>
      <c r="BG82" s="96" t="s">
        <v>211</v>
      </c>
      <c r="BH82" s="96" t="s">
        <v>212</v>
      </c>
      <c r="BI82" s="96" t="s">
        <v>213</v>
      </c>
      <c r="BJ82" s="96" t="s">
        <v>214</v>
      </c>
      <c r="BK82" s="96" t="s">
        <v>215</v>
      </c>
      <c r="BL82" s="96" t="s">
        <v>216</v>
      </c>
      <c r="BM82" s="96" t="s">
        <v>217</v>
      </c>
      <c r="BN82" s="96" t="s">
        <v>218</v>
      </c>
      <c r="BO82" s="96" t="s">
        <v>219</v>
      </c>
      <c r="BP82" s="96" t="s">
        <v>220</v>
      </c>
      <c r="BQ82" s="96" t="s">
        <v>221</v>
      </c>
      <c r="BR82" s="96" t="s">
        <v>222</v>
      </c>
      <c r="BS82" s="96" t="s">
        <v>223</v>
      </c>
      <c r="BT82" s="96" t="s">
        <v>224</v>
      </c>
      <c r="BU82" s="96" t="s">
        <v>225</v>
      </c>
      <c r="BV82" s="96" t="s">
        <v>226</v>
      </c>
      <c r="BW82" s="96" t="s">
        <v>227</v>
      </c>
      <c r="BX82" s="96" t="s">
        <v>228</v>
      </c>
      <c r="BY82" s="96" t="s">
        <v>229</v>
      </c>
    </row>
    <row r="83" spans="1:77" ht="15" customHeight="1">
      <c r="A83">
        <f>A2</f>
        <v>1</v>
      </c>
      <c r="B83" t="str">
        <f t="shared" ref="B83:AN88" si="5">B2</f>
        <v>RM000149</v>
      </c>
      <c r="C83" t="str">
        <f t="shared" si="5"/>
        <v>Spices</v>
      </c>
      <c r="D83" t="str">
        <f t="shared" si="5"/>
        <v>C39/Pre-Production</v>
      </c>
      <c r="E83" t="str">
        <f t="shared" si="5"/>
        <v>Raw lakadong turmeric</v>
      </c>
      <c r="F83" s="102">
        <f t="shared" si="5"/>
        <v>2215.2446</v>
      </c>
      <c r="G83">
        <f t="shared" ref="G83:I102" si="6">G2</f>
        <v>0</v>
      </c>
      <c r="H83" s="102">
        <f t="shared" si="6"/>
        <v>-2215.2446</v>
      </c>
      <c r="I83" s="101">
        <f t="shared" si="6"/>
        <v>0</v>
      </c>
      <c r="J83">
        <f t="shared" si="5"/>
        <v>0</v>
      </c>
      <c r="K83">
        <f t="shared" si="5"/>
        <v>0</v>
      </c>
      <c r="L83">
        <f t="shared" si="5"/>
        <v>0</v>
      </c>
      <c r="M83">
        <f t="shared" si="5"/>
        <v>0</v>
      </c>
      <c r="N83">
        <f t="shared" si="5"/>
        <v>0</v>
      </c>
      <c r="O83">
        <f t="shared" si="5"/>
        <v>0</v>
      </c>
      <c r="P83">
        <f t="shared" si="5"/>
        <v>0</v>
      </c>
      <c r="Q83">
        <f t="shared" si="5"/>
        <v>0</v>
      </c>
      <c r="R83">
        <f t="shared" si="5"/>
        <v>0</v>
      </c>
      <c r="S83">
        <f t="shared" si="5"/>
        <v>0</v>
      </c>
      <c r="T83">
        <f t="shared" si="5"/>
        <v>0</v>
      </c>
      <c r="U83">
        <f t="shared" si="5"/>
        <v>0</v>
      </c>
      <c r="V83">
        <f t="shared" si="5"/>
        <v>0</v>
      </c>
      <c r="W83">
        <f t="shared" si="5"/>
        <v>0</v>
      </c>
      <c r="X83">
        <f t="shared" si="5"/>
        <v>0</v>
      </c>
      <c r="Y83">
        <f t="shared" si="5"/>
        <v>0</v>
      </c>
      <c r="Z83">
        <f t="shared" si="5"/>
        <v>0</v>
      </c>
      <c r="AA83">
        <f t="shared" si="5"/>
        <v>0</v>
      </c>
      <c r="AB83">
        <f t="shared" si="5"/>
        <v>0</v>
      </c>
      <c r="AC83">
        <f t="shared" si="5"/>
        <v>0</v>
      </c>
      <c r="AD83">
        <f t="shared" si="5"/>
        <v>0</v>
      </c>
      <c r="AE83">
        <f t="shared" si="5"/>
        <v>0</v>
      </c>
      <c r="AF83">
        <f t="shared" si="5"/>
        <v>0</v>
      </c>
      <c r="AG83">
        <f t="shared" si="5"/>
        <v>0</v>
      </c>
      <c r="AH83">
        <f t="shared" si="5"/>
        <v>0</v>
      </c>
      <c r="AI83">
        <f t="shared" si="5"/>
        <v>0</v>
      </c>
      <c r="AJ83">
        <f t="shared" si="5"/>
        <v>50</v>
      </c>
      <c r="AK83">
        <f t="shared" si="5"/>
        <v>0</v>
      </c>
      <c r="AL83">
        <f t="shared" si="5"/>
        <v>0</v>
      </c>
      <c r="AM83">
        <f t="shared" si="5"/>
        <v>0</v>
      </c>
      <c r="AN83">
        <f t="shared" si="5"/>
        <v>0</v>
      </c>
      <c r="AO83">
        <f t="shared" ref="AO83:BS83" si="7">AO2</f>
        <v>0</v>
      </c>
      <c r="AP83">
        <f t="shared" si="7"/>
        <v>0</v>
      </c>
      <c r="AQ83">
        <f t="shared" si="7"/>
        <v>0</v>
      </c>
      <c r="AR83">
        <f t="shared" si="7"/>
        <v>0</v>
      </c>
      <c r="AS83">
        <f t="shared" si="7"/>
        <v>0</v>
      </c>
      <c r="AT83">
        <f t="shared" si="7"/>
        <v>500</v>
      </c>
      <c r="AU83">
        <f t="shared" si="7"/>
        <v>0</v>
      </c>
      <c r="AV83">
        <f t="shared" si="7"/>
        <v>0</v>
      </c>
      <c r="AW83">
        <f t="shared" si="7"/>
        <v>0</v>
      </c>
      <c r="AX83">
        <f t="shared" si="7"/>
        <v>0</v>
      </c>
      <c r="AY83">
        <f t="shared" si="7"/>
        <v>0</v>
      </c>
      <c r="AZ83">
        <f t="shared" si="7"/>
        <v>0</v>
      </c>
      <c r="BA83">
        <f t="shared" si="7"/>
        <v>0</v>
      </c>
      <c r="BB83">
        <f t="shared" si="7"/>
        <v>0</v>
      </c>
      <c r="BC83">
        <f t="shared" si="7"/>
        <v>0</v>
      </c>
      <c r="BD83">
        <f t="shared" si="7"/>
        <v>0</v>
      </c>
      <c r="BE83">
        <f t="shared" si="7"/>
        <v>0</v>
      </c>
      <c r="BF83">
        <f t="shared" si="7"/>
        <v>0</v>
      </c>
      <c r="BG83">
        <f t="shared" si="7"/>
        <v>0</v>
      </c>
      <c r="BH83">
        <f t="shared" si="7"/>
        <v>0</v>
      </c>
      <c r="BI83">
        <f t="shared" si="7"/>
        <v>0</v>
      </c>
      <c r="BJ83">
        <f t="shared" si="7"/>
        <v>0</v>
      </c>
      <c r="BK83">
        <f t="shared" si="7"/>
        <v>0</v>
      </c>
      <c r="BL83">
        <f t="shared" si="7"/>
        <v>0</v>
      </c>
      <c r="BM83">
        <f t="shared" si="7"/>
        <v>0</v>
      </c>
      <c r="BN83">
        <f t="shared" si="7"/>
        <v>0</v>
      </c>
      <c r="BO83">
        <f t="shared" si="7"/>
        <v>0</v>
      </c>
      <c r="BP83">
        <f t="shared" si="7"/>
        <v>0</v>
      </c>
      <c r="BQ83">
        <f t="shared" si="7"/>
        <v>0</v>
      </c>
      <c r="BR83">
        <f t="shared" si="7"/>
        <v>0</v>
      </c>
      <c r="BS83">
        <f t="shared" si="7"/>
        <v>0</v>
      </c>
      <c r="BT83">
        <f t="shared" ref="BT83:BY83" si="8">BT2</f>
        <v>0</v>
      </c>
      <c r="BU83">
        <f t="shared" si="8"/>
        <v>0</v>
      </c>
      <c r="BV83">
        <f t="shared" si="8"/>
        <v>0</v>
      </c>
      <c r="BW83">
        <f t="shared" si="8"/>
        <v>0</v>
      </c>
      <c r="BX83">
        <f t="shared" si="8"/>
        <v>0</v>
      </c>
      <c r="BY83">
        <f t="shared" si="8"/>
        <v>0</v>
      </c>
    </row>
    <row r="84" spans="1:77" ht="15" customHeight="1">
      <c r="A84">
        <f t="shared" ref="A84:Q142" si="9">A3</f>
        <v>2</v>
      </c>
      <c r="B84" t="str">
        <f t="shared" si="9"/>
        <v>RM000113</v>
      </c>
      <c r="C84" t="str">
        <f t="shared" si="9"/>
        <v>Spices</v>
      </c>
      <c r="D84" t="str">
        <f t="shared" si="9"/>
        <v>C39/Pre-Production</v>
      </c>
      <c r="E84" t="str">
        <f t="shared" si="9"/>
        <v>Moringa Leaf</v>
      </c>
      <c r="F84" s="102">
        <f t="shared" si="9"/>
        <v>420.48599999999988</v>
      </c>
      <c r="G84">
        <f t="shared" si="6"/>
        <v>0</v>
      </c>
      <c r="H84" s="102">
        <f t="shared" si="6"/>
        <v>-420.48599999999988</v>
      </c>
      <c r="I84" s="101">
        <f t="shared" si="6"/>
        <v>0</v>
      </c>
      <c r="J84">
        <f t="shared" si="9"/>
        <v>0</v>
      </c>
      <c r="K84">
        <f t="shared" si="9"/>
        <v>0</v>
      </c>
      <c r="L84">
        <f t="shared" si="9"/>
        <v>0</v>
      </c>
      <c r="M84">
        <f t="shared" si="9"/>
        <v>0</v>
      </c>
      <c r="N84">
        <f t="shared" si="9"/>
        <v>0</v>
      </c>
      <c r="O84">
        <f t="shared" si="9"/>
        <v>0</v>
      </c>
      <c r="P84">
        <f t="shared" si="9"/>
        <v>0</v>
      </c>
      <c r="Q84">
        <f t="shared" si="9"/>
        <v>0</v>
      </c>
      <c r="R84">
        <f t="shared" si="5"/>
        <v>0</v>
      </c>
      <c r="S84">
        <f t="shared" si="5"/>
        <v>0</v>
      </c>
      <c r="T84">
        <f t="shared" si="5"/>
        <v>0</v>
      </c>
      <c r="U84">
        <f t="shared" si="5"/>
        <v>0</v>
      </c>
      <c r="V84">
        <f t="shared" si="5"/>
        <v>0</v>
      </c>
      <c r="W84">
        <f t="shared" si="5"/>
        <v>0</v>
      </c>
      <c r="X84">
        <f t="shared" si="5"/>
        <v>0</v>
      </c>
      <c r="Y84">
        <f t="shared" si="5"/>
        <v>0</v>
      </c>
      <c r="Z84">
        <f t="shared" si="5"/>
        <v>0</v>
      </c>
      <c r="AA84">
        <f t="shared" si="5"/>
        <v>0</v>
      </c>
      <c r="AB84">
        <f t="shared" si="5"/>
        <v>0</v>
      </c>
      <c r="AC84">
        <f t="shared" si="5"/>
        <v>0</v>
      </c>
      <c r="AD84">
        <f t="shared" si="5"/>
        <v>0</v>
      </c>
      <c r="AE84">
        <f t="shared" si="5"/>
        <v>0</v>
      </c>
      <c r="AF84">
        <f t="shared" si="5"/>
        <v>0</v>
      </c>
      <c r="AG84">
        <f t="shared" si="5"/>
        <v>0</v>
      </c>
      <c r="AH84">
        <f t="shared" si="5"/>
        <v>0</v>
      </c>
      <c r="AI84">
        <f t="shared" si="5"/>
        <v>0</v>
      </c>
      <c r="AJ84">
        <f t="shared" si="5"/>
        <v>0</v>
      </c>
      <c r="AK84">
        <f t="shared" si="5"/>
        <v>0</v>
      </c>
      <c r="AL84">
        <f t="shared" si="5"/>
        <v>0</v>
      </c>
      <c r="AM84">
        <f t="shared" si="5"/>
        <v>0</v>
      </c>
      <c r="AN84">
        <f t="shared" si="5"/>
        <v>0</v>
      </c>
      <c r="AO84">
        <f t="shared" ref="AO84:BS84" si="10">AO3</f>
        <v>0</v>
      </c>
      <c r="AP84">
        <f t="shared" si="10"/>
        <v>0</v>
      </c>
      <c r="AQ84">
        <f t="shared" si="10"/>
        <v>0</v>
      </c>
      <c r="AR84">
        <f t="shared" si="10"/>
        <v>0</v>
      </c>
      <c r="AS84">
        <f t="shared" si="10"/>
        <v>0</v>
      </c>
      <c r="AT84">
        <f t="shared" si="10"/>
        <v>0</v>
      </c>
      <c r="AU84">
        <f t="shared" si="10"/>
        <v>0</v>
      </c>
      <c r="AV84">
        <f t="shared" si="10"/>
        <v>0</v>
      </c>
      <c r="AW84">
        <f t="shared" si="10"/>
        <v>0</v>
      </c>
      <c r="AX84">
        <f t="shared" si="10"/>
        <v>0</v>
      </c>
      <c r="AY84">
        <f t="shared" si="10"/>
        <v>0</v>
      </c>
      <c r="AZ84">
        <f t="shared" si="10"/>
        <v>0</v>
      </c>
      <c r="BA84">
        <f t="shared" si="10"/>
        <v>0</v>
      </c>
      <c r="BB84">
        <f t="shared" si="10"/>
        <v>0</v>
      </c>
      <c r="BC84">
        <f t="shared" si="10"/>
        <v>0</v>
      </c>
      <c r="BD84">
        <f t="shared" si="10"/>
        <v>0</v>
      </c>
      <c r="BE84">
        <f t="shared" si="10"/>
        <v>0</v>
      </c>
      <c r="BF84">
        <f t="shared" si="10"/>
        <v>0</v>
      </c>
      <c r="BG84">
        <f t="shared" si="10"/>
        <v>0</v>
      </c>
      <c r="BH84">
        <f t="shared" si="10"/>
        <v>0</v>
      </c>
      <c r="BI84">
        <f t="shared" si="10"/>
        <v>0</v>
      </c>
      <c r="BJ84">
        <f t="shared" si="10"/>
        <v>0</v>
      </c>
      <c r="BK84">
        <f t="shared" si="10"/>
        <v>0</v>
      </c>
      <c r="BL84">
        <f t="shared" si="10"/>
        <v>0</v>
      </c>
      <c r="BM84">
        <f t="shared" si="10"/>
        <v>0</v>
      </c>
      <c r="BN84">
        <f t="shared" si="10"/>
        <v>0</v>
      </c>
      <c r="BO84">
        <f t="shared" si="10"/>
        <v>0</v>
      </c>
      <c r="BP84">
        <f t="shared" si="10"/>
        <v>0</v>
      </c>
      <c r="BQ84">
        <f t="shared" si="10"/>
        <v>0</v>
      </c>
      <c r="BR84">
        <f t="shared" si="10"/>
        <v>0</v>
      </c>
      <c r="BS84">
        <f t="shared" si="10"/>
        <v>0</v>
      </c>
      <c r="BT84">
        <f t="shared" ref="BT84:BY84" si="11">BT3</f>
        <v>0</v>
      </c>
      <c r="BU84">
        <f t="shared" si="11"/>
        <v>0</v>
      </c>
      <c r="BV84">
        <f t="shared" si="11"/>
        <v>0</v>
      </c>
      <c r="BW84">
        <f t="shared" si="11"/>
        <v>0</v>
      </c>
      <c r="BX84">
        <f t="shared" si="11"/>
        <v>0</v>
      </c>
      <c r="BY84">
        <f t="shared" si="11"/>
        <v>0</v>
      </c>
    </row>
    <row r="85" spans="1:77" ht="15" customHeight="1">
      <c r="A85">
        <f t="shared" si="9"/>
        <v>3</v>
      </c>
      <c r="B85" t="str">
        <f t="shared" si="5"/>
        <v>RM000071</v>
      </c>
      <c r="C85" t="str">
        <f t="shared" si="5"/>
        <v>Spices</v>
      </c>
      <c r="D85" t="str">
        <f t="shared" si="5"/>
        <v>C39/Pre-Production</v>
      </c>
      <c r="E85" t="str">
        <f t="shared" si="5"/>
        <v>Haldi-Turmeric Powder</v>
      </c>
      <c r="F85" s="102">
        <f t="shared" si="5"/>
        <v>0</v>
      </c>
      <c r="G85">
        <f t="shared" si="6"/>
        <v>0</v>
      </c>
      <c r="H85" s="102">
        <f t="shared" si="6"/>
        <v>0</v>
      </c>
      <c r="I85" s="101">
        <f t="shared" si="6"/>
        <v>0</v>
      </c>
      <c r="J85">
        <f t="shared" si="5"/>
        <v>0</v>
      </c>
      <c r="K85">
        <f t="shared" si="5"/>
        <v>0</v>
      </c>
      <c r="L85">
        <f t="shared" si="5"/>
        <v>0</v>
      </c>
      <c r="M85">
        <f t="shared" si="5"/>
        <v>0</v>
      </c>
      <c r="N85">
        <f t="shared" si="5"/>
        <v>0</v>
      </c>
      <c r="O85">
        <f t="shared" si="5"/>
        <v>0</v>
      </c>
      <c r="P85">
        <f t="shared" si="5"/>
        <v>0</v>
      </c>
      <c r="Q85">
        <f t="shared" si="5"/>
        <v>0</v>
      </c>
      <c r="R85">
        <f t="shared" si="5"/>
        <v>0</v>
      </c>
      <c r="S85">
        <f t="shared" si="5"/>
        <v>0</v>
      </c>
      <c r="T85">
        <f t="shared" si="5"/>
        <v>0</v>
      </c>
      <c r="U85">
        <f t="shared" si="5"/>
        <v>0</v>
      </c>
      <c r="V85">
        <f t="shared" si="5"/>
        <v>0</v>
      </c>
      <c r="W85">
        <f t="shared" si="5"/>
        <v>0</v>
      </c>
      <c r="X85">
        <f t="shared" si="5"/>
        <v>0</v>
      </c>
      <c r="Y85">
        <f t="shared" si="5"/>
        <v>0</v>
      </c>
      <c r="Z85">
        <f t="shared" si="5"/>
        <v>0</v>
      </c>
      <c r="AA85">
        <f t="shared" si="5"/>
        <v>0</v>
      </c>
      <c r="AB85">
        <f t="shared" si="5"/>
        <v>300</v>
      </c>
      <c r="AC85">
        <f t="shared" si="5"/>
        <v>0</v>
      </c>
      <c r="AD85">
        <f t="shared" si="5"/>
        <v>0</v>
      </c>
      <c r="AE85">
        <f t="shared" si="5"/>
        <v>0</v>
      </c>
      <c r="AF85">
        <f t="shared" si="5"/>
        <v>0</v>
      </c>
      <c r="AG85">
        <f t="shared" si="5"/>
        <v>0</v>
      </c>
      <c r="AH85">
        <f t="shared" si="5"/>
        <v>0</v>
      </c>
      <c r="AI85">
        <f t="shared" si="5"/>
        <v>0</v>
      </c>
      <c r="AJ85">
        <f t="shared" si="5"/>
        <v>50</v>
      </c>
      <c r="AK85">
        <f t="shared" si="5"/>
        <v>0</v>
      </c>
      <c r="AL85">
        <f t="shared" si="5"/>
        <v>0</v>
      </c>
      <c r="AM85">
        <f t="shared" si="5"/>
        <v>0</v>
      </c>
      <c r="AN85">
        <f t="shared" si="5"/>
        <v>0</v>
      </c>
      <c r="AO85">
        <f t="shared" ref="AO85:BS85" si="12">AO4</f>
        <v>0</v>
      </c>
      <c r="AP85">
        <f t="shared" si="12"/>
        <v>0</v>
      </c>
      <c r="AQ85">
        <f t="shared" si="12"/>
        <v>0</v>
      </c>
      <c r="AR85">
        <f t="shared" si="12"/>
        <v>0</v>
      </c>
      <c r="AS85">
        <f t="shared" si="12"/>
        <v>0</v>
      </c>
      <c r="AT85">
        <f t="shared" si="12"/>
        <v>0</v>
      </c>
      <c r="AU85">
        <f t="shared" si="12"/>
        <v>0</v>
      </c>
      <c r="AV85">
        <f t="shared" si="12"/>
        <v>0</v>
      </c>
      <c r="AW85">
        <f t="shared" si="12"/>
        <v>0</v>
      </c>
      <c r="AX85">
        <f t="shared" si="12"/>
        <v>0</v>
      </c>
      <c r="AY85">
        <f t="shared" si="12"/>
        <v>0</v>
      </c>
      <c r="AZ85">
        <f t="shared" si="12"/>
        <v>0</v>
      </c>
      <c r="BA85">
        <f t="shared" si="12"/>
        <v>0</v>
      </c>
      <c r="BB85">
        <f t="shared" si="12"/>
        <v>0</v>
      </c>
      <c r="BC85">
        <f t="shared" si="12"/>
        <v>0</v>
      </c>
      <c r="BD85">
        <f t="shared" si="12"/>
        <v>0</v>
      </c>
      <c r="BE85">
        <f t="shared" si="12"/>
        <v>0</v>
      </c>
      <c r="BF85">
        <f t="shared" si="12"/>
        <v>0</v>
      </c>
      <c r="BG85">
        <f t="shared" si="12"/>
        <v>0</v>
      </c>
      <c r="BH85">
        <f t="shared" si="12"/>
        <v>0</v>
      </c>
      <c r="BI85">
        <f t="shared" si="12"/>
        <v>0</v>
      </c>
      <c r="BJ85">
        <f t="shared" si="12"/>
        <v>0</v>
      </c>
      <c r="BK85">
        <f t="shared" si="12"/>
        <v>0</v>
      </c>
      <c r="BL85">
        <f t="shared" si="12"/>
        <v>0</v>
      </c>
      <c r="BM85">
        <f t="shared" si="12"/>
        <v>0</v>
      </c>
      <c r="BN85">
        <f t="shared" si="12"/>
        <v>0</v>
      </c>
      <c r="BO85">
        <f t="shared" si="12"/>
        <v>0</v>
      </c>
      <c r="BP85">
        <f t="shared" si="12"/>
        <v>0</v>
      </c>
      <c r="BQ85">
        <f t="shared" si="12"/>
        <v>0</v>
      </c>
      <c r="BR85">
        <f t="shared" si="12"/>
        <v>0</v>
      </c>
      <c r="BS85">
        <f t="shared" si="12"/>
        <v>0</v>
      </c>
      <c r="BT85">
        <f t="shared" ref="BT85:BY85" si="13">BT4</f>
        <v>0</v>
      </c>
      <c r="BU85">
        <f t="shared" si="13"/>
        <v>0</v>
      </c>
      <c r="BV85">
        <f t="shared" si="13"/>
        <v>0</v>
      </c>
      <c r="BW85">
        <f t="shared" si="13"/>
        <v>0</v>
      </c>
      <c r="BX85">
        <f t="shared" si="13"/>
        <v>0</v>
      </c>
      <c r="BY85">
        <f t="shared" si="13"/>
        <v>0</v>
      </c>
    </row>
    <row r="86" spans="1:77" ht="15" customHeight="1">
      <c r="A86">
        <f t="shared" si="9"/>
        <v>4</v>
      </c>
      <c r="B86" t="str">
        <f t="shared" si="5"/>
        <v>RM000044</v>
      </c>
      <c r="C86" t="str">
        <f t="shared" si="5"/>
        <v>Spices</v>
      </c>
      <c r="D86" t="str">
        <f t="shared" si="5"/>
        <v>C39/Pre-Production</v>
      </c>
      <c r="E86" t="str">
        <f t="shared" si="5"/>
        <v>Coconut Sap Sugar</v>
      </c>
      <c r="F86" s="102">
        <f t="shared" si="5"/>
        <v>249.33</v>
      </c>
      <c r="G86">
        <f t="shared" si="6"/>
        <v>0</v>
      </c>
      <c r="H86" s="102">
        <f t="shared" si="6"/>
        <v>-249.33</v>
      </c>
      <c r="I86" s="101">
        <f t="shared" si="6"/>
        <v>0</v>
      </c>
      <c r="J86">
        <f t="shared" si="5"/>
        <v>0</v>
      </c>
      <c r="K86">
        <f t="shared" si="5"/>
        <v>0</v>
      </c>
      <c r="L86">
        <f t="shared" si="5"/>
        <v>0</v>
      </c>
      <c r="M86">
        <f t="shared" si="5"/>
        <v>0</v>
      </c>
      <c r="N86">
        <f t="shared" si="5"/>
        <v>0</v>
      </c>
      <c r="O86">
        <f t="shared" si="5"/>
        <v>0</v>
      </c>
      <c r="P86">
        <f t="shared" si="5"/>
        <v>0</v>
      </c>
      <c r="Q86">
        <f t="shared" si="5"/>
        <v>0</v>
      </c>
      <c r="R86">
        <f t="shared" si="5"/>
        <v>0</v>
      </c>
      <c r="S86">
        <f t="shared" si="5"/>
        <v>0</v>
      </c>
      <c r="T86">
        <f t="shared" si="5"/>
        <v>0</v>
      </c>
      <c r="U86">
        <f t="shared" si="5"/>
        <v>0</v>
      </c>
      <c r="V86">
        <f t="shared" si="5"/>
        <v>0</v>
      </c>
      <c r="W86">
        <f t="shared" si="5"/>
        <v>0</v>
      </c>
      <c r="X86">
        <f t="shared" si="5"/>
        <v>0</v>
      </c>
      <c r="Y86">
        <f t="shared" si="5"/>
        <v>0</v>
      </c>
      <c r="Z86">
        <f t="shared" si="5"/>
        <v>0</v>
      </c>
      <c r="AA86">
        <f t="shared" si="5"/>
        <v>0</v>
      </c>
      <c r="AB86">
        <f t="shared" si="5"/>
        <v>0</v>
      </c>
      <c r="AC86">
        <f t="shared" si="5"/>
        <v>0</v>
      </c>
      <c r="AD86">
        <f t="shared" si="5"/>
        <v>0</v>
      </c>
      <c r="AE86">
        <f t="shared" si="5"/>
        <v>0</v>
      </c>
      <c r="AF86">
        <f t="shared" si="5"/>
        <v>0</v>
      </c>
      <c r="AG86">
        <f t="shared" si="5"/>
        <v>0</v>
      </c>
      <c r="AH86">
        <f t="shared" si="5"/>
        <v>0</v>
      </c>
      <c r="AI86">
        <f t="shared" si="5"/>
        <v>0</v>
      </c>
      <c r="AJ86">
        <f t="shared" si="5"/>
        <v>0</v>
      </c>
      <c r="AK86">
        <f t="shared" si="5"/>
        <v>0</v>
      </c>
      <c r="AL86">
        <f t="shared" si="5"/>
        <v>0</v>
      </c>
      <c r="AM86">
        <f t="shared" si="5"/>
        <v>0</v>
      </c>
      <c r="AN86">
        <f t="shared" si="5"/>
        <v>0</v>
      </c>
      <c r="AO86">
        <f t="shared" ref="AO86:BS86" si="14">AO5</f>
        <v>0</v>
      </c>
      <c r="AP86">
        <f t="shared" si="14"/>
        <v>0</v>
      </c>
      <c r="AQ86">
        <f t="shared" si="14"/>
        <v>0</v>
      </c>
      <c r="AR86">
        <f t="shared" si="14"/>
        <v>0</v>
      </c>
      <c r="AS86">
        <f t="shared" si="14"/>
        <v>0</v>
      </c>
      <c r="AT86">
        <f t="shared" si="14"/>
        <v>0</v>
      </c>
      <c r="AU86">
        <f t="shared" si="14"/>
        <v>0</v>
      </c>
      <c r="AV86">
        <f t="shared" si="14"/>
        <v>0</v>
      </c>
      <c r="AW86">
        <f t="shared" si="14"/>
        <v>0</v>
      </c>
      <c r="AX86">
        <f t="shared" si="14"/>
        <v>0</v>
      </c>
      <c r="AY86">
        <f t="shared" si="14"/>
        <v>0</v>
      </c>
      <c r="AZ86">
        <f t="shared" si="14"/>
        <v>0</v>
      </c>
      <c r="BA86">
        <f t="shared" si="14"/>
        <v>0</v>
      </c>
      <c r="BB86">
        <f t="shared" si="14"/>
        <v>0</v>
      </c>
      <c r="BC86">
        <f t="shared" si="14"/>
        <v>0</v>
      </c>
      <c r="BD86">
        <f t="shared" si="14"/>
        <v>0</v>
      </c>
      <c r="BE86">
        <f t="shared" si="14"/>
        <v>0</v>
      </c>
      <c r="BF86">
        <f t="shared" si="14"/>
        <v>0</v>
      </c>
      <c r="BG86">
        <f t="shared" si="14"/>
        <v>0</v>
      </c>
      <c r="BH86">
        <f t="shared" si="14"/>
        <v>0</v>
      </c>
      <c r="BI86">
        <f t="shared" si="14"/>
        <v>0</v>
      </c>
      <c r="BJ86">
        <f t="shared" si="14"/>
        <v>0</v>
      </c>
      <c r="BK86">
        <f t="shared" si="14"/>
        <v>0</v>
      </c>
      <c r="BL86">
        <f t="shared" si="14"/>
        <v>0</v>
      </c>
      <c r="BM86">
        <f t="shared" si="14"/>
        <v>0</v>
      </c>
      <c r="BN86">
        <f t="shared" si="14"/>
        <v>0</v>
      </c>
      <c r="BO86">
        <f t="shared" si="14"/>
        <v>0</v>
      </c>
      <c r="BP86">
        <f t="shared" si="14"/>
        <v>0</v>
      </c>
      <c r="BQ86">
        <f t="shared" si="14"/>
        <v>0</v>
      </c>
      <c r="BR86">
        <f t="shared" si="14"/>
        <v>0</v>
      </c>
      <c r="BS86">
        <f t="shared" si="14"/>
        <v>0</v>
      </c>
      <c r="BT86">
        <f t="shared" ref="BT86:BY86" si="15">BT5</f>
        <v>0</v>
      </c>
      <c r="BU86">
        <f t="shared" si="15"/>
        <v>0</v>
      </c>
      <c r="BV86">
        <f t="shared" si="15"/>
        <v>0</v>
      </c>
      <c r="BW86">
        <f t="shared" si="15"/>
        <v>0</v>
      </c>
      <c r="BX86">
        <f t="shared" si="15"/>
        <v>0</v>
      </c>
      <c r="BY86">
        <f t="shared" si="15"/>
        <v>0</v>
      </c>
    </row>
    <row r="87" spans="1:77" ht="15" customHeight="1">
      <c r="A87">
        <f t="shared" si="9"/>
        <v>5</v>
      </c>
      <c r="B87" t="str">
        <f t="shared" si="5"/>
        <v>RM000030</v>
      </c>
      <c r="C87" t="str">
        <f t="shared" si="5"/>
        <v>Spices</v>
      </c>
      <c r="D87" t="str">
        <f t="shared" si="5"/>
        <v>C39/Pre-Production</v>
      </c>
      <c r="E87" t="str">
        <f t="shared" si="5"/>
        <v>Byadgi chill powder</v>
      </c>
      <c r="F87" s="102">
        <f t="shared" si="5"/>
        <v>236.70999999999989</v>
      </c>
      <c r="G87">
        <f t="shared" si="6"/>
        <v>0</v>
      </c>
      <c r="H87" s="102">
        <f t="shared" si="6"/>
        <v>-236.70999999999989</v>
      </c>
      <c r="I87" s="101">
        <f t="shared" si="6"/>
        <v>0</v>
      </c>
      <c r="J87">
        <f t="shared" si="5"/>
        <v>0</v>
      </c>
      <c r="K87">
        <f t="shared" si="5"/>
        <v>0</v>
      </c>
      <c r="L87">
        <f t="shared" si="5"/>
        <v>0</v>
      </c>
      <c r="M87">
        <f t="shared" si="5"/>
        <v>0</v>
      </c>
      <c r="N87">
        <f t="shared" si="5"/>
        <v>0</v>
      </c>
      <c r="O87">
        <f t="shared" si="5"/>
        <v>0</v>
      </c>
      <c r="P87">
        <f t="shared" si="5"/>
        <v>0</v>
      </c>
      <c r="Q87">
        <f t="shared" si="5"/>
        <v>0</v>
      </c>
      <c r="R87">
        <f t="shared" si="5"/>
        <v>0</v>
      </c>
      <c r="S87">
        <f t="shared" si="5"/>
        <v>0</v>
      </c>
      <c r="T87">
        <f t="shared" si="5"/>
        <v>0</v>
      </c>
      <c r="U87">
        <f t="shared" si="5"/>
        <v>0</v>
      </c>
      <c r="V87">
        <f t="shared" si="5"/>
        <v>0</v>
      </c>
      <c r="W87">
        <f t="shared" si="5"/>
        <v>0</v>
      </c>
      <c r="X87">
        <f t="shared" si="5"/>
        <v>0</v>
      </c>
      <c r="Y87">
        <f t="shared" si="5"/>
        <v>0</v>
      </c>
      <c r="Z87">
        <f t="shared" si="5"/>
        <v>0</v>
      </c>
      <c r="AA87">
        <f t="shared" si="5"/>
        <v>200</v>
      </c>
      <c r="AB87">
        <f t="shared" si="5"/>
        <v>0</v>
      </c>
      <c r="AC87">
        <f t="shared" si="5"/>
        <v>0</v>
      </c>
      <c r="AD87">
        <f t="shared" si="5"/>
        <v>0</v>
      </c>
      <c r="AE87">
        <f t="shared" si="5"/>
        <v>0</v>
      </c>
      <c r="AF87">
        <f t="shared" si="5"/>
        <v>0</v>
      </c>
      <c r="AG87">
        <f t="shared" si="5"/>
        <v>0</v>
      </c>
      <c r="AH87">
        <f t="shared" si="5"/>
        <v>0</v>
      </c>
      <c r="AI87">
        <f t="shared" si="5"/>
        <v>0</v>
      </c>
      <c r="AJ87">
        <f t="shared" si="5"/>
        <v>0</v>
      </c>
      <c r="AK87">
        <f t="shared" si="5"/>
        <v>0</v>
      </c>
      <c r="AL87">
        <f t="shared" si="5"/>
        <v>0</v>
      </c>
      <c r="AM87">
        <f t="shared" si="5"/>
        <v>0</v>
      </c>
      <c r="AN87">
        <f t="shared" si="5"/>
        <v>0</v>
      </c>
      <c r="AO87">
        <f t="shared" ref="AO87:BS87" si="16">AO6</f>
        <v>0</v>
      </c>
      <c r="AP87">
        <f t="shared" si="16"/>
        <v>0</v>
      </c>
      <c r="AQ87">
        <f t="shared" si="16"/>
        <v>0</v>
      </c>
      <c r="AR87">
        <f t="shared" si="16"/>
        <v>0</v>
      </c>
      <c r="AS87">
        <f t="shared" si="16"/>
        <v>0</v>
      </c>
      <c r="AT87">
        <f t="shared" si="16"/>
        <v>200</v>
      </c>
      <c r="AU87">
        <f t="shared" si="16"/>
        <v>0</v>
      </c>
      <c r="AV87">
        <f t="shared" si="16"/>
        <v>0</v>
      </c>
      <c r="AW87">
        <f t="shared" si="16"/>
        <v>0</v>
      </c>
      <c r="AX87">
        <f t="shared" si="16"/>
        <v>0</v>
      </c>
      <c r="AY87">
        <f t="shared" si="16"/>
        <v>0</v>
      </c>
      <c r="AZ87">
        <f t="shared" si="16"/>
        <v>0</v>
      </c>
      <c r="BA87">
        <f t="shared" si="16"/>
        <v>0</v>
      </c>
      <c r="BB87">
        <f t="shared" si="16"/>
        <v>0</v>
      </c>
      <c r="BC87">
        <f t="shared" si="16"/>
        <v>0</v>
      </c>
      <c r="BD87">
        <f t="shared" si="16"/>
        <v>0</v>
      </c>
      <c r="BE87">
        <f t="shared" si="16"/>
        <v>0</v>
      </c>
      <c r="BF87">
        <f t="shared" si="16"/>
        <v>0</v>
      </c>
      <c r="BG87">
        <f t="shared" si="16"/>
        <v>0</v>
      </c>
      <c r="BH87">
        <f t="shared" si="16"/>
        <v>0</v>
      </c>
      <c r="BI87">
        <f t="shared" si="16"/>
        <v>0</v>
      </c>
      <c r="BJ87">
        <f t="shared" si="16"/>
        <v>0</v>
      </c>
      <c r="BK87">
        <f t="shared" si="16"/>
        <v>0</v>
      </c>
      <c r="BL87">
        <f t="shared" si="16"/>
        <v>0</v>
      </c>
      <c r="BM87">
        <f t="shared" si="16"/>
        <v>0</v>
      </c>
      <c r="BN87">
        <f t="shared" si="16"/>
        <v>0</v>
      </c>
      <c r="BO87">
        <f t="shared" si="16"/>
        <v>0</v>
      </c>
      <c r="BP87">
        <f t="shared" si="16"/>
        <v>0</v>
      </c>
      <c r="BQ87">
        <f t="shared" si="16"/>
        <v>0</v>
      </c>
      <c r="BR87">
        <f t="shared" si="16"/>
        <v>0</v>
      </c>
      <c r="BS87">
        <f t="shared" si="16"/>
        <v>0</v>
      </c>
      <c r="BT87">
        <f t="shared" ref="BT87:BY87" si="17">BT6</f>
        <v>0</v>
      </c>
      <c r="BU87">
        <f t="shared" si="17"/>
        <v>0</v>
      </c>
      <c r="BV87">
        <f t="shared" si="17"/>
        <v>0</v>
      </c>
      <c r="BW87">
        <f t="shared" si="17"/>
        <v>0</v>
      </c>
      <c r="BX87">
        <f t="shared" si="17"/>
        <v>0</v>
      </c>
      <c r="BY87">
        <f t="shared" si="17"/>
        <v>0</v>
      </c>
    </row>
    <row r="88" spans="1:77" ht="15" customHeight="1">
      <c r="A88">
        <f t="shared" si="9"/>
        <v>6</v>
      </c>
      <c r="B88" t="str">
        <f t="shared" si="5"/>
        <v>RM000179</v>
      </c>
      <c r="C88" t="str">
        <f t="shared" si="5"/>
        <v>Saffron</v>
      </c>
      <c r="D88" t="str">
        <f t="shared" si="5"/>
        <v>C39/Pre-Production</v>
      </c>
      <c r="E88" t="str">
        <f t="shared" si="5"/>
        <v>Saffron</v>
      </c>
      <c r="F88" s="102">
        <f t="shared" si="5"/>
        <v>6.2570000000000006</v>
      </c>
      <c r="G88">
        <f t="shared" si="6"/>
        <v>0</v>
      </c>
      <c r="H88" s="102">
        <f t="shared" si="6"/>
        <v>-6.2570000000000006</v>
      </c>
      <c r="I88" s="101">
        <f t="shared" si="6"/>
        <v>0</v>
      </c>
      <c r="J88">
        <f t="shared" si="5"/>
        <v>0</v>
      </c>
      <c r="K88">
        <f t="shared" si="5"/>
        <v>0</v>
      </c>
      <c r="L88">
        <f t="shared" si="5"/>
        <v>0</v>
      </c>
      <c r="M88">
        <f t="shared" si="5"/>
        <v>0</v>
      </c>
      <c r="N88">
        <f t="shared" si="5"/>
        <v>0</v>
      </c>
      <c r="O88">
        <f t="shared" si="5"/>
        <v>0</v>
      </c>
      <c r="P88">
        <f t="shared" si="5"/>
        <v>0</v>
      </c>
      <c r="Q88">
        <f t="shared" si="5"/>
        <v>0</v>
      </c>
      <c r="R88">
        <f t="shared" si="5"/>
        <v>0</v>
      </c>
      <c r="S88">
        <f t="shared" si="5"/>
        <v>0</v>
      </c>
      <c r="T88">
        <f t="shared" si="5"/>
        <v>0</v>
      </c>
      <c r="U88">
        <f t="shared" si="5"/>
        <v>0</v>
      </c>
      <c r="V88">
        <f t="shared" si="5"/>
        <v>0</v>
      </c>
      <c r="W88">
        <f t="shared" si="5"/>
        <v>0</v>
      </c>
      <c r="X88">
        <f t="shared" si="5"/>
        <v>0</v>
      </c>
      <c r="Y88">
        <f t="shared" si="5"/>
        <v>0</v>
      </c>
      <c r="Z88">
        <f t="shared" si="5"/>
        <v>0</v>
      </c>
      <c r="AA88">
        <f t="shared" si="5"/>
        <v>0</v>
      </c>
      <c r="AB88">
        <f t="shared" si="5"/>
        <v>0</v>
      </c>
      <c r="AC88">
        <f t="shared" si="5"/>
        <v>0</v>
      </c>
      <c r="AD88">
        <f t="shared" si="5"/>
        <v>500</v>
      </c>
      <c r="AE88">
        <f t="shared" si="5"/>
        <v>0</v>
      </c>
      <c r="AF88">
        <f t="shared" si="5"/>
        <v>2000</v>
      </c>
      <c r="AG88">
        <f t="shared" si="5"/>
        <v>0</v>
      </c>
      <c r="AH88">
        <f t="shared" ref="B88:AN94" si="18">AH7</f>
        <v>0</v>
      </c>
      <c r="AI88">
        <f t="shared" si="18"/>
        <v>0</v>
      </c>
      <c r="AJ88">
        <f t="shared" si="18"/>
        <v>960</v>
      </c>
      <c r="AK88">
        <f t="shared" si="18"/>
        <v>0</v>
      </c>
      <c r="AL88">
        <f t="shared" si="18"/>
        <v>0</v>
      </c>
      <c r="AM88">
        <f t="shared" si="18"/>
        <v>3000</v>
      </c>
      <c r="AN88">
        <f t="shared" si="18"/>
        <v>0</v>
      </c>
      <c r="AO88">
        <f t="shared" ref="AO88:BS88" si="19">AO7</f>
        <v>0</v>
      </c>
      <c r="AP88">
        <f t="shared" si="19"/>
        <v>0</v>
      </c>
      <c r="AQ88">
        <f t="shared" si="19"/>
        <v>0</v>
      </c>
      <c r="AR88">
        <f t="shared" si="19"/>
        <v>0</v>
      </c>
      <c r="AS88">
        <f t="shared" si="19"/>
        <v>0</v>
      </c>
      <c r="AT88">
        <f t="shared" si="19"/>
        <v>0</v>
      </c>
      <c r="AU88">
        <f t="shared" si="19"/>
        <v>2000</v>
      </c>
      <c r="AV88">
        <f t="shared" si="19"/>
        <v>0</v>
      </c>
      <c r="AW88">
        <f t="shared" si="19"/>
        <v>0</v>
      </c>
      <c r="AX88">
        <f t="shared" si="19"/>
        <v>0</v>
      </c>
      <c r="AY88">
        <f t="shared" si="19"/>
        <v>0</v>
      </c>
      <c r="AZ88">
        <f t="shared" si="19"/>
        <v>0</v>
      </c>
      <c r="BA88">
        <f t="shared" si="19"/>
        <v>0</v>
      </c>
      <c r="BB88">
        <f t="shared" si="19"/>
        <v>0</v>
      </c>
      <c r="BC88">
        <f t="shared" si="19"/>
        <v>0</v>
      </c>
      <c r="BD88">
        <f t="shared" si="19"/>
        <v>0</v>
      </c>
      <c r="BE88">
        <f t="shared" si="19"/>
        <v>0</v>
      </c>
      <c r="BF88">
        <f t="shared" si="19"/>
        <v>0</v>
      </c>
      <c r="BG88">
        <f t="shared" si="19"/>
        <v>0</v>
      </c>
      <c r="BH88">
        <f t="shared" si="19"/>
        <v>0</v>
      </c>
      <c r="BI88">
        <f t="shared" si="19"/>
        <v>0</v>
      </c>
      <c r="BJ88">
        <f t="shared" si="19"/>
        <v>0</v>
      </c>
      <c r="BK88">
        <f t="shared" si="19"/>
        <v>0</v>
      </c>
      <c r="BL88">
        <f t="shared" si="19"/>
        <v>0</v>
      </c>
      <c r="BM88">
        <f t="shared" si="19"/>
        <v>0</v>
      </c>
      <c r="BN88">
        <f t="shared" si="19"/>
        <v>0</v>
      </c>
      <c r="BO88">
        <f t="shared" si="19"/>
        <v>0</v>
      </c>
      <c r="BP88">
        <f t="shared" si="19"/>
        <v>0</v>
      </c>
      <c r="BQ88">
        <f t="shared" si="19"/>
        <v>0</v>
      </c>
      <c r="BR88">
        <f t="shared" si="19"/>
        <v>0</v>
      </c>
      <c r="BS88">
        <f t="shared" si="19"/>
        <v>0</v>
      </c>
      <c r="BT88">
        <f t="shared" ref="BT88:BY88" si="20">BT7</f>
        <v>0</v>
      </c>
      <c r="BU88">
        <f t="shared" si="20"/>
        <v>0</v>
      </c>
      <c r="BV88">
        <f t="shared" si="20"/>
        <v>0</v>
      </c>
      <c r="BW88">
        <f t="shared" si="20"/>
        <v>0</v>
      </c>
      <c r="BX88">
        <f t="shared" si="20"/>
        <v>0</v>
      </c>
      <c r="BY88">
        <f t="shared" si="20"/>
        <v>0</v>
      </c>
    </row>
    <row r="89" spans="1:77" ht="15" customHeight="1">
      <c r="A89">
        <f t="shared" si="9"/>
        <v>7</v>
      </c>
      <c r="B89" t="str">
        <f t="shared" si="18"/>
        <v>RM000177</v>
      </c>
      <c r="C89" t="str">
        <f t="shared" si="18"/>
        <v>Raw Agri</v>
      </c>
      <c r="D89" t="str">
        <f t="shared" si="18"/>
        <v>MIND/Pre-Production</v>
      </c>
      <c r="E89" t="str">
        <f t="shared" si="18"/>
        <v>Rock Salt Powder</v>
      </c>
      <c r="F89" s="102">
        <f t="shared" si="18"/>
        <v>12332.28</v>
      </c>
      <c r="G89">
        <f t="shared" si="6"/>
        <v>0</v>
      </c>
      <c r="H89" s="102">
        <f t="shared" si="6"/>
        <v>-12332.28</v>
      </c>
      <c r="I89" s="101">
        <f t="shared" si="6"/>
        <v>0</v>
      </c>
      <c r="J89">
        <f t="shared" si="18"/>
        <v>0</v>
      </c>
      <c r="K89">
        <f t="shared" si="18"/>
        <v>0</v>
      </c>
      <c r="L89">
        <f t="shared" si="18"/>
        <v>0</v>
      </c>
      <c r="M89">
        <f t="shared" si="18"/>
        <v>0</v>
      </c>
      <c r="N89">
        <f t="shared" si="18"/>
        <v>6000</v>
      </c>
      <c r="O89">
        <f t="shared" si="18"/>
        <v>0</v>
      </c>
      <c r="P89">
        <f t="shared" si="18"/>
        <v>0</v>
      </c>
      <c r="Q89">
        <f t="shared" si="18"/>
        <v>0</v>
      </c>
      <c r="R89">
        <f t="shared" si="18"/>
        <v>0</v>
      </c>
      <c r="S89">
        <f t="shared" si="18"/>
        <v>0</v>
      </c>
      <c r="T89">
        <f t="shared" si="18"/>
        <v>0</v>
      </c>
      <c r="U89">
        <f t="shared" si="18"/>
        <v>0</v>
      </c>
      <c r="V89">
        <f t="shared" si="18"/>
        <v>1120</v>
      </c>
      <c r="W89">
        <f t="shared" si="18"/>
        <v>0</v>
      </c>
      <c r="X89">
        <f t="shared" si="18"/>
        <v>0</v>
      </c>
      <c r="Y89">
        <f t="shared" si="18"/>
        <v>0</v>
      </c>
      <c r="Z89">
        <f t="shared" si="18"/>
        <v>0</v>
      </c>
      <c r="AA89">
        <f t="shared" si="18"/>
        <v>0</v>
      </c>
      <c r="AB89">
        <f t="shared" si="18"/>
        <v>0</v>
      </c>
      <c r="AC89">
        <f t="shared" si="18"/>
        <v>2010</v>
      </c>
      <c r="AD89">
        <f t="shared" si="18"/>
        <v>0</v>
      </c>
      <c r="AE89">
        <f t="shared" si="18"/>
        <v>0</v>
      </c>
      <c r="AF89">
        <f t="shared" si="18"/>
        <v>0</v>
      </c>
      <c r="AG89">
        <f t="shared" si="18"/>
        <v>0</v>
      </c>
      <c r="AH89">
        <f t="shared" si="18"/>
        <v>0</v>
      </c>
      <c r="AI89">
        <f t="shared" si="18"/>
        <v>0</v>
      </c>
      <c r="AJ89">
        <f t="shared" si="18"/>
        <v>6000</v>
      </c>
      <c r="AK89">
        <f t="shared" si="18"/>
        <v>0</v>
      </c>
      <c r="AL89">
        <f t="shared" si="18"/>
        <v>0</v>
      </c>
      <c r="AM89">
        <f t="shared" si="18"/>
        <v>0</v>
      </c>
      <c r="AN89">
        <f t="shared" si="18"/>
        <v>4200</v>
      </c>
      <c r="AO89">
        <f t="shared" ref="AO89:BS89" si="21">AO8</f>
        <v>0</v>
      </c>
      <c r="AP89">
        <f t="shared" si="21"/>
        <v>0</v>
      </c>
      <c r="AQ89">
        <f t="shared" si="21"/>
        <v>0</v>
      </c>
      <c r="AR89">
        <f t="shared" si="21"/>
        <v>0</v>
      </c>
      <c r="AS89">
        <f t="shared" si="21"/>
        <v>0</v>
      </c>
      <c r="AT89">
        <f t="shared" si="21"/>
        <v>0</v>
      </c>
      <c r="AU89">
        <f t="shared" si="21"/>
        <v>0</v>
      </c>
      <c r="AV89">
        <f t="shared" si="21"/>
        <v>0</v>
      </c>
      <c r="AW89">
        <f t="shared" si="21"/>
        <v>0</v>
      </c>
      <c r="AX89">
        <f t="shared" si="21"/>
        <v>0</v>
      </c>
      <c r="AY89">
        <f t="shared" si="21"/>
        <v>0</v>
      </c>
      <c r="AZ89">
        <f t="shared" si="21"/>
        <v>0</v>
      </c>
      <c r="BA89">
        <f t="shared" si="21"/>
        <v>0</v>
      </c>
      <c r="BB89">
        <f t="shared" si="21"/>
        <v>0</v>
      </c>
      <c r="BC89">
        <f t="shared" si="21"/>
        <v>0</v>
      </c>
      <c r="BD89">
        <f t="shared" si="21"/>
        <v>0</v>
      </c>
      <c r="BE89">
        <f t="shared" si="21"/>
        <v>0</v>
      </c>
      <c r="BF89">
        <f t="shared" si="21"/>
        <v>0</v>
      </c>
      <c r="BG89">
        <f t="shared" si="21"/>
        <v>0</v>
      </c>
      <c r="BH89">
        <f t="shared" si="21"/>
        <v>0</v>
      </c>
      <c r="BI89">
        <f t="shared" si="21"/>
        <v>0</v>
      </c>
      <c r="BJ89">
        <f t="shared" si="21"/>
        <v>0</v>
      </c>
      <c r="BK89">
        <f t="shared" si="21"/>
        <v>0</v>
      </c>
      <c r="BL89">
        <f t="shared" si="21"/>
        <v>0</v>
      </c>
      <c r="BM89">
        <f t="shared" si="21"/>
        <v>0</v>
      </c>
      <c r="BN89">
        <f t="shared" si="21"/>
        <v>0</v>
      </c>
      <c r="BO89">
        <f t="shared" si="21"/>
        <v>0</v>
      </c>
      <c r="BP89">
        <f t="shared" si="21"/>
        <v>0</v>
      </c>
      <c r="BQ89">
        <f t="shared" si="21"/>
        <v>0</v>
      </c>
      <c r="BR89">
        <f t="shared" si="21"/>
        <v>0</v>
      </c>
      <c r="BS89">
        <f t="shared" si="21"/>
        <v>0</v>
      </c>
      <c r="BT89">
        <f t="shared" ref="BT89:BY89" si="22">BT8</f>
        <v>0</v>
      </c>
      <c r="BU89">
        <f t="shared" si="22"/>
        <v>0</v>
      </c>
      <c r="BV89">
        <f t="shared" si="22"/>
        <v>0</v>
      </c>
      <c r="BW89">
        <f t="shared" si="22"/>
        <v>0</v>
      </c>
      <c r="BX89">
        <f t="shared" si="22"/>
        <v>0</v>
      </c>
      <c r="BY89">
        <f t="shared" si="22"/>
        <v>0</v>
      </c>
    </row>
    <row r="90" spans="1:77" ht="15" customHeight="1">
      <c r="A90">
        <f t="shared" si="9"/>
        <v>8</v>
      </c>
      <c r="B90" t="str">
        <f t="shared" si="18"/>
        <v>RM000172</v>
      </c>
      <c r="C90" t="str">
        <f t="shared" si="18"/>
        <v>Raw Agri</v>
      </c>
      <c r="D90" t="str">
        <f t="shared" si="18"/>
        <v>MIND/Pre-Production</v>
      </c>
      <c r="E90" t="str">
        <f t="shared" si="18"/>
        <v>Raw waghaya peanut</v>
      </c>
      <c r="F90" s="102">
        <f t="shared" si="18"/>
        <v>800.63</v>
      </c>
      <c r="G90">
        <f t="shared" si="6"/>
        <v>0</v>
      </c>
      <c r="H90" s="102">
        <f t="shared" si="6"/>
        <v>-800.63</v>
      </c>
      <c r="I90" s="101">
        <f t="shared" si="6"/>
        <v>0</v>
      </c>
      <c r="J90">
        <f t="shared" si="18"/>
        <v>0</v>
      </c>
      <c r="K90">
        <f t="shared" si="18"/>
        <v>0</v>
      </c>
      <c r="L90">
        <f t="shared" si="18"/>
        <v>0</v>
      </c>
      <c r="M90">
        <f t="shared" si="18"/>
        <v>0</v>
      </c>
      <c r="N90">
        <f t="shared" si="18"/>
        <v>0</v>
      </c>
      <c r="O90">
        <f t="shared" si="18"/>
        <v>0</v>
      </c>
      <c r="P90">
        <f t="shared" si="18"/>
        <v>0</v>
      </c>
      <c r="Q90">
        <f t="shared" si="18"/>
        <v>0</v>
      </c>
      <c r="R90">
        <f t="shared" si="18"/>
        <v>0</v>
      </c>
      <c r="S90">
        <f t="shared" si="18"/>
        <v>0</v>
      </c>
      <c r="T90">
        <f t="shared" si="18"/>
        <v>0</v>
      </c>
      <c r="U90">
        <f t="shared" si="18"/>
        <v>0</v>
      </c>
      <c r="V90">
        <f t="shared" si="18"/>
        <v>0</v>
      </c>
      <c r="W90">
        <f t="shared" si="18"/>
        <v>0</v>
      </c>
      <c r="X90">
        <f t="shared" si="18"/>
        <v>0</v>
      </c>
      <c r="Y90">
        <f t="shared" si="18"/>
        <v>0</v>
      </c>
      <c r="Z90">
        <f t="shared" si="18"/>
        <v>0</v>
      </c>
      <c r="AA90">
        <f t="shared" si="18"/>
        <v>0</v>
      </c>
      <c r="AB90">
        <f t="shared" si="18"/>
        <v>0</v>
      </c>
      <c r="AC90">
        <f t="shared" si="18"/>
        <v>0</v>
      </c>
      <c r="AD90">
        <f t="shared" si="18"/>
        <v>0</v>
      </c>
      <c r="AE90">
        <f t="shared" si="18"/>
        <v>0</v>
      </c>
      <c r="AF90">
        <f t="shared" si="18"/>
        <v>0</v>
      </c>
      <c r="AG90">
        <f t="shared" si="18"/>
        <v>0</v>
      </c>
      <c r="AH90">
        <f t="shared" si="18"/>
        <v>0</v>
      </c>
      <c r="AI90">
        <f t="shared" si="18"/>
        <v>0</v>
      </c>
      <c r="AJ90">
        <f t="shared" si="18"/>
        <v>0</v>
      </c>
      <c r="AK90">
        <f t="shared" si="18"/>
        <v>0</v>
      </c>
      <c r="AL90">
        <f t="shared" si="18"/>
        <v>0</v>
      </c>
      <c r="AM90">
        <f t="shared" si="18"/>
        <v>0</v>
      </c>
      <c r="AN90">
        <f t="shared" si="18"/>
        <v>0</v>
      </c>
      <c r="AO90">
        <f t="shared" ref="AO90:BS90" si="23">AO9</f>
        <v>0</v>
      </c>
      <c r="AP90">
        <f t="shared" si="23"/>
        <v>0</v>
      </c>
      <c r="AQ90">
        <f t="shared" si="23"/>
        <v>0</v>
      </c>
      <c r="AR90">
        <f t="shared" si="23"/>
        <v>0</v>
      </c>
      <c r="AS90">
        <f t="shared" si="23"/>
        <v>0</v>
      </c>
      <c r="AT90">
        <f t="shared" si="23"/>
        <v>0</v>
      </c>
      <c r="AU90">
        <f t="shared" si="23"/>
        <v>0</v>
      </c>
      <c r="AV90">
        <f t="shared" si="23"/>
        <v>0</v>
      </c>
      <c r="AW90">
        <f t="shared" si="23"/>
        <v>0</v>
      </c>
      <c r="AX90">
        <f t="shared" si="23"/>
        <v>0</v>
      </c>
      <c r="AY90">
        <f t="shared" si="23"/>
        <v>0</v>
      </c>
      <c r="AZ90">
        <f t="shared" si="23"/>
        <v>0</v>
      </c>
      <c r="BA90">
        <f t="shared" si="23"/>
        <v>0</v>
      </c>
      <c r="BB90">
        <f t="shared" si="23"/>
        <v>0</v>
      </c>
      <c r="BC90">
        <f t="shared" si="23"/>
        <v>0</v>
      </c>
      <c r="BD90">
        <f t="shared" si="23"/>
        <v>0</v>
      </c>
      <c r="BE90">
        <f t="shared" si="23"/>
        <v>0</v>
      </c>
      <c r="BF90">
        <f t="shared" si="23"/>
        <v>0</v>
      </c>
      <c r="BG90">
        <f t="shared" si="23"/>
        <v>0</v>
      </c>
      <c r="BH90">
        <f t="shared" si="23"/>
        <v>0</v>
      </c>
      <c r="BI90">
        <f t="shared" si="23"/>
        <v>0</v>
      </c>
      <c r="BJ90">
        <f t="shared" si="23"/>
        <v>0</v>
      </c>
      <c r="BK90">
        <f t="shared" si="23"/>
        <v>0</v>
      </c>
      <c r="BL90">
        <f t="shared" si="23"/>
        <v>0</v>
      </c>
      <c r="BM90">
        <f t="shared" si="23"/>
        <v>0</v>
      </c>
      <c r="BN90">
        <f t="shared" si="23"/>
        <v>0</v>
      </c>
      <c r="BO90">
        <f t="shared" si="23"/>
        <v>0</v>
      </c>
      <c r="BP90">
        <f t="shared" si="23"/>
        <v>0</v>
      </c>
      <c r="BQ90">
        <f t="shared" si="23"/>
        <v>0</v>
      </c>
      <c r="BR90">
        <f t="shared" si="23"/>
        <v>0</v>
      </c>
      <c r="BS90">
        <f t="shared" si="23"/>
        <v>0</v>
      </c>
      <c r="BT90">
        <f t="shared" ref="BT90:BY90" si="24">BT9</f>
        <v>0</v>
      </c>
      <c r="BU90">
        <f t="shared" si="24"/>
        <v>0</v>
      </c>
      <c r="BV90">
        <f t="shared" si="24"/>
        <v>0</v>
      </c>
      <c r="BW90">
        <f t="shared" si="24"/>
        <v>0</v>
      </c>
      <c r="BX90">
        <f t="shared" si="24"/>
        <v>0</v>
      </c>
      <c r="BY90">
        <f t="shared" si="24"/>
        <v>0</v>
      </c>
    </row>
    <row r="91" spans="1:77" ht="15" customHeight="1">
      <c r="A91">
        <f t="shared" si="9"/>
        <v>9</v>
      </c>
      <c r="B91" t="str">
        <f t="shared" si="18"/>
        <v>RM000076</v>
      </c>
      <c r="C91" t="str">
        <f t="shared" si="18"/>
        <v>Raw Agri</v>
      </c>
      <c r="D91" t="str">
        <f t="shared" si="18"/>
        <v>MIND/Pre-Production</v>
      </c>
      <c r="E91" t="str">
        <f t="shared" si="18"/>
        <v>Indrayani rice</v>
      </c>
      <c r="F91" s="102">
        <f t="shared" si="18"/>
        <v>860.65</v>
      </c>
      <c r="G91">
        <f t="shared" si="6"/>
        <v>0</v>
      </c>
      <c r="H91" s="102">
        <f t="shared" si="6"/>
        <v>-860.65</v>
      </c>
      <c r="I91" s="101">
        <f t="shared" si="6"/>
        <v>0</v>
      </c>
      <c r="J91">
        <f t="shared" si="18"/>
        <v>0</v>
      </c>
      <c r="K91">
        <f t="shared" si="18"/>
        <v>0</v>
      </c>
      <c r="L91">
        <f t="shared" si="18"/>
        <v>0</v>
      </c>
      <c r="M91">
        <f t="shared" si="18"/>
        <v>0</v>
      </c>
      <c r="N91">
        <f t="shared" si="18"/>
        <v>0</v>
      </c>
      <c r="O91">
        <f t="shared" si="18"/>
        <v>0</v>
      </c>
      <c r="P91">
        <f t="shared" si="18"/>
        <v>0</v>
      </c>
      <c r="Q91">
        <f t="shared" si="18"/>
        <v>0</v>
      </c>
      <c r="R91">
        <f t="shared" si="18"/>
        <v>0</v>
      </c>
      <c r="S91">
        <f t="shared" si="18"/>
        <v>0</v>
      </c>
      <c r="T91">
        <f t="shared" si="18"/>
        <v>0</v>
      </c>
      <c r="U91">
        <f t="shared" si="18"/>
        <v>0</v>
      </c>
      <c r="V91">
        <f t="shared" si="18"/>
        <v>0</v>
      </c>
      <c r="W91">
        <f t="shared" si="18"/>
        <v>0</v>
      </c>
      <c r="X91">
        <f t="shared" si="18"/>
        <v>0</v>
      </c>
      <c r="Y91">
        <f t="shared" si="18"/>
        <v>0</v>
      </c>
      <c r="Z91">
        <f t="shared" si="18"/>
        <v>0</v>
      </c>
      <c r="AA91">
        <f t="shared" si="18"/>
        <v>0</v>
      </c>
      <c r="AB91">
        <f t="shared" si="18"/>
        <v>0</v>
      </c>
      <c r="AC91">
        <f t="shared" si="18"/>
        <v>0</v>
      </c>
      <c r="AD91">
        <f t="shared" si="18"/>
        <v>0</v>
      </c>
      <c r="AE91">
        <f t="shared" si="18"/>
        <v>0</v>
      </c>
      <c r="AF91">
        <f t="shared" si="18"/>
        <v>0</v>
      </c>
      <c r="AG91">
        <f t="shared" si="18"/>
        <v>0</v>
      </c>
      <c r="AH91">
        <f t="shared" si="18"/>
        <v>0</v>
      </c>
      <c r="AI91">
        <f t="shared" si="18"/>
        <v>0</v>
      </c>
      <c r="AJ91">
        <f t="shared" si="18"/>
        <v>0</v>
      </c>
      <c r="AK91">
        <f t="shared" si="18"/>
        <v>0</v>
      </c>
      <c r="AL91">
        <f t="shared" si="18"/>
        <v>0</v>
      </c>
      <c r="AM91">
        <f t="shared" si="18"/>
        <v>0</v>
      </c>
      <c r="AN91">
        <f t="shared" si="18"/>
        <v>0</v>
      </c>
      <c r="AO91">
        <f t="shared" ref="AO91:BS91" si="25">AO10</f>
        <v>0</v>
      </c>
      <c r="AP91">
        <f t="shared" si="25"/>
        <v>0</v>
      </c>
      <c r="AQ91">
        <f t="shared" si="25"/>
        <v>0</v>
      </c>
      <c r="AR91">
        <f t="shared" si="25"/>
        <v>0</v>
      </c>
      <c r="AS91">
        <f t="shared" si="25"/>
        <v>0</v>
      </c>
      <c r="AT91">
        <f t="shared" si="25"/>
        <v>0</v>
      </c>
      <c r="AU91">
        <f t="shared" si="25"/>
        <v>0</v>
      </c>
      <c r="AV91">
        <f t="shared" si="25"/>
        <v>0</v>
      </c>
      <c r="AW91">
        <f t="shared" si="25"/>
        <v>0</v>
      </c>
      <c r="AX91">
        <f t="shared" si="25"/>
        <v>0</v>
      </c>
      <c r="AY91">
        <f t="shared" si="25"/>
        <v>0</v>
      </c>
      <c r="AZ91">
        <f t="shared" si="25"/>
        <v>0</v>
      </c>
      <c r="BA91">
        <f t="shared" si="25"/>
        <v>0</v>
      </c>
      <c r="BB91">
        <f t="shared" si="25"/>
        <v>0</v>
      </c>
      <c r="BC91">
        <f t="shared" si="25"/>
        <v>0</v>
      </c>
      <c r="BD91">
        <f t="shared" si="25"/>
        <v>0</v>
      </c>
      <c r="BE91">
        <f t="shared" si="25"/>
        <v>0</v>
      </c>
      <c r="BF91">
        <f t="shared" si="25"/>
        <v>0</v>
      </c>
      <c r="BG91">
        <f t="shared" si="25"/>
        <v>0</v>
      </c>
      <c r="BH91">
        <f t="shared" si="25"/>
        <v>0</v>
      </c>
      <c r="BI91">
        <f t="shared" si="25"/>
        <v>0</v>
      </c>
      <c r="BJ91">
        <f t="shared" si="25"/>
        <v>0</v>
      </c>
      <c r="BK91">
        <f t="shared" si="25"/>
        <v>0</v>
      </c>
      <c r="BL91">
        <f t="shared" si="25"/>
        <v>0</v>
      </c>
      <c r="BM91">
        <f t="shared" si="25"/>
        <v>0</v>
      </c>
      <c r="BN91">
        <f t="shared" si="25"/>
        <v>0</v>
      </c>
      <c r="BO91">
        <f t="shared" si="25"/>
        <v>0</v>
      </c>
      <c r="BP91">
        <f t="shared" si="25"/>
        <v>0</v>
      </c>
      <c r="BQ91">
        <f t="shared" si="25"/>
        <v>0</v>
      </c>
      <c r="BR91">
        <f t="shared" si="25"/>
        <v>0</v>
      </c>
      <c r="BS91">
        <f t="shared" si="25"/>
        <v>0</v>
      </c>
      <c r="BT91">
        <f t="shared" ref="BT91:BY91" si="26">BT10</f>
        <v>0</v>
      </c>
      <c r="BU91">
        <f t="shared" si="26"/>
        <v>0</v>
      </c>
      <c r="BV91">
        <f t="shared" si="26"/>
        <v>0</v>
      </c>
      <c r="BW91">
        <f t="shared" si="26"/>
        <v>0</v>
      </c>
      <c r="BX91">
        <f t="shared" si="26"/>
        <v>0</v>
      </c>
      <c r="BY91">
        <f t="shared" si="26"/>
        <v>0</v>
      </c>
    </row>
    <row r="92" spans="1:77" ht="15" customHeight="1">
      <c r="A92">
        <f t="shared" si="9"/>
        <v>10</v>
      </c>
      <c r="B92" t="str">
        <f t="shared" si="18"/>
        <v>RM000139</v>
      </c>
      <c r="C92" t="str">
        <f t="shared" si="18"/>
        <v>Raw Agri</v>
      </c>
      <c r="D92" t="str">
        <f t="shared" si="18"/>
        <v>MIND/Pre-Production</v>
      </c>
      <c r="E92" t="str">
        <f t="shared" si="18"/>
        <v>Raw Ajara Ghansal Rice</v>
      </c>
      <c r="F92" s="102">
        <f t="shared" si="18"/>
        <v>324.65000000000009</v>
      </c>
      <c r="G92">
        <f t="shared" si="6"/>
        <v>0</v>
      </c>
      <c r="H92" s="102">
        <f t="shared" si="6"/>
        <v>-324.65000000000009</v>
      </c>
      <c r="I92" s="101">
        <f t="shared" si="6"/>
        <v>0</v>
      </c>
      <c r="J92">
        <f t="shared" si="18"/>
        <v>0</v>
      </c>
      <c r="K92">
        <f t="shared" si="18"/>
        <v>0</v>
      </c>
      <c r="L92">
        <f t="shared" si="18"/>
        <v>0</v>
      </c>
      <c r="M92">
        <f t="shared" si="18"/>
        <v>0</v>
      </c>
      <c r="N92">
        <f t="shared" si="18"/>
        <v>0</v>
      </c>
      <c r="O92">
        <f t="shared" si="18"/>
        <v>0</v>
      </c>
      <c r="P92">
        <f t="shared" si="18"/>
        <v>0</v>
      </c>
      <c r="Q92">
        <f t="shared" si="18"/>
        <v>0</v>
      </c>
      <c r="R92">
        <f t="shared" si="18"/>
        <v>0</v>
      </c>
      <c r="S92">
        <f t="shared" si="18"/>
        <v>0</v>
      </c>
      <c r="T92">
        <f t="shared" si="18"/>
        <v>0</v>
      </c>
      <c r="U92">
        <f t="shared" si="18"/>
        <v>0</v>
      </c>
      <c r="V92">
        <f t="shared" si="18"/>
        <v>0</v>
      </c>
      <c r="W92">
        <f t="shared" si="18"/>
        <v>0</v>
      </c>
      <c r="X92">
        <f t="shared" si="18"/>
        <v>0</v>
      </c>
      <c r="Y92">
        <f t="shared" si="18"/>
        <v>0</v>
      </c>
      <c r="Z92">
        <f t="shared" si="18"/>
        <v>0</v>
      </c>
      <c r="AA92">
        <f t="shared" si="18"/>
        <v>2010</v>
      </c>
      <c r="AB92">
        <f t="shared" si="18"/>
        <v>0</v>
      </c>
      <c r="AC92">
        <f t="shared" si="18"/>
        <v>0</v>
      </c>
      <c r="AD92">
        <f t="shared" si="18"/>
        <v>0</v>
      </c>
      <c r="AE92">
        <f t="shared" si="18"/>
        <v>0</v>
      </c>
      <c r="AF92">
        <f t="shared" si="18"/>
        <v>0</v>
      </c>
      <c r="AG92">
        <f t="shared" si="18"/>
        <v>0</v>
      </c>
      <c r="AH92">
        <f t="shared" si="18"/>
        <v>0</v>
      </c>
      <c r="AI92">
        <f t="shared" si="18"/>
        <v>0</v>
      </c>
      <c r="AJ92">
        <f t="shared" si="18"/>
        <v>0</v>
      </c>
      <c r="AK92">
        <f t="shared" si="18"/>
        <v>0</v>
      </c>
      <c r="AL92">
        <f t="shared" si="18"/>
        <v>0</v>
      </c>
      <c r="AM92">
        <f t="shared" si="18"/>
        <v>0</v>
      </c>
      <c r="AN92">
        <f t="shared" si="18"/>
        <v>0</v>
      </c>
      <c r="AO92">
        <f t="shared" ref="AO92:BS92" si="27">AO11</f>
        <v>0</v>
      </c>
      <c r="AP92">
        <f t="shared" si="27"/>
        <v>0</v>
      </c>
      <c r="AQ92">
        <f t="shared" si="27"/>
        <v>0</v>
      </c>
      <c r="AR92">
        <f t="shared" si="27"/>
        <v>0</v>
      </c>
      <c r="AS92">
        <f t="shared" si="27"/>
        <v>0</v>
      </c>
      <c r="AT92">
        <f t="shared" si="27"/>
        <v>0</v>
      </c>
      <c r="AU92">
        <f t="shared" si="27"/>
        <v>0</v>
      </c>
      <c r="AV92">
        <f t="shared" si="27"/>
        <v>0</v>
      </c>
      <c r="AW92">
        <f t="shared" si="27"/>
        <v>0</v>
      </c>
      <c r="AX92">
        <f t="shared" si="27"/>
        <v>0</v>
      </c>
      <c r="AY92">
        <f t="shared" si="27"/>
        <v>0</v>
      </c>
      <c r="AZ92">
        <f t="shared" si="27"/>
        <v>0</v>
      </c>
      <c r="BA92">
        <f t="shared" si="27"/>
        <v>0</v>
      </c>
      <c r="BB92">
        <f t="shared" si="27"/>
        <v>0</v>
      </c>
      <c r="BC92">
        <f t="shared" si="27"/>
        <v>0</v>
      </c>
      <c r="BD92">
        <f t="shared" si="27"/>
        <v>0</v>
      </c>
      <c r="BE92">
        <f t="shared" si="27"/>
        <v>0</v>
      </c>
      <c r="BF92">
        <f t="shared" si="27"/>
        <v>0</v>
      </c>
      <c r="BG92">
        <f t="shared" si="27"/>
        <v>0</v>
      </c>
      <c r="BH92">
        <f t="shared" si="27"/>
        <v>0</v>
      </c>
      <c r="BI92">
        <f t="shared" si="27"/>
        <v>0</v>
      </c>
      <c r="BJ92">
        <f t="shared" si="27"/>
        <v>0</v>
      </c>
      <c r="BK92">
        <f t="shared" si="27"/>
        <v>0</v>
      </c>
      <c r="BL92">
        <f t="shared" si="27"/>
        <v>0</v>
      </c>
      <c r="BM92">
        <f t="shared" si="27"/>
        <v>0</v>
      </c>
      <c r="BN92">
        <f t="shared" si="27"/>
        <v>0</v>
      </c>
      <c r="BO92">
        <f t="shared" si="27"/>
        <v>0</v>
      </c>
      <c r="BP92">
        <f t="shared" si="27"/>
        <v>0</v>
      </c>
      <c r="BQ92">
        <f t="shared" si="27"/>
        <v>0</v>
      </c>
      <c r="BR92">
        <f t="shared" si="27"/>
        <v>0</v>
      </c>
      <c r="BS92">
        <f t="shared" si="27"/>
        <v>0</v>
      </c>
      <c r="BT92">
        <f t="shared" ref="BT92:BY92" si="28">BT11</f>
        <v>0</v>
      </c>
      <c r="BU92">
        <f t="shared" si="28"/>
        <v>0</v>
      </c>
      <c r="BV92">
        <f t="shared" si="28"/>
        <v>0</v>
      </c>
      <c r="BW92">
        <f t="shared" si="28"/>
        <v>0</v>
      </c>
      <c r="BX92">
        <f t="shared" si="28"/>
        <v>0</v>
      </c>
      <c r="BY92">
        <f t="shared" si="28"/>
        <v>0</v>
      </c>
    </row>
    <row r="93" spans="1:77" ht="15" customHeight="1">
      <c r="A93">
        <f t="shared" si="9"/>
        <v>11</v>
      </c>
      <c r="B93" t="str">
        <f t="shared" si="18"/>
        <v>RM000164</v>
      </c>
      <c r="C93" t="str">
        <f t="shared" si="18"/>
        <v>Raw Agri</v>
      </c>
      <c r="D93" t="str">
        <f t="shared" si="18"/>
        <v>MIND/Pre-Production</v>
      </c>
      <c r="E93" t="str">
        <f t="shared" si="18"/>
        <v>Raw Stony Ambemohar rice</v>
      </c>
      <c r="F93" s="102">
        <f t="shared" si="18"/>
        <v>0</v>
      </c>
      <c r="G93">
        <f t="shared" si="6"/>
        <v>0</v>
      </c>
      <c r="H93" s="102">
        <f t="shared" si="6"/>
        <v>0</v>
      </c>
      <c r="I93" s="101">
        <f t="shared" si="6"/>
        <v>0</v>
      </c>
      <c r="J93">
        <f t="shared" si="18"/>
        <v>0</v>
      </c>
      <c r="K93">
        <f t="shared" si="18"/>
        <v>0</v>
      </c>
      <c r="L93">
        <f t="shared" si="18"/>
        <v>0</v>
      </c>
      <c r="M93">
        <f t="shared" si="18"/>
        <v>0</v>
      </c>
      <c r="N93">
        <f t="shared" si="18"/>
        <v>0</v>
      </c>
      <c r="O93">
        <f t="shared" si="18"/>
        <v>0</v>
      </c>
      <c r="P93">
        <f t="shared" si="18"/>
        <v>0</v>
      </c>
      <c r="Q93">
        <f t="shared" si="18"/>
        <v>0</v>
      </c>
      <c r="R93">
        <f t="shared" si="18"/>
        <v>0</v>
      </c>
      <c r="S93">
        <f t="shared" si="18"/>
        <v>0</v>
      </c>
      <c r="T93">
        <f t="shared" si="18"/>
        <v>0</v>
      </c>
      <c r="U93">
        <f t="shared" si="18"/>
        <v>0</v>
      </c>
      <c r="V93">
        <f t="shared" si="18"/>
        <v>0</v>
      </c>
      <c r="W93">
        <f t="shared" si="18"/>
        <v>0</v>
      </c>
      <c r="X93">
        <f t="shared" si="18"/>
        <v>0</v>
      </c>
      <c r="Y93">
        <f t="shared" si="18"/>
        <v>0</v>
      </c>
      <c r="Z93">
        <f t="shared" si="18"/>
        <v>0</v>
      </c>
      <c r="AA93">
        <f t="shared" si="18"/>
        <v>0</v>
      </c>
      <c r="AB93">
        <f t="shared" si="18"/>
        <v>0</v>
      </c>
      <c r="AC93">
        <f t="shared" si="18"/>
        <v>0</v>
      </c>
      <c r="AD93">
        <f t="shared" si="18"/>
        <v>0</v>
      </c>
      <c r="AE93">
        <f t="shared" si="18"/>
        <v>0</v>
      </c>
      <c r="AF93">
        <f t="shared" si="18"/>
        <v>0</v>
      </c>
      <c r="AG93">
        <f t="shared" si="18"/>
        <v>0</v>
      </c>
      <c r="AH93">
        <f t="shared" si="18"/>
        <v>0</v>
      </c>
      <c r="AI93">
        <f t="shared" si="18"/>
        <v>0</v>
      </c>
      <c r="AJ93">
        <f t="shared" si="18"/>
        <v>0</v>
      </c>
      <c r="AK93">
        <f t="shared" si="18"/>
        <v>0</v>
      </c>
      <c r="AL93">
        <f t="shared" si="18"/>
        <v>0</v>
      </c>
      <c r="AM93">
        <f t="shared" si="18"/>
        <v>0</v>
      </c>
      <c r="AN93">
        <f t="shared" si="18"/>
        <v>0</v>
      </c>
      <c r="AO93">
        <f t="shared" ref="AO93:BS93" si="29">AO12</f>
        <v>0</v>
      </c>
      <c r="AP93">
        <f t="shared" si="29"/>
        <v>0</v>
      </c>
      <c r="AQ93">
        <f t="shared" si="29"/>
        <v>0</v>
      </c>
      <c r="AR93">
        <f t="shared" si="29"/>
        <v>0</v>
      </c>
      <c r="AS93">
        <f t="shared" si="29"/>
        <v>0</v>
      </c>
      <c r="AT93">
        <f t="shared" si="29"/>
        <v>0</v>
      </c>
      <c r="AU93">
        <f t="shared" si="29"/>
        <v>0</v>
      </c>
      <c r="AV93">
        <f t="shared" si="29"/>
        <v>0</v>
      </c>
      <c r="AW93">
        <f t="shared" si="29"/>
        <v>0</v>
      </c>
      <c r="AX93">
        <f t="shared" si="29"/>
        <v>0</v>
      </c>
      <c r="AY93">
        <f t="shared" si="29"/>
        <v>0</v>
      </c>
      <c r="AZ93">
        <f t="shared" si="29"/>
        <v>0</v>
      </c>
      <c r="BA93">
        <f t="shared" si="29"/>
        <v>0</v>
      </c>
      <c r="BB93">
        <f t="shared" si="29"/>
        <v>0</v>
      </c>
      <c r="BC93">
        <f t="shared" si="29"/>
        <v>0</v>
      </c>
      <c r="BD93">
        <f t="shared" si="29"/>
        <v>0</v>
      </c>
      <c r="BE93">
        <f t="shared" si="29"/>
        <v>0</v>
      </c>
      <c r="BF93">
        <f t="shared" si="29"/>
        <v>0</v>
      </c>
      <c r="BG93">
        <f t="shared" si="29"/>
        <v>0</v>
      </c>
      <c r="BH93">
        <f t="shared" si="29"/>
        <v>0</v>
      </c>
      <c r="BI93">
        <f t="shared" si="29"/>
        <v>0</v>
      </c>
      <c r="BJ93">
        <f t="shared" si="29"/>
        <v>0</v>
      </c>
      <c r="BK93">
        <f t="shared" si="29"/>
        <v>0</v>
      </c>
      <c r="BL93">
        <f t="shared" si="29"/>
        <v>0</v>
      </c>
      <c r="BM93">
        <f t="shared" si="29"/>
        <v>0</v>
      </c>
      <c r="BN93">
        <f t="shared" si="29"/>
        <v>0</v>
      </c>
      <c r="BO93">
        <f t="shared" si="29"/>
        <v>0</v>
      </c>
      <c r="BP93">
        <f t="shared" si="29"/>
        <v>0</v>
      </c>
      <c r="BQ93">
        <f t="shared" si="29"/>
        <v>0</v>
      </c>
      <c r="BR93">
        <f t="shared" si="29"/>
        <v>0</v>
      </c>
      <c r="BS93">
        <f t="shared" si="29"/>
        <v>0</v>
      </c>
      <c r="BT93">
        <f t="shared" ref="BT93:BY93" si="30">BT12</f>
        <v>0</v>
      </c>
      <c r="BU93">
        <f t="shared" si="30"/>
        <v>0</v>
      </c>
      <c r="BV93">
        <f t="shared" si="30"/>
        <v>0</v>
      </c>
      <c r="BW93">
        <f t="shared" si="30"/>
        <v>0</v>
      </c>
      <c r="BX93">
        <f t="shared" si="30"/>
        <v>0</v>
      </c>
      <c r="BY93">
        <f t="shared" si="30"/>
        <v>0</v>
      </c>
    </row>
    <row r="94" spans="1:77" ht="15" customHeight="1">
      <c r="A94">
        <f t="shared" si="9"/>
        <v>12</v>
      </c>
      <c r="B94" t="str">
        <f t="shared" si="18"/>
        <v>RM000198</v>
      </c>
      <c r="C94" t="str">
        <f t="shared" si="18"/>
        <v>Raw Agri</v>
      </c>
      <c r="D94" t="str">
        <f t="shared" si="18"/>
        <v>MIND/Pre-Production</v>
      </c>
      <c r="E94" t="str">
        <f t="shared" si="18"/>
        <v>Waghya Rajma</v>
      </c>
      <c r="F94" s="102">
        <f t="shared" si="18"/>
        <v>0</v>
      </c>
      <c r="G94">
        <f t="shared" si="6"/>
        <v>0</v>
      </c>
      <c r="H94" s="102">
        <f t="shared" si="6"/>
        <v>0</v>
      </c>
      <c r="I94" s="101">
        <f t="shared" si="6"/>
        <v>0</v>
      </c>
      <c r="J94">
        <f t="shared" si="18"/>
        <v>0</v>
      </c>
      <c r="K94">
        <f t="shared" si="18"/>
        <v>0</v>
      </c>
      <c r="L94">
        <f t="shared" si="18"/>
        <v>0</v>
      </c>
      <c r="M94">
        <f t="shared" ref="B94:AN99" si="31">M13</f>
        <v>0</v>
      </c>
      <c r="N94">
        <f t="shared" si="31"/>
        <v>0</v>
      </c>
      <c r="O94">
        <f t="shared" si="31"/>
        <v>0</v>
      </c>
      <c r="P94">
        <f t="shared" si="31"/>
        <v>0</v>
      </c>
      <c r="Q94">
        <f t="shared" si="31"/>
        <v>0</v>
      </c>
      <c r="R94">
        <f t="shared" si="31"/>
        <v>0</v>
      </c>
      <c r="S94">
        <f t="shared" si="31"/>
        <v>0</v>
      </c>
      <c r="T94">
        <f t="shared" si="31"/>
        <v>0</v>
      </c>
      <c r="U94">
        <f t="shared" si="31"/>
        <v>0</v>
      </c>
      <c r="V94">
        <f t="shared" si="31"/>
        <v>0</v>
      </c>
      <c r="W94">
        <f t="shared" si="31"/>
        <v>0</v>
      </c>
      <c r="X94">
        <f t="shared" si="31"/>
        <v>0</v>
      </c>
      <c r="Y94">
        <f t="shared" si="31"/>
        <v>0</v>
      </c>
      <c r="Z94">
        <f t="shared" si="31"/>
        <v>0</v>
      </c>
      <c r="AA94">
        <f t="shared" si="31"/>
        <v>1500</v>
      </c>
      <c r="AB94">
        <f t="shared" si="31"/>
        <v>0</v>
      </c>
      <c r="AC94">
        <f t="shared" si="31"/>
        <v>0</v>
      </c>
      <c r="AD94">
        <f t="shared" si="31"/>
        <v>0</v>
      </c>
      <c r="AE94">
        <f t="shared" si="31"/>
        <v>0</v>
      </c>
      <c r="AF94">
        <f t="shared" si="31"/>
        <v>0</v>
      </c>
      <c r="AG94">
        <f t="shared" si="31"/>
        <v>0</v>
      </c>
      <c r="AH94">
        <f t="shared" si="31"/>
        <v>0</v>
      </c>
      <c r="AI94">
        <f t="shared" si="31"/>
        <v>0</v>
      </c>
      <c r="AJ94">
        <f t="shared" si="31"/>
        <v>0</v>
      </c>
      <c r="AK94">
        <f t="shared" si="31"/>
        <v>0</v>
      </c>
      <c r="AL94">
        <f t="shared" si="31"/>
        <v>0</v>
      </c>
      <c r="AM94">
        <f t="shared" si="31"/>
        <v>0</v>
      </c>
      <c r="AN94">
        <f t="shared" si="31"/>
        <v>0</v>
      </c>
      <c r="AO94">
        <f t="shared" ref="AO94:BS94" si="32">AO13</f>
        <v>0</v>
      </c>
      <c r="AP94">
        <f t="shared" si="32"/>
        <v>0</v>
      </c>
      <c r="AQ94">
        <f t="shared" si="32"/>
        <v>0</v>
      </c>
      <c r="AR94">
        <f t="shared" si="32"/>
        <v>0</v>
      </c>
      <c r="AS94">
        <f t="shared" si="32"/>
        <v>0</v>
      </c>
      <c r="AT94">
        <f t="shared" si="32"/>
        <v>0</v>
      </c>
      <c r="AU94">
        <f t="shared" si="32"/>
        <v>0</v>
      </c>
      <c r="AV94">
        <f t="shared" si="32"/>
        <v>0</v>
      </c>
      <c r="AW94">
        <f t="shared" si="32"/>
        <v>0</v>
      </c>
      <c r="AX94">
        <f t="shared" si="32"/>
        <v>0</v>
      </c>
      <c r="AY94">
        <f t="shared" si="32"/>
        <v>0</v>
      </c>
      <c r="AZ94">
        <f t="shared" si="32"/>
        <v>0</v>
      </c>
      <c r="BA94">
        <f t="shared" si="32"/>
        <v>0</v>
      </c>
      <c r="BB94">
        <f t="shared" si="32"/>
        <v>0</v>
      </c>
      <c r="BC94">
        <f t="shared" si="32"/>
        <v>0</v>
      </c>
      <c r="BD94">
        <f t="shared" si="32"/>
        <v>0</v>
      </c>
      <c r="BE94">
        <f t="shared" si="32"/>
        <v>0</v>
      </c>
      <c r="BF94">
        <f t="shared" si="32"/>
        <v>0</v>
      </c>
      <c r="BG94">
        <f t="shared" si="32"/>
        <v>0</v>
      </c>
      <c r="BH94">
        <f t="shared" si="32"/>
        <v>0</v>
      </c>
      <c r="BI94">
        <f t="shared" si="32"/>
        <v>0</v>
      </c>
      <c r="BJ94">
        <f t="shared" si="32"/>
        <v>0</v>
      </c>
      <c r="BK94">
        <f t="shared" si="32"/>
        <v>0</v>
      </c>
      <c r="BL94">
        <f t="shared" si="32"/>
        <v>0</v>
      </c>
      <c r="BM94">
        <f t="shared" si="32"/>
        <v>0</v>
      </c>
      <c r="BN94">
        <f t="shared" si="32"/>
        <v>0</v>
      </c>
      <c r="BO94">
        <f t="shared" si="32"/>
        <v>0</v>
      </c>
      <c r="BP94">
        <f t="shared" si="32"/>
        <v>0</v>
      </c>
      <c r="BQ94">
        <f t="shared" si="32"/>
        <v>0</v>
      </c>
      <c r="BR94">
        <f t="shared" si="32"/>
        <v>0</v>
      </c>
      <c r="BS94">
        <f t="shared" si="32"/>
        <v>0</v>
      </c>
      <c r="BT94">
        <f t="shared" ref="BT94:BY94" si="33">BT13</f>
        <v>0</v>
      </c>
      <c r="BU94">
        <f t="shared" si="33"/>
        <v>0</v>
      </c>
      <c r="BV94">
        <f t="shared" si="33"/>
        <v>0</v>
      </c>
      <c r="BW94">
        <f t="shared" si="33"/>
        <v>0</v>
      </c>
      <c r="BX94">
        <f t="shared" si="33"/>
        <v>0</v>
      </c>
      <c r="BY94">
        <f t="shared" si="33"/>
        <v>0</v>
      </c>
    </row>
    <row r="95" spans="1:77" ht="15" customHeight="1">
      <c r="A95">
        <f t="shared" si="9"/>
        <v>13</v>
      </c>
      <c r="B95" t="str">
        <f t="shared" si="31"/>
        <v>RM000066</v>
      </c>
      <c r="C95" t="str">
        <f t="shared" si="31"/>
        <v>Raw Agri</v>
      </c>
      <c r="D95" t="str">
        <f t="shared" si="31"/>
        <v>MIND/Pre-Production</v>
      </c>
      <c r="E95" t="str">
        <f t="shared" si="31"/>
        <v>Green Moong</v>
      </c>
      <c r="F95" s="102">
        <f t="shared" si="31"/>
        <v>0</v>
      </c>
      <c r="G95">
        <f t="shared" si="6"/>
        <v>0</v>
      </c>
      <c r="H95" s="102">
        <f t="shared" si="6"/>
        <v>0</v>
      </c>
      <c r="I95" s="101">
        <f t="shared" si="6"/>
        <v>0</v>
      </c>
      <c r="J95">
        <f t="shared" si="31"/>
        <v>0</v>
      </c>
      <c r="K95">
        <f t="shared" si="31"/>
        <v>0</v>
      </c>
      <c r="L95">
        <f t="shared" si="31"/>
        <v>0</v>
      </c>
      <c r="M95">
        <f t="shared" si="31"/>
        <v>0</v>
      </c>
      <c r="N95">
        <f t="shared" si="31"/>
        <v>0</v>
      </c>
      <c r="O95">
        <f t="shared" si="31"/>
        <v>0</v>
      </c>
      <c r="P95">
        <f t="shared" si="31"/>
        <v>0</v>
      </c>
      <c r="Q95">
        <f t="shared" si="31"/>
        <v>0</v>
      </c>
      <c r="R95">
        <f t="shared" si="31"/>
        <v>0</v>
      </c>
      <c r="S95">
        <f t="shared" si="31"/>
        <v>0</v>
      </c>
      <c r="T95">
        <f t="shared" si="31"/>
        <v>0</v>
      </c>
      <c r="U95">
        <f t="shared" si="31"/>
        <v>0</v>
      </c>
      <c r="V95">
        <f t="shared" si="31"/>
        <v>0</v>
      </c>
      <c r="W95">
        <f t="shared" si="31"/>
        <v>0</v>
      </c>
      <c r="X95">
        <f t="shared" si="31"/>
        <v>0</v>
      </c>
      <c r="Y95">
        <f t="shared" si="31"/>
        <v>3000</v>
      </c>
      <c r="Z95">
        <f t="shared" si="31"/>
        <v>0</v>
      </c>
      <c r="AA95">
        <f t="shared" si="31"/>
        <v>0</v>
      </c>
      <c r="AB95">
        <f t="shared" si="31"/>
        <v>0</v>
      </c>
      <c r="AC95">
        <f t="shared" si="31"/>
        <v>0</v>
      </c>
      <c r="AD95">
        <f t="shared" si="31"/>
        <v>0</v>
      </c>
      <c r="AE95">
        <f t="shared" si="31"/>
        <v>0</v>
      </c>
      <c r="AF95">
        <f t="shared" si="31"/>
        <v>0</v>
      </c>
      <c r="AG95">
        <f t="shared" si="31"/>
        <v>0</v>
      </c>
      <c r="AH95">
        <f t="shared" si="31"/>
        <v>0</v>
      </c>
      <c r="AI95">
        <f t="shared" si="31"/>
        <v>0</v>
      </c>
      <c r="AJ95">
        <f t="shared" si="31"/>
        <v>0</v>
      </c>
      <c r="AK95">
        <f t="shared" si="31"/>
        <v>0</v>
      </c>
      <c r="AL95">
        <f t="shared" si="31"/>
        <v>0</v>
      </c>
      <c r="AM95">
        <f t="shared" si="31"/>
        <v>0</v>
      </c>
      <c r="AN95">
        <f t="shared" si="31"/>
        <v>0</v>
      </c>
      <c r="AO95">
        <f t="shared" ref="AO95:BS95" si="34">AO14</f>
        <v>0</v>
      </c>
      <c r="AP95">
        <f t="shared" si="34"/>
        <v>0</v>
      </c>
      <c r="AQ95">
        <f t="shared" si="34"/>
        <v>0</v>
      </c>
      <c r="AR95">
        <f t="shared" si="34"/>
        <v>0</v>
      </c>
      <c r="AS95">
        <f t="shared" si="34"/>
        <v>0</v>
      </c>
      <c r="AT95">
        <f t="shared" si="34"/>
        <v>0</v>
      </c>
      <c r="AU95">
        <f t="shared" si="34"/>
        <v>0</v>
      </c>
      <c r="AV95">
        <f t="shared" si="34"/>
        <v>0</v>
      </c>
      <c r="AW95">
        <f t="shared" si="34"/>
        <v>0</v>
      </c>
      <c r="AX95">
        <f t="shared" si="34"/>
        <v>0</v>
      </c>
      <c r="AY95">
        <f t="shared" si="34"/>
        <v>0</v>
      </c>
      <c r="AZ95">
        <f t="shared" si="34"/>
        <v>0</v>
      </c>
      <c r="BA95">
        <f t="shared" si="34"/>
        <v>0</v>
      </c>
      <c r="BB95">
        <f t="shared" si="34"/>
        <v>0</v>
      </c>
      <c r="BC95">
        <f t="shared" si="34"/>
        <v>0</v>
      </c>
      <c r="BD95">
        <f t="shared" si="34"/>
        <v>0</v>
      </c>
      <c r="BE95">
        <f t="shared" si="34"/>
        <v>0</v>
      </c>
      <c r="BF95">
        <f t="shared" si="34"/>
        <v>0</v>
      </c>
      <c r="BG95">
        <f t="shared" si="34"/>
        <v>0</v>
      </c>
      <c r="BH95">
        <f t="shared" si="34"/>
        <v>0</v>
      </c>
      <c r="BI95">
        <f t="shared" si="34"/>
        <v>0</v>
      </c>
      <c r="BJ95">
        <f t="shared" si="34"/>
        <v>0</v>
      </c>
      <c r="BK95">
        <f t="shared" si="34"/>
        <v>0</v>
      </c>
      <c r="BL95">
        <f t="shared" si="34"/>
        <v>0</v>
      </c>
      <c r="BM95">
        <f t="shared" si="34"/>
        <v>0</v>
      </c>
      <c r="BN95">
        <f t="shared" si="34"/>
        <v>0</v>
      </c>
      <c r="BO95">
        <f t="shared" si="34"/>
        <v>0</v>
      </c>
      <c r="BP95">
        <f t="shared" si="34"/>
        <v>0</v>
      </c>
      <c r="BQ95">
        <f t="shared" si="34"/>
        <v>0</v>
      </c>
      <c r="BR95">
        <f t="shared" si="34"/>
        <v>0</v>
      </c>
      <c r="BS95">
        <f t="shared" si="34"/>
        <v>0</v>
      </c>
      <c r="BT95">
        <f t="shared" ref="BT95:BY95" si="35">BT14</f>
        <v>0</v>
      </c>
      <c r="BU95">
        <f t="shared" si="35"/>
        <v>0</v>
      </c>
      <c r="BV95">
        <f t="shared" si="35"/>
        <v>0</v>
      </c>
      <c r="BW95">
        <f t="shared" si="35"/>
        <v>0</v>
      </c>
      <c r="BX95">
        <f t="shared" si="35"/>
        <v>0</v>
      </c>
      <c r="BY95">
        <f t="shared" si="35"/>
        <v>0</v>
      </c>
    </row>
    <row r="96" spans="1:77" ht="15" customHeight="1">
      <c r="A96">
        <f t="shared" si="9"/>
        <v>14</v>
      </c>
      <c r="B96" t="str">
        <f t="shared" si="31"/>
        <v>RM000200</v>
      </c>
      <c r="C96" t="str">
        <f t="shared" si="31"/>
        <v>Raw Agri</v>
      </c>
      <c r="D96" t="str">
        <f t="shared" si="31"/>
        <v>MIND/Pre-Production</v>
      </c>
      <c r="E96" t="str">
        <f t="shared" si="31"/>
        <v>Whole Organic Cashew</v>
      </c>
      <c r="F96" s="102">
        <f t="shared" si="31"/>
        <v>336.11</v>
      </c>
      <c r="G96">
        <f t="shared" si="6"/>
        <v>0</v>
      </c>
      <c r="H96" s="102">
        <f t="shared" si="6"/>
        <v>-336.11</v>
      </c>
      <c r="I96" s="101">
        <f t="shared" si="6"/>
        <v>0</v>
      </c>
      <c r="J96">
        <f t="shared" si="31"/>
        <v>0</v>
      </c>
      <c r="K96">
        <f t="shared" si="31"/>
        <v>0</v>
      </c>
      <c r="L96">
        <f t="shared" si="31"/>
        <v>0</v>
      </c>
      <c r="M96">
        <f t="shared" si="31"/>
        <v>0</v>
      </c>
      <c r="N96">
        <f t="shared" si="31"/>
        <v>0</v>
      </c>
      <c r="O96">
        <f t="shared" si="31"/>
        <v>0</v>
      </c>
      <c r="P96">
        <f t="shared" si="31"/>
        <v>0</v>
      </c>
      <c r="Q96">
        <f t="shared" si="31"/>
        <v>0</v>
      </c>
      <c r="R96">
        <f t="shared" si="31"/>
        <v>0</v>
      </c>
      <c r="S96">
        <f t="shared" si="31"/>
        <v>0</v>
      </c>
      <c r="T96">
        <f t="shared" si="31"/>
        <v>0</v>
      </c>
      <c r="U96">
        <f t="shared" si="31"/>
        <v>0</v>
      </c>
      <c r="V96">
        <f t="shared" si="31"/>
        <v>0</v>
      </c>
      <c r="W96">
        <f t="shared" si="31"/>
        <v>0</v>
      </c>
      <c r="X96">
        <f t="shared" si="31"/>
        <v>0</v>
      </c>
      <c r="Y96">
        <f t="shared" si="31"/>
        <v>0</v>
      </c>
      <c r="Z96">
        <f t="shared" si="31"/>
        <v>0</v>
      </c>
      <c r="AA96">
        <f t="shared" si="31"/>
        <v>0</v>
      </c>
      <c r="AB96">
        <f t="shared" si="31"/>
        <v>0</v>
      </c>
      <c r="AC96">
        <f t="shared" si="31"/>
        <v>0</v>
      </c>
      <c r="AD96">
        <f t="shared" si="31"/>
        <v>0</v>
      </c>
      <c r="AE96">
        <f t="shared" si="31"/>
        <v>0</v>
      </c>
      <c r="AF96">
        <f t="shared" si="31"/>
        <v>0</v>
      </c>
      <c r="AG96">
        <f t="shared" si="31"/>
        <v>0</v>
      </c>
      <c r="AH96">
        <f t="shared" si="31"/>
        <v>0</v>
      </c>
      <c r="AI96">
        <f t="shared" si="31"/>
        <v>0</v>
      </c>
      <c r="AJ96">
        <f t="shared" si="31"/>
        <v>0</v>
      </c>
      <c r="AK96">
        <f t="shared" si="31"/>
        <v>0</v>
      </c>
      <c r="AL96">
        <f t="shared" si="31"/>
        <v>0</v>
      </c>
      <c r="AM96">
        <f t="shared" si="31"/>
        <v>0</v>
      </c>
      <c r="AN96">
        <f t="shared" si="31"/>
        <v>0</v>
      </c>
      <c r="AO96">
        <f t="shared" ref="AO96:BS96" si="36">AO15</f>
        <v>0</v>
      </c>
      <c r="AP96">
        <f t="shared" si="36"/>
        <v>0</v>
      </c>
      <c r="AQ96">
        <f t="shared" si="36"/>
        <v>0</v>
      </c>
      <c r="AR96">
        <f t="shared" si="36"/>
        <v>0</v>
      </c>
      <c r="AS96">
        <f t="shared" si="36"/>
        <v>0</v>
      </c>
      <c r="AT96">
        <f t="shared" si="36"/>
        <v>0</v>
      </c>
      <c r="AU96">
        <f t="shared" si="36"/>
        <v>0</v>
      </c>
      <c r="AV96">
        <f t="shared" si="36"/>
        <v>0</v>
      </c>
      <c r="AW96">
        <f t="shared" si="36"/>
        <v>0</v>
      </c>
      <c r="AX96">
        <f t="shared" si="36"/>
        <v>0</v>
      </c>
      <c r="AY96">
        <f t="shared" si="36"/>
        <v>0</v>
      </c>
      <c r="AZ96">
        <f t="shared" si="36"/>
        <v>0</v>
      </c>
      <c r="BA96">
        <f t="shared" si="36"/>
        <v>0</v>
      </c>
      <c r="BB96">
        <f t="shared" si="36"/>
        <v>0</v>
      </c>
      <c r="BC96">
        <f t="shared" si="36"/>
        <v>0</v>
      </c>
      <c r="BD96">
        <f t="shared" si="36"/>
        <v>0</v>
      </c>
      <c r="BE96">
        <f t="shared" si="36"/>
        <v>0</v>
      </c>
      <c r="BF96">
        <f t="shared" si="36"/>
        <v>0</v>
      </c>
      <c r="BG96">
        <f t="shared" si="36"/>
        <v>0</v>
      </c>
      <c r="BH96">
        <f t="shared" si="36"/>
        <v>0</v>
      </c>
      <c r="BI96">
        <f t="shared" si="36"/>
        <v>0</v>
      </c>
      <c r="BJ96">
        <f t="shared" si="36"/>
        <v>0</v>
      </c>
      <c r="BK96">
        <f t="shared" si="36"/>
        <v>0</v>
      </c>
      <c r="BL96">
        <f t="shared" si="36"/>
        <v>0</v>
      </c>
      <c r="BM96">
        <f t="shared" si="36"/>
        <v>0</v>
      </c>
      <c r="BN96">
        <f t="shared" si="36"/>
        <v>0</v>
      </c>
      <c r="BO96">
        <f t="shared" si="36"/>
        <v>0</v>
      </c>
      <c r="BP96">
        <f t="shared" si="36"/>
        <v>0</v>
      </c>
      <c r="BQ96">
        <f t="shared" si="36"/>
        <v>0</v>
      </c>
      <c r="BR96">
        <f t="shared" si="36"/>
        <v>0</v>
      </c>
      <c r="BS96">
        <f t="shared" si="36"/>
        <v>0</v>
      </c>
      <c r="BT96">
        <f t="shared" ref="BT96:BY96" si="37">BT15</f>
        <v>0</v>
      </c>
      <c r="BU96">
        <f t="shared" si="37"/>
        <v>0</v>
      </c>
      <c r="BV96">
        <f t="shared" si="37"/>
        <v>0</v>
      </c>
      <c r="BW96">
        <f t="shared" si="37"/>
        <v>0</v>
      </c>
      <c r="BX96">
        <f t="shared" si="37"/>
        <v>0</v>
      </c>
      <c r="BY96">
        <f t="shared" si="37"/>
        <v>0</v>
      </c>
    </row>
    <row r="97" spans="1:77" ht="15" customHeight="1">
      <c r="A97">
        <f t="shared" si="9"/>
        <v>15</v>
      </c>
      <c r="B97" t="str">
        <f t="shared" si="31"/>
        <v>RM000094</v>
      </c>
      <c r="C97" t="str">
        <f t="shared" si="31"/>
        <v>Raw Agri</v>
      </c>
      <c r="D97" t="str">
        <f t="shared" si="31"/>
        <v>MIND/Pre-Production</v>
      </c>
      <c r="E97" t="str">
        <f t="shared" si="31"/>
        <v>Khapli Wheat Grains (Packing)</v>
      </c>
      <c r="F97" s="102" t="str">
        <f t="shared" si="31"/>
        <v>0</v>
      </c>
      <c r="G97">
        <f t="shared" si="6"/>
        <v>0</v>
      </c>
      <c r="H97" s="102">
        <f t="shared" si="6"/>
        <v>0</v>
      </c>
      <c r="I97" s="101">
        <f t="shared" si="6"/>
        <v>0</v>
      </c>
      <c r="J97">
        <f t="shared" si="31"/>
        <v>0</v>
      </c>
      <c r="K97">
        <f t="shared" si="31"/>
        <v>0</v>
      </c>
      <c r="L97">
        <f t="shared" si="31"/>
        <v>0</v>
      </c>
      <c r="M97">
        <f t="shared" si="31"/>
        <v>0</v>
      </c>
      <c r="N97">
        <f t="shared" si="31"/>
        <v>0</v>
      </c>
      <c r="O97">
        <f t="shared" si="31"/>
        <v>0</v>
      </c>
      <c r="P97">
        <f t="shared" si="31"/>
        <v>0</v>
      </c>
      <c r="Q97">
        <f t="shared" si="31"/>
        <v>0</v>
      </c>
      <c r="R97">
        <f t="shared" si="31"/>
        <v>0</v>
      </c>
      <c r="S97">
        <f t="shared" si="31"/>
        <v>0</v>
      </c>
      <c r="T97">
        <f t="shared" si="31"/>
        <v>0</v>
      </c>
      <c r="U97">
        <f t="shared" si="31"/>
        <v>0</v>
      </c>
      <c r="V97">
        <f t="shared" si="31"/>
        <v>0</v>
      </c>
      <c r="W97">
        <f t="shared" si="31"/>
        <v>0</v>
      </c>
      <c r="X97">
        <f t="shared" si="31"/>
        <v>0</v>
      </c>
      <c r="Y97">
        <f t="shared" si="31"/>
        <v>0</v>
      </c>
      <c r="Z97">
        <f t="shared" si="31"/>
        <v>0</v>
      </c>
      <c r="AA97">
        <f t="shared" si="31"/>
        <v>0</v>
      </c>
      <c r="AB97">
        <f t="shared" si="31"/>
        <v>0</v>
      </c>
      <c r="AC97">
        <f t="shared" si="31"/>
        <v>0</v>
      </c>
      <c r="AD97">
        <f t="shared" si="31"/>
        <v>0</v>
      </c>
      <c r="AE97">
        <f t="shared" si="31"/>
        <v>0</v>
      </c>
      <c r="AF97">
        <f t="shared" si="31"/>
        <v>0</v>
      </c>
      <c r="AG97">
        <f t="shared" si="31"/>
        <v>0</v>
      </c>
      <c r="AH97">
        <f t="shared" si="31"/>
        <v>0</v>
      </c>
      <c r="AI97">
        <f t="shared" si="31"/>
        <v>0</v>
      </c>
      <c r="AJ97">
        <f t="shared" si="31"/>
        <v>0</v>
      </c>
      <c r="AK97">
        <f t="shared" si="31"/>
        <v>0</v>
      </c>
      <c r="AL97">
        <f t="shared" si="31"/>
        <v>0</v>
      </c>
      <c r="AM97">
        <f t="shared" si="31"/>
        <v>0</v>
      </c>
      <c r="AN97">
        <f t="shared" si="31"/>
        <v>0</v>
      </c>
      <c r="AO97">
        <f t="shared" ref="AO97:BS97" si="38">AO16</f>
        <v>0</v>
      </c>
      <c r="AP97">
        <f t="shared" si="38"/>
        <v>0</v>
      </c>
      <c r="AQ97">
        <f t="shared" si="38"/>
        <v>0</v>
      </c>
      <c r="AR97">
        <f t="shared" si="38"/>
        <v>0</v>
      </c>
      <c r="AS97">
        <f t="shared" si="38"/>
        <v>0</v>
      </c>
      <c r="AT97">
        <f t="shared" si="38"/>
        <v>0</v>
      </c>
      <c r="AU97">
        <f t="shared" si="38"/>
        <v>0</v>
      </c>
      <c r="AV97">
        <f t="shared" si="38"/>
        <v>0</v>
      </c>
      <c r="AW97">
        <f t="shared" si="38"/>
        <v>0</v>
      </c>
      <c r="AX97">
        <f t="shared" si="38"/>
        <v>0</v>
      </c>
      <c r="AY97">
        <f t="shared" si="38"/>
        <v>0</v>
      </c>
      <c r="AZ97">
        <f t="shared" si="38"/>
        <v>0</v>
      </c>
      <c r="BA97">
        <f t="shared" si="38"/>
        <v>0</v>
      </c>
      <c r="BB97">
        <f t="shared" si="38"/>
        <v>0</v>
      </c>
      <c r="BC97">
        <f t="shared" si="38"/>
        <v>0</v>
      </c>
      <c r="BD97">
        <f t="shared" si="38"/>
        <v>0</v>
      </c>
      <c r="BE97">
        <f t="shared" si="38"/>
        <v>0</v>
      </c>
      <c r="BF97">
        <f t="shared" si="38"/>
        <v>0</v>
      </c>
      <c r="BG97">
        <f t="shared" si="38"/>
        <v>0</v>
      </c>
      <c r="BH97">
        <f t="shared" si="38"/>
        <v>0</v>
      </c>
      <c r="BI97">
        <f t="shared" si="38"/>
        <v>0</v>
      </c>
      <c r="BJ97">
        <f t="shared" si="38"/>
        <v>0</v>
      </c>
      <c r="BK97">
        <f t="shared" si="38"/>
        <v>0</v>
      </c>
      <c r="BL97">
        <f t="shared" si="38"/>
        <v>0</v>
      </c>
      <c r="BM97">
        <f t="shared" si="38"/>
        <v>0</v>
      </c>
      <c r="BN97">
        <f t="shared" si="38"/>
        <v>0</v>
      </c>
      <c r="BO97">
        <f t="shared" si="38"/>
        <v>0</v>
      </c>
      <c r="BP97">
        <f t="shared" si="38"/>
        <v>0</v>
      </c>
      <c r="BQ97">
        <f t="shared" si="38"/>
        <v>0</v>
      </c>
      <c r="BR97">
        <f t="shared" si="38"/>
        <v>0</v>
      </c>
      <c r="BS97">
        <f t="shared" si="38"/>
        <v>0</v>
      </c>
      <c r="BT97">
        <f t="shared" ref="BT97:BY97" si="39">BT16</f>
        <v>0</v>
      </c>
      <c r="BU97">
        <f t="shared" si="39"/>
        <v>0</v>
      </c>
      <c r="BV97">
        <f t="shared" si="39"/>
        <v>0</v>
      </c>
      <c r="BW97">
        <f t="shared" si="39"/>
        <v>0</v>
      </c>
      <c r="BX97">
        <f t="shared" si="39"/>
        <v>0</v>
      </c>
      <c r="BY97">
        <f t="shared" si="39"/>
        <v>0</v>
      </c>
    </row>
    <row r="98" spans="1:77" ht="15" customHeight="1">
      <c r="A98">
        <f t="shared" si="9"/>
        <v>16</v>
      </c>
      <c r="B98" t="str">
        <f t="shared" si="31"/>
        <v>RM000067</v>
      </c>
      <c r="C98" t="str">
        <f t="shared" si="31"/>
        <v>Raw Agri</v>
      </c>
      <c r="D98" t="str">
        <f t="shared" si="31"/>
        <v>MIND/Pre-Production</v>
      </c>
      <c r="E98" t="str">
        <f t="shared" si="31"/>
        <v>RM KalaNamak</v>
      </c>
      <c r="F98" s="102">
        <f t="shared" si="31"/>
        <v>0</v>
      </c>
      <c r="G98">
        <f t="shared" si="6"/>
        <v>0</v>
      </c>
      <c r="H98" s="102">
        <f t="shared" si="6"/>
        <v>0</v>
      </c>
      <c r="I98" s="101">
        <f t="shared" si="6"/>
        <v>0</v>
      </c>
      <c r="J98">
        <f t="shared" si="31"/>
        <v>0</v>
      </c>
      <c r="K98">
        <f t="shared" si="31"/>
        <v>500</v>
      </c>
      <c r="L98">
        <f t="shared" si="31"/>
        <v>0</v>
      </c>
      <c r="M98">
        <f t="shared" si="31"/>
        <v>4620</v>
      </c>
      <c r="N98">
        <f t="shared" si="31"/>
        <v>2150</v>
      </c>
      <c r="O98">
        <f t="shared" si="31"/>
        <v>0</v>
      </c>
      <c r="P98">
        <f t="shared" si="31"/>
        <v>0</v>
      </c>
      <c r="Q98">
        <f t="shared" si="31"/>
        <v>0</v>
      </c>
      <c r="R98">
        <f t="shared" si="31"/>
        <v>0</v>
      </c>
      <c r="S98">
        <f t="shared" si="31"/>
        <v>4500</v>
      </c>
      <c r="T98">
        <f t="shared" si="31"/>
        <v>8450</v>
      </c>
      <c r="U98">
        <f t="shared" si="31"/>
        <v>0</v>
      </c>
      <c r="V98">
        <f t="shared" si="31"/>
        <v>0</v>
      </c>
      <c r="W98">
        <f t="shared" si="31"/>
        <v>0</v>
      </c>
      <c r="X98">
        <f t="shared" si="31"/>
        <v>0</v>
      </c>
      <c r="Y98">
        <f t="shared" si="31"/>
        <v>3700</v>
      </c>
      <c r="Z98">
        <f t="shared" si="31"/>
        <v>0</v>
      </c>
      <c r="AA98">
        <f t="shared" si="31"/>
        <v>0</v>
      </c>
      <c r="AB98">
        <f t="shared" si="31"/>
        <v>0</v>
      </c>
      <c r="AC98">
        <f t="shared" si="31"/>
        <v>0</v>
      </c>
      <c r="AD98">
        <f t="shared" si="31"/>
        <v>0</v>
      </c>
      <c r="AE98">
        <f t="shared" si="31"/>
        <v>0</v>
      </c>
      <c r="AF98">
        <f t="shared" si="31"/>
        <v>0</v>
      </c>
      <c r="AG98">
        <f t="shared" si="31"/>
        <v>0</v>
      </c>
      <c r="AH98">
        <f t="shared" si="31"/>
        <v>0</v>
      </c>
      <c r="AI98">
        <f t="shared" si="31"/>
        <v>0</v>
      </c>
      <c r="AJ98">
        <f t="shared" si="31"/>
        <v>0</v>
      </c>
      <c r="AK98">
        <f t="shared" si="31"/>
        <v>0</v>
      </c>
      <c r="AL98">
        <f t="shared" si="31"/>
        <v>0</v>
      </c>
      <c r="AM98">
        <f t="shared" si="31"/>
        <v>0</v>
      </c>
      <c r="AN98">
        <f t="shared" si="31"/>
        <v>4050</v>
      </c>
      <c r="AO98">
        <f t="shared" ref="AO98:BS98" si="40">AO17</f>
        <v>0</v>
      </c>
      <c r="AP98">
        <f t="shared" si="40"/>
        <v>0</v>
      </c>
      <c r="AQ98">
        <f t="shared" si="40"/>
        <v>0</v>
      </c>
      <c r="AR98">
        <f t="shared" si="40"/>
        <v>0</v>
      </c>
      <c r="AS98">
        <f t="shared" si="40"/>
        <v>0</v>
      </c>
      <c r="AT98">
        <f t="shared" si="40"/>
        <v>0</v>
      </c>
      <c r="AU98">
        <f t="shared" si="40"/>
        <v>0</v>
      </c>
      <c r="AV98">
        <f t="shared" si="40"/>
        <v>0</v>
      </c>
      <c r="AW98">
        <f t="shared" si="40"/>
        <v>0</v>
      </c>
      <c r="AX98">
        <f t="shared" si="40"/>
        <v>0</v>
      </c>
      <c r="AY98">
        <f t="shared" si="40"/>
        <v>0</v>
      </c>
      <c r="AZ98">
        <f t="shared" si="40"/>
        <v>0</v>
      </c>
      <c r="BA98">
        <f t="shared" si="40"/>
        <v>0</v>
      </c>
      <c r="BB98">
        <f t="shared" si="40"/>
        <v>0</v>
      </c>
      <c r="BC98">
        <f t="shared" si="40"/>
        <v>0</v>
      </c>
      <c r="BD98">
        <f t="shared" si="40"/>
        <v>0</v>
      </c>
      <c r="BE98">
        <f t="shared" si="40"/>
        <v>0</v>
      </c>
      <c r="BF98">
        <f t="shared" si="40"/>
        <v>0</v>
      </c>
      <c r="BG98">
        <f t="shared" si="40"/>
        <v>0</v>
      </c>
      <c r="BH98">
        <f t="shared" si="40"/>
        <v>0</v>
      </c>
      <c r="BI98">
        <f t="shared" si="40"/>
        <v>0</v>
      </c>
      <c r="BJ98">
        <f t="shared" si="40"/>
        <v>0</v>
      </c>
      <c r="BK98">
        <f t="shared" si="40"/>
        <v>0</v>
      </c>
      <c r="BL98">
        <f t="shared" si="40"/>
        <v>0</v>
      </c>
      <c r="BM98">
        <f t="shared" si="40"/>
        <v>0</v>
      </c>
      <c r="BN98">
        <f t="shared" si="40"/>
        <v>0</v>
      </c>
      <c r="BO98">
        <f t="shared" si="40"/>
        <v>0</v>
      </c>
      <c r="BP98">
        <f t="shared" si="40"/>
        <v>0</v>
      </c>
      <c r="BQ98">
        <f t="shared" si="40"/>
        <v>0</v>
      </c>
      <c r="BR98">
        <f t="shared" si="40"/>
        <v>0</v>
      </c>
      <c r="BS98">
        <f t="shared" si="40"/>
        <v>0</v>
      </c>
      <c r="BT98">
        <f t="shared" ref="BT98:BY98" si="41">BT17</f>
        <v>0</v>
      </c>
      <c r="BU98">
        <f t="shared" si="41"/>
        <v>0</v>
      </c>
      <c r="BV98">
        <f t="shared" si="41"/>
        <v>0</v>
      </c>
      <c r="BW98">
        <f t="shared" si="41"/>
        <v>0</v>
      </c>
      <c r="BX98">
        <f t="shared" si="41"/>
        <v>0</v>
      </c>
      <c r="BY98">
        <f t="shared" si="41"/>
        <v>0</v>
      </c>
    </row>
    <row r="99" spans="1:77" ht="15" customHeight="1">
      <c r="A99">
        <f t="shared" si="9"/>
        <v>17</v>
      </c>
      <c r="B99" t="str">
        <f t="shared" si="31"/>
        <v>RM000227</v>
      </c>
      <c r="C99" t="str">
        <f t="shared" si="31"/>
        <v>Raw Agri</v>
      </c>
      <c r="D99" t="str">
        <f t="shared" si="31"/>
        <v>MIND/Pre-Production</v>
      </c>
      <c r="E99" t="str">
        <f t="shared" si="31"/>
        <v>Moong Dal</v>
      </c>
      <c r="F99" s="102">
        <f t="shared" si="31"/>
        <v>31825.54</v>
      </c>
      <c r="G99">
        <f t="shared" si="6"/>
        <v>0</v>
      </c>
      <c r="H99" s="102">
        <f t="shared" si="6"/>
        <v>-31825.54</v>
      </c>
      <c r="I99" s="101">
        <f t="shared" si="6"/>
        <v>0</v>
      </c>
      <c r="J99">
        <f t="shared" si="31"/>
        <v>0</v>
      </c>
      <c r="K99">
        <f t="shared" si="31"/>
        <v>0</v>
      </c>
      <c r="L99">
        <f t="shared" si="31"/>
        <v>0</v>
      </c>
      <c r="M99">
        <f t="shared" si="31"/>
        <v>0</v>
      </c>
      <c r="N99">
        <f t="shared" si="31"/>
        <v>0</v>
      </c>
      <c r="O99">
        <f t="shared" si="31"/>
        <v>0</v>
      </c>
      <c r="P99">
        <f t="shared" si="31"/>
        <v>0</v>
      </c>
      <c r="Q99">
        <f t="shared" si="31"/>
        <v>0</v>
      </c>
      <c r="R99">
        <f t="shared" si="31"/>
        <v>0</v>
      </c>
      <c r="S99">
        <f t="shared" si="31"/>
        <v>0</v>
      </c>
      <c r="T99">
        <f t="shared" si="31"/>
        <v>0</v>
      </c>
      <c r="U99">
        <f t="shared" si="31"/>
        <v>0</v>
      </c>
      <c r="V99">
        <f t="shared" si="31"/>
        <v>0</v>
      </c>
      <c r="W99">
        <f t="shared" si="31"/>
        <v>0</v>
      </c>
      <c r="X99">
        <f t="shared" si="31"/>
        <v>0</v>
      </c>
      <c r="Y99">
        <f t="shared" si="31"/>
        <v>0</v>
      </c>
      <c r="Z99">
        <f t="shared" si="31"/>
        <v>0</v>
      </c>
      <c r="AA99">
        <f t="shared" si="31"/>
        <v>0</v>
      </c>
      <c r="AB99">
        <f t="shared" si="31"/>
        <v>0</v>
      </c>
      <c r="AC99">
        <f t="shared" ref="B99:AN105" si="42">AC18</f>
        <v>0</v>
      </c>
      <c r="AD99">
        <f t="shared" si="42"/>
        <v>0</v>
      </c>
      <c r="AE99">
        <f t="shared" si="42"/>
        <v>0</v>
      </c>
      <c r="AF99">
        <f t="shared" si="42"/>
        <v>0</v>
      </c>
      <c r="AG99">
        <f t="shared" si="42"/>
        <v>0</v>
      </c>
      <c r="AH99">
        <f t="shared" si="42"/>
        <v>0</v>
      </c>
      <c r="AI99">
        <f t="shared" si="42"/>
        <v>0</v>
      </c>
      <c r="AJ99">
        <f t="shared" si="42"/>
        <v>0</v>
      </c>
      <c r="AK99">
        <f t="shared" si="42"/>
        <v>0</v>
      </c>
      <c r="AL99">
        <f t="shared" si="42"/>
        <v>0</v>
      </c>
      <c r="AM99">
        <f t="shared" si="42"/>
        <v>0</v>
      </c>
      <c r="AN99">
        <f t="shared" si="42"/>
        <v>0</v>
      </c>
      <c r="AO99">
        <f t="shared" ref="AO99:BS99" si="43">AO18</f>
        <v>0</v>
      </c>
      <c r="AP99">
        <f t="shared" si="43"/>
        <v>0</v>
      </c>
      <c r="AQ99">
        <f t="shared" si="43"/>
        <v>0</v>
      </c>
      <c r="AR99">
        <f t="shared" si="43"/>
        <v>0</v>
      </c>
      <c r="AS99">
        <f t="shared" si="43"/>
        <v>0</v>
      </c>
      <c r="AT99">
        <f t="shared" si="43"/>
        <v>0</v>
      </c>
      <c r="AU99">
        <f t="shared" si="43"/>
        <v>0</v>
      </c>
      <c r="AV99">
        <f t="shared" si="43"/>
        <v>0</v>
      </c>
      <c r="AW99">
        <f t="shared" si="43"/>
        <v>0</v>
      </c>
      <c r="AX99">
        <f t="shared" si="43"/>
        <v>0</v>
      </c>
      <c r="AY99">
        <f t="shared" si="43"/>
        <v>0</v>
      </c>
      <c r="AZ99">
        <f t="shared" si="43"/>
        <v>0</v>
      </c>
      <c r="BA99">
        <f t="shared" si="43"/>
        <v>0</v>
      </c>
      <c r="BB99">
        <f t="shared" si="43"/>
        <v>0</v>
      </c>
      <c r="BC99">
        <f t="shared" si="43"/>
        <v>0</v>
      </c>
      <c r="BD99">
        <f t="shared" si="43"/>
        <v>0</v>
      </c>
      <c r="BE99">
        <f t="shared" si="43"/>
        <v>0</v>
      </c>
      <c r="BF99">
        <f t="shared" si="43"/>
        <v>0</v>
      </c>
      <c r="BG99">
        <f t="shared" si="43"/>
        <v>0</v>
      </c>
      <c r="BH99">
        <f t="shared" si="43"/>
        <v>0</v>
      </c>
      <c r="BI99">
        <f t="shared" si="43"/>
        <v>0</v>
      </c>
      <c r="BJ99">
        <f t="shared" si="43"/>
        <v>0</v>
      </c>
      <c r="BK99">
        <f t="shared" si="43"/>
        <v>0</v>
      </c>
      <c r="BL99">
        <f t="shared" si="43"/>
        <v>0</v>
      </c>
      <c r="BM99">
        <f t="shared" si="43"/>
        <v>0</v>
      </c>
      <c r="BN99">
        <f t="shared" si="43"/>
        <v>0</v>
      </c>
      <c r="BO99">
        <f t="shared" si="43"/>
        <v>0</v>
      </c>
      <c r="BP99">
        <f t="shared" si="43"/>
        <v>0</v>
      </c>
      <c r="BQ99">
        <f t="shared" si="43"/>
        <v>0</v>
      </c>
      <c r="BR99">
        <f t="shared" si="43"/>
        <v>0</v>
      </c>
      <c r="BS99">
        <f t="shared" si="43"/>
        <v>0</v>
      </c>
      <c r="BT99">
        <f t="shared" ref="BT99:BY99" si="44">BT18</f>
        <v>0</v>
      </c>
      <c r="BU99">
        <f t="shared" si="44"/>
        <v>0</v>
      </c>
      <c r="BV99">
        <f t="shared" si="44"/>
        <v>0</v>
      </c>
      <c r="BW99">
        <f t="shared" si="44"/>
        <v>0</v>
      </c>
      <c r="BX99">
        <f t="shared" si="44"/>
        <v>0</v>
      </c>
      <c r="BY99">
        <f t="shared" si="44"/>
        <v>0</v>
      </c>
    </row>
    <row r="100" spans="1:77" ht="15" customHeight="1">
      <c r="A100">
        <f t="shared" si="9"/>
        <v>18</v>
      </c>
      <c r="B100" t="str">
        <f t="shared" si="42"/>
        <v>RM000168</v>
      </c>
      <c r="C100" t="str">
        <f t="shared" si="42"/>
        <v>Raw Agri</v>
      </c>
      <c r="D100" t="str">
        <f t="shared" si="42"/>
        <v>MIND/Pre-Production</v>
      </c>
      <c r="E100" t="str">
        <f t="shared" si="42"/>
        <v>Raw Tur Dal</v>
      </c>
      <c r="F100" s="102">
        <f t="shared" si="42"/>
        <v>5.5099999999999909</v>
      </c>
      <c r="G100">
        <f t="shared" si="6"/>
        <v>0</v>
      </c>
      <c r="H100" s="102">
        <f t="shared" si="6"/>
        <v>-5.5099999999999909</v>
      </c>
      <c r="I100" s="101">
        <f t="shared" si="6"/>
        <v>0</v>
      </c>
      <c r="J100">
        <f t="shared" si="42"/>
        <v>0</v>
      </c>
      <c r="K100">
        <f t="shared" si="42"/>
        <v>0</v>
      </c>
      <c r="L100">
        <f t="shared" si="42"/>
        <v>0</v>
      </c>
      <c r="M100">
        <f t="shared" si="42"/>
        <v>0</v>
      </c>
      <c r="N100">
        <f t="shared" si="42"/>
        <v>0</v>
      </c>
      <c r="O100">
        <f t="shared" si="42"/>
        <v>0</v>
      </c>
      <c r="P100">
        <f t="shared" si="42"/>
        <v>0</v>
      </c>
      <c r="Q100">
        <f t="shared" si="42"/>
        <v>0</v>
      </c>
      <c r="R100">
        <f t="shared" si="42"/>
        <v>0</v>
      </c>
      <c r="S100">
        <f t="shared" si="42"/>
        <v>0</v>
      </c>
      <c r="T100">
        <f t="shared" si="42"/>
        <v>0</v>
      </c>
      <c r="U100">
        <f t="shared" si="42"/>
        <v>0</v>
      </c>
      <c r="V100">
        <f t="shared" si="42"/>
        <v>0</v>
      </c>
      <c r="W100">
        <f t="shared" si="42"/>
        <v>0</v>
      </c>
      <c r="X100">
        <f t="shared" si="42"/>
        <v>0</v>
      </c>
      <c r="Y100">
        <f t="shared" si="42"/>
        <v>0</v>
      </c>
      <c r="Z100">
        <f t="shared" si="42"/>
        <v>0</v>
      </c>
      <c r="AA100">
        <f t="shared" si="42"/>
        <v>0</v>
      </c>
      <c r="AB100">
        <f t="shared" si="42"/>
        <v>0</v>
      </c>
      <c r="AC100">
        <f t="shared" si="42"/>
        <v>0</v>
      </c>
      <c r="AD100">
        <f t="shared" si="42"/>
        <v>0</v>
      </c>
      <c r="AE100">
        <f t="shared" si="42"/>
        <v>0</v>
      </c>
      <c r="AF100">
        <f t="shared" si="42"/>
        <v>0</v>
      </c>
      <c r="AG100">
        <f t="shared" si="42"/>
        <v>0</v>
      </c>
      <c r="AH100">
        <f t="shared" si="42"/>
        <v>0</v>
      </c>
      <c r="AI100">
        <f t="shared" si="42"/>
        <v>0</v>
      </c>
      <c r="AJ100">
        <f t="shared" si="42"/>
        <v>0</v>
      </c>
      <c r="AK100">
        <f t="shared" si="42"/>
        <v>0</v>
      </c>
      <c r="AL100">
        <f t="shared" si="42"/>
        <v>0</v>
      </c>
      <c r="AM100">
        <f t="shared" si="42"/>
        <v>0</v>
      </c>
      <c r="AN100">
        <f t="shared" si="42"/>
        <v>0</v>
      </c>
      <c r="AO100">
        <f t="shared" ref="AO100:BS100" si="45">AO19</f>
        <v>0</v>
      </c>
      <c r="AP100">
        <f t="shared" si="45"/>
        <v>0</v>
      </c>
      <c r="AQ100">
        <f t="shared" si="45"/>
        <v>0</v>
      </c>
      <c r="AR100">
        <f t="shared" si="45"/>
        <v>0</v>
      </c>
      <c r="AS100">
        <f t="shared" si="45"/>
        <v>0</v>
      </c>
      <c r="AT100">
        <f t="shared" si="45"/>
        <v>0</v>
      </c>
      <c r="AU100">
        <f t="shared" si="45"/>
        <v>0</v>
      </c>
      <c r="AV100">
        <f t="shared" si="45"/>
        <v>0</v>
      </c>
      <c r="AW100">
        <f t="shared" si="45"/>
        <v>0</v>
      </c>
      <c r="AX100">
        <f t="shared" si="45"/>
        <v>0</v>
      </c>
      <c r="AY100">
        <f t="shared" si="45"/>
        <v>0</v>
      </c>
      <c r="AZ100">
        <f t="shared" si="45"/>
        <v>0</v>
      </c>
      <c r="BA100">
        <f t="shared" si="45"/>
        <v>0</v>
      </c>
      <c r="BB100">
        <f t="shared" si="45"/>
        <v>0</v>
      </c>
      <c r="BC100">
        <f t="shared" si="45"/>
        <v>0</v>
      </c>
      <c r="BD100">
        <f t="shared" si="45"/>
        <v>0</v>
      </c>
      <c r="BE100">
        <f t="shared" si="45"/>
        <v>0</v>
      </c>
      <c r="BF100">
        <f t="shared" si="45"/>
        <v>0</v>
      </c>
      <c r="BG100">
        <f t="shared" si="45"/>
        <v>0</v>
      </c>
      <c r="BH100">
        <f t="shared" si="45"/>
        <v>0</v>
      </c>
      <c r="BI100">
        <f t="shared" si="45"/>
        <v>0</v>
      </c>
      <c r="BJ100">
        <f t="shared" si="45"/>
        <v>0</v>
      </c>
      <c r="BK100">
        <f t="shared" si="45"/>
        <v>0</v>
      </c>
      <c r="BL100">
        <f t="shared" si="45"/>
        <v>0</v>
      </c>
      <c r="BM100">
        <f t="shared" si="45"/>
        <v>0</v>
      </c>
      <c r="BN100">
        <f t="shared" si="45"/>
        <v>0</v>
      </c>
      <c r="BO100">
        <f t="shared" si="45"/>
        <v>0</v>
      </c>
      <c r="BP100">
        <f t="shared" si="45"/>
        <v>0</v>
      </c>
      <c r="BQ100">
        <f t="shared" si="45"/>
        <v>0</v>
      </c>
      <c r="BR100">
        <f t="shared" si="45"/>
        <v>0</v>
      </c>
      <c r="BS100">
        <f t="shared" si="45"/>
        <v>0</v>
      </c>
      <c r="BT100">
        <f t="shared" ref="BT100:BY100" si="46">BT19</f>
        <v>0</v>
      </c>
      <c r="BU100">
        <f t="shared" si="46"/>
        <v>0</v>
      </c>
      <c r="BV100">
        <f t="shared" si="46"/>
        <v>0</v>
      </c>
      <c r="BW100">
        <f t="shared" si="46"/>
        <v>0</v>
      </c>
      <c r="BX100">
        <f t="shared" si="46"/>
        <v>0</v>
      </c>
      <c r="BY100">
        <f t="shared" si="46"/>
        <v>0</v>
      </c>
    </row>
    <row r="101" spans="1:77" ht="15" customHeight="1">
      <c r="A101">
        <f t="shared" si="9"/>
        <v>19</v>
      </c>
      <c r="B101" t="str">
        <f t="shared" si="42"/>
        <v>RM000094</v>
      </c>
      <c r="C101" t="str">
        <f t="shared" si="42"/>
        <v>Protein Atta</v>
      </c>
      <c r="D101" t="str">
        <f t="shared" si="42"/>
        <v>MIND/Pre-Production</v>
      </c>
      <c r="E101" t="str">
        <f t="shared" si="42"/>
        <v>Khapli Wheat Grains</v>
      </c>
      <c r="F101" s="102" t="str">
        <f t="shared" si="42"/>
        <v>0</v>
      </c>
      <c r="G101">
        <f t="shared" si="6"/>
        <v>0</v>
      </c>
      <c r="H101" s="102">
        <f t="shared" si="6"/>
        <v>0</v>
      </c>
      <c r="I101" s="101">
        <f t="shared" si="6"/>
        <v>0</v>
      </c>
      <c r="J101">
        <f t="shared" si="42"/>
        <v>0</v>
      </c>
      <c r="K101">
        <f t="shared" si="42"/>
        <v>0</v>
      </c>
      <c r="L101">
        <f t="shared" si="42"/>
        <v>0</v>
      </c>
      <c r="M101">
        <f t="shared" si="42"/>
        <v>0</v>
      </c>
      <c r="N101">
        <f t="shared" si="42"/>
        <v>0</v>
      </c>
      <c r="O101">
        <f t="shared" si="42"/>
        <v>0</v>
      </c>
      <c r="P101">
        <f t="shared" si="42"/>
        <v>0</v>
      </c>
      <c r="Q101">
        <f t="shared" si="42"/>
        <v>0</v>
      </c>
      <c r="R101">
        <f t="shared" si="42"/>
        <v>0</v>
      </c>
      <c r="S101">
        <f t="shared" si="42"/>
        <v>0</v>
      </c>
      <c r="T101">
        <f t="shared" si="42"/>
        <v>0</v>
      </c>
      <c r="U101">
        <f t="shared" si="42"/>
        <v>0</v>
      </c>
      <c r="V101">
        <f t="shared" si="42"/>
        <v>0</v>
      </c>
      <c r="W101">
        <f t="shared" si="42"/>
        <v>0</v>
      </c>
      <c r="X101">
        <f t="shared" si="42"/>
        <v>0</v>
      </c>
      <c r="Y101">
        <f t="shared" si="42"/>
        <v>0</v>
      </c>
      <c r="Z101">
        <f t="shared" si="42"/>
        <v>0</v>
      </c>
      <c r="AA101">
        <f t="shared" si="42"/>
        <v>0</v>
      </c>
      <c r="AB101">
        <f t="shared" si="42"/>
        <v>0</v>
      </c>
      <c r="AC101">
        <f t="shared" si="42"/>
        <v>0</v>
      </c>
      <c r="AD101">
        <f t="shared" si="42"/>
        <v>0</v>
      </c>
      <c r="AE101">
        <f t="shared" si="42"/>
        <v>0</v>
      </c>
      <c r="AF101">
        <f t="shared" si="42"/>
        <v>0</v>
      </c>
      <c r="AG101">
        <f t="shared" si="42"/>
        <v>0</v>
      </c>
      <c r="AH101">
        <f t="shared" si="42"/>
        <v>0</v>
      </c>
      <c r="AI101">
        <f t="shared" si="42"/>
        <v>0</v>
      </c>
      <c r="AJ101">
        <f t="shared" si="42"/>
        <v>0</v>
      </c>
      <c r="AK101">
        <f t="shared" si="42"/>
        <v>0</v>
      </c>
      <c r="AL101">
        <f t="shared" si="42"/>
        <v>0</v>
      </c>
      <c r="AM101">
        <f t="shared" si="42"/>
        <v>0</v>
      </c>
      <c r="AN101">
        <f t="shared" si="42"/>
        <v>0</v>
      </c>
      <c r="AO101">
        <f t="shared" ref="AO101:BS101" si="47">AO20</f>
        <v>0</v>
      </c>
      <c r="AP101">
        <f t="shared" si="47"/>
        <v>0</v>
      </c>
      <c r="AQ101">
        <f t="shared" si="47"/>
        <v>0</v>
      </c>
      <c r="AR101">
        <f t="shared" si="47"/>
        <v>0</v>
      </c>
      <c r="AS101">
        <f t="shared" si="47"/>
        <v>0</v>
      </c>
      <c r="AT101">
        <f t="shared" si="47"/>
        <v>0</v>
      </c>
      <c r="AU101">
        <f t="shared" si="47"/>
        <v>0</v>
      </c>
      <c r="AV101">
        <f t="shared" si="47"/>
        <v>0</v>
      </c>
      <c r="AW101">
        <f t="shared" si="47"/>
        <v>0</v>
      </c>
      <c r="AX101">
        <f t="shared" si="47"/>
        <v>0</v>
      </c>
      <c r="AY101">
        <f t="shared" si="47"/>
        <v>0</v>
      </c>
      <c r="AZ101">
        <f t="shared" si="47"/>
        <v>0</v>
      </c>
      <c r="BA101">
        <f t="shared" si="47"/>
        <v>0</v>
      </c>
      <c r="BB101">
        <f t="shared" si="47"/>
        <v>0</v>
      </c>
      <c r="BC101">
        <f t="shared" si="47"/>
        <v>0</v>
      </c>
      <c r="BD101">
        <f t="shared" si="47"/>
        <v>0</v>
      </c>
      <c r="BE101">
        <f t="shared" si="47"/>
        <v>0</v>
      </c>
      <c r="BF101">
        <f t="shared" si="47"/>
        <v>0</v>
      </c>
      <c r="BG101">
        <f t="shared" si="47"/>
        <v>0</v>
      </c>
      <c r="BH101">
        <f t="shared" si="47"/>
        <v>0</v>
      </c>
      <c r="BI101">
        <f t="shared" si="47"/>
        <v>0</v>
      </c>
      <c r="BJ101">
        <f t="shared" si="47"/>
        <v>0</v>
      </c>
      <c r="BK101">
        <f t="shared" si="47"/>
        <v>0</v>
      </c>
      <c r="BL101">
        <f t="shared" si="47"/>
        <v>0</v>
      </c>
      <c r="BM101">
        <f t="shared" si="47"/>
        <v>0</v>
      </c>
      <c r="BN101">
        <f t="shared" si="47"/>
        <v>0</v>
      </c>
      <c r="BO101">
        <f t="shared" si="47"/>
        <v>0</v>
      </c>
      <c r="BP101">
        <f t="shared" si="47"/>
        <v>0</v>
      </c>
      <c r="BQ101">
        <f t="shared" si="47"/>
        <v>0</v>
      </c>
      <c r="BR101">
        <f t="shared" si="47"/>
        <v>0</v>
      </c>
      <c r="BS101">
        <f t="shared" si="47"/>
        <v>0</v>
      </c>
      <c r="BT101">
        <f t="shared" ref="BT101:BY101" si="48">BT20</f>
        <v>0</v>
      </c>
      <c r="BU101">
        <f t="shared" si="48"/>
        <v>0</v>
      </c>
      <c r="BV101">
        <f t="shared" si="48"/>
        <v>0</v>
      </c>
      <c r="BW101">
        <f t="shared" si="48"/>
        <v>0</v>
      </c>
      <c r="BX101">
        <f t="shared" si="48"/>
        <v>0</v>
      </c>
      <c r="BY101">
        <f t="shared" si="48"/>
        <v>0</v>
      </c>
    </row>
    <row r="102" spans="1:77" ht="15" customHeight="1">
      <c r="A102">
        <f t="shared" si="9"/>
        <v>20</v>
      </c>
      <c r="B102" t="str">
        <f t="shared" si="42"/>
        <v>RM000072</v>
      </c>
      <c r="C102" t="str">
        <f t="shared" si="42"/>
        <v>Protein Atta</v>
      </c>
      <c r="D102" t="str">
        <f t="shared" si="42"/>
        <v>MIND/Pre-Production</v>
      </c>
      <c r="E102" t="str">
        <f t="shared" si="42"/>
        <v>Harbara Dal</v>
      </c>
      <c r="F102" s="102">
        <f t="shared" si="42"/>
        <v>242.52000000000041</v>
      </c>
      <c r="G102">
        <f t="shared" si="6"/>
        <v>0</v>
      </c>
      <c r="H102" s="102">
        <f t="shared" si="6"/>
        <v>-242.52000000000041</v>
      </c>
      <c r="I102" s="101">
        <f t="shared" si="6"/>
        <v>0</v>
      </c>
      <c r="J102">
        <f t="shared" si="42"/>
        <v>0</v>
      </c>
      <c r="K102">
        <f t="shared" si="42"/>
        <v>0</v>
      </c>
      <c r="L102">
        <f t="shared" si="42"/>
        <v>0</v>
      </c>
      <c r="M102">
        <f t="shared" si="42"/>
        <v>2000</v>
      </c>
      <c r="N102">
        <f t="shared" si="42"/>
        <v>0</v>
      </c>
      <c r="O102">
        <f t="shared" si="42"/>
        <v>0</v>
      </c>
      <c r="P102">
        <f t="shared" si="42"/>
        <v>0</v>
      </c>
      <c r="Q102">
        <f t="shared" si="42"/>
        <v>0</v>
      </c>
      <c r="R102">
        <f t="shared" si="42"/>
        <v>0</v>
      </c>
      <c r="S102">
        <f t="shared" si="42"/>
        <v>0</v>
      </c>
      <c r="T102">
        <f t="shared" si="42"/>
        <v>0</v>
      </c>
      <c r="U102">
        <f t="shared" si="42"/>
        <v>0</v>
      </c>
      <c r="V102">
        <f t="shared" si="42"/>
        <v>0</v>
      </c>
      <c r="W102">
        <f t="shared" si="42"/>
        <v>0</v>
      </c>
      <c r="X102">
        <f t="shared" si="42"/>
        <v>0</v>
      </c>
      <c r="Y102">
        <f t="shared" si="42"/>
        <v>0</v>
      </c>
      <c r="Z102">
        <f t="shared" si="42"/>
        <v>0</v>
      </c>
      <c r="AA102">
        <f t="shared" si="42"/>
        <v>0</v>
      </c>
      <c r="AB102">
        <f t="shared" si="42"/>
        <v>0</v>
      </c>
      <c r="AC102">
        <f t="shared" si="42"/>
        <v>0</v>
      </c>
      <c r="AD102">
        <f t="shared" si="42"/>
        <v>0</v>
      </c>
      <c r="AE102">
        <f t="shared" si="42"/>
        <v>0</v>
      </c>
      <c r="AF102">
        <f t="shared" si="42"/>
        <v>0</v>
      </c>
      <c r="AG102">
        <f t="shared" si="42"/>
        <v>0</v>
      </c>
      <c r="AH102">
        <f t="shared" si="42"/>
        <v>0</v>
      </c>
      <c r="AI102">
        <f t="shared" si="42"/>
        <v>0</v>
      </c>
      <c r="AJ102">
        <f t="shared" si="42"/>
        <v>0</v>
      </c>
      <c r="AK102">
        <f t="shared" si="42"/>
        <v>0</v>
      </c>
      <c r="AL102">
        <f t="shared" si="42"/>
        <v>0</v>
      </c>
      <c r="AM102">
        <f t="shared" si="42"/>
        <v>0</v>
      </c>
      <c r="AN102">
        <f t="shared" si="42"/>
        <v>0</v>
      </c>
      <c r="AO102">
        <f t="shared" ref="AO102:BS102" si="49">AO21</f>
        <v>0</v>
      </c>
      <c r="AP102">
        <f t="shared" si="49"/>
        <v>0</v>
      </c>
      <c r="AQ102">
        <f t="shared" si="49"/>
        <v>0</v>
      </c>
      <c r="AR102">
        <f t="shared" si="49"/>
        <v>0</v>
      </c>
      <c r="AS102">
        <f t="shared" si="49"/>
        <v>0</v>
      </c>
      <c r="AT102">
        <f t="shared" si="49"/>
        <v>0</v>
      </c>
      <c r="AU102">
        <f t="shared" si="49"/>
        <v>0</v>
      </c>
      <c r="AV102">
        <f t="shared" si="49"/>
        <v>0</v>
      </c>
      <c r="AW102">
        <f t="shared" si="49"/>
        <v>0</v>
      </c>
      <c r="AX102">
        <f t="shared" si="49"/>
        <v>0</v>
      </c>
      <c r="AY102">
        <f t="shared" si="49"/>
        <v>0</v>
      </c>
      <c r="AZ102">
        <f t="shared" si="49"/>
        <v>0</v>
      </c>
      <c r="BA102">
        <f t="shared" si="49"/>
        <v>0</v>
      </c>
      <c r="BB102">
        <f t="shared" si="49"/>
        <v>0</v>
      </c>
      <c r="BC102">
        <f t="shared" si="49"/>
        <v>0</v>
      </c>
      <c r="BD102">
        <f t="shared" si="49"/>
        <v>0</v>
      </c>
      <c r="BE102">
        <f t="shared" si="49"/>
        <v>0</v>
      </c>
      <c r="BF102">
        <f t="shared" si="49"/>
        <v>0</v>
      </c>
      <c r="BG102">
        <f t="shared" si="49"/>
        <v>0</v>
      </c>
      <c r="BH102">
        <f t="shared" si="49"/>
        <v>0</v>
      </c>
      <c r="BI102">
        <f t="shared" si="49"/>
        <v>0</v>
      </c>
      <c r="BJ102">
        <f t="shared" si="49"/>
        <v>0</v>
      </c>
      <c r="BK102">
        <f t="shared" si="49"/>
        <v>0</v>
      </c>
      <c r="BL102">
        <f t="shared" si="49"/>
        <v>0</v>
      </c>
      <c r="BM102">
        <f t="shared" si="49"/>
        <v>0</v>
      </c>
      <c r="BN102">
        <f t="shared" si="49"/>
        <v>0</v>
      </c>
      <c r="BO102">
        <f t="shared" si="49"/>
        <v>0</v>
      </c>
      <c r="BP102">
        <f t="shared" si="49"/>
        <v>0</v>
      </c>
      <c r="BQ102">
        <f t="shared" si="49"/>
        <v>0</v>
      </c>
      <c r="BR102">
        <f t="shared" si="49"/>
        <v>0</v>
      </c>
      <c r="BS102">
        <f t="shared" si="49"/>
        <v>0</v>
      </c>
      <c r="BT102">
        <f t="shared" ref="BT102:BY102" si="50">BT21</f>
        <v>0</v>
      </c>
      <c r="BU102">
        <f t="shared" si="50"/>
        <v>0</v>
      </c>
      <c r="BV102">
        <f t="shared" si="50"/>
        <v>0</v>
      </c>
      <c r="BW102">
        <f t="shared" si="50"/>
        <v>0</v>
      </c>
      <c r="BX102">
        <f t="shared" si="50"/>
        <v>0</v>
      </c>
      <c r="BY102">
        <f t="shared" si="50"/>
        <v>0</v>
      </c>
    </row>
    <row r="103" spans="1:77" ht="15" customHeight="1">
      <c r="A103">
        <f t="shared" si="9"/>
        <v>21</v>
      </c>
      <c r="B103" t="str">
        <f t="shared" si="42"/>
        <v>RM000057</v>
      </c>
      <c r="C103" t="str">
        <f t="shared" si="42"/>
        <v>Protein Atta</v>
      </c>
      <c r="D103" t="str">
        <f t="shared" si="42"/>
        <v>MIND/Pre-Production</v>
      </c>
      <c r="E103" t="str">
        <f t="shared" si="42"/>
        <v>Finger Millet</v>
      </c>
      <c r="F103" s="102">
        <f t="shared" si="42"/>
        <v>19836.68</v>
      </c>
      <c r="G103">
        <f t="shared" si="42"/>
        <v>0</v>
      </c>
      <c r="H103" s="102">
        <f t="shared" si="42"/>
        <v>-19836.68</v>
      </c>
      <c r="I103" s="101">
        <f t="shared" si="42"/>
        <v>0</v>
      </c>
      <c r="J103">
        <f t="shared" si="42"/>
        <v>0</v>
      </c>
      <c r="K103">
        <f t="shared" si="42"/>
        <v>0</v>
      </c>
      <c r="L103">
        <f t="shared" si="42"/>
        <v>0</v>
      </c>
      <c r="M103">
        <f t="shared" si="42"/>
        <v>0</v>
      </c>
      <c r="N103">
        <f t="shared" si="42"/>
        <v>0</v>
      </c>
      <c r="O103">
        <f t="shared" si="42"/>
        <v>0</v>
      </c>
      <c r="P103">
        <f t="shared" si="42"/>
        <v>0</v>
      </c>
      <c r="Q103">
        <f t="shared" si="42"/>
        <v>0</v>
      </c>
      <c r="R103">
        <f t="shared" si="42"/>
        <v>0</v>
      </c>
      <c r="S103">
        <f t="shared" si="42"/>
        <v>0</v>
      </c>
      <c r="T103">
        <f t="shared" si="42"/>
        <v>0</v>
      </c>
      <c r="U103">
        <f t="shared" si="42"/>
        <v>0</v>
      </c>
      <c r="V103">
        <f t="shared" si="42"/>
        <v>0</v>
      </c>
      <c r="W103">
        <f t="shared" si="42"/>
        <v>0</v>
      </c>
      <c r="X103">
        <f t="shared" si="42"/>
        <v>0</v>
      </c>
      <c r="Y103">
        <f t="shared" si="42"/>
        <v>0</v>
      </c>
      <c r="Z103">
        <f t="shared" si="42"/>
        <v>0</v>
      </c>
      <c r="AA103">
        <f t="shared" si="42"/>
        <v>0</v>
      </c>
      <c r="AB103">
        <f t="shared" si="42"/>
        <v>0</v>
      </c>
      <c r="AC103">
        <f t="shared" si="42"/>
        <v>0</v>
      </c>
      <c r="AD103">
        <f t="shared" si="42"/>
        <v>0</v>
      </c>
      <c r="AE103">
        <f t="shared" si="42"/>
        <v>0</v>
      </c>
      <c r="AF103">
        <f t="shared" si="42"/>
        <v>0</v>
      </c>
      <c r="AG103">
        <f t="shared" si="42"/>
        <v>0</v>
      </c>
      <c r="AH103">
        <f t="shared" si="42"/>
        <v>0</v>
      </c>
      <c r="AI103">
        <f t="shared" si="42"/>
        <v>0</v>
      </c>
      <c r="AJ103">
        <f t="shared" si="42"/>
        <v>0</v>
      </c>
      <c r="AK103">
        <f t="shared" si="42"/>
        <v>0</v>
      </c>
      <c r="AL103">
        <f t="shared" si="42"/>
        <v>0</v>
      </c>
      <c r="AM103">
        <f t="shared" si="42"/>
        <v>0</v>
      </c>
      <c r="AN103">
        <f t="shared" si="42"/>
        <v>0</v>
      </c>
      <c r="AO103">
        <f t="shared" ref="AO103:BS103" si="51">AO22</f>
        <v>0</v>
      </c>
      <c r="AP103">
        <f t="shared" si="51"/>
        <v>0</v>
      </c>
      <c r="AQ103">
        <f t="shared" si="51"/>
        <v>0</v>
      </c>
      <c r="AR103">
        <f t="shared" si="51"/>
        <v>0</v>
      </c>
      <c r="AS103">
        <f t="shared" si="51"/>
        <v>0</v>
      </c>
      <c r="AT103">
        <f t="shared" si="51"/>
        <v>0</v>
      </c>
      <c r="AU103">
        <f t="shared" si="51"/>
        <v>0</v>
      </c>
      <c r="AV103">
        <f t="shared" si="51"/>
        <v>0</v>
      </c>
      <c r="AW103">
        <f t="shared" si="51"/>
        <v>0</v>
      </c>
      <c r="AX103">
        <f t="shared" si="51"/>
        <v>0</v>
      </c>
      <c r="AY103">
        <f t="shared" si="51"/>
        <v>0</v>
      </c>
      <c r="AZ103">
        <f t="shared" si="51"/>
        <v>0</v>
      </c>
      <c r="BA103">
        <f t="shared" si="51"/>
        <v>0</v>
      </c>
      <c r="BB103">
        <f t="shared" si="51"/>
        <v>0</v>
      </c>
      <c r="BC103">
        <f t="shared" si="51"/>
        <v>0</v>
      </c>
      <c r="BD103">
        <f t="shared" si="51"/>
        <v>0</v>
      </c>
      <c r="BE103">
        <f t="shared" si="51"/>
        <v>0</v>
      </c>
      <c r="BF103">
        <f t="shared" si="51"/>
        <v>0</v>
      </c>
      <c r="BG103">
        <f t="shared" si="51"/>
        <v>0</v>
      </c>
      <c r="BH103">
        <f t="shared" si="51"/>
        <v>0</v>
      </c>
      <c r="BI103">
        <f t="shared" si="51"/>
        <v>0</v>
      </c>
      <c r="BJ103">
        <f t="shared" si="51"/>
        <v>0</v>
      </c>
      <c r="BK103">
        <f t="shared" si="51"/>
        <v>0</v>
      </c>
      <c r="BL103">
        <f t="shared" si="51"/>
        <v>0</v>
      </c>
      <c r="BM103">
        <f t="shared" si="51"/>
        <v>0</v>
      </c>
      <c r="BN103">
        <f t="shared" si="51"/>
        <v>0</v>
      </c>
      <c r="BO103">
        <f t="shared" si="51"/>
        <v>0</v>
      </c>
      <c r="BP103">
        <f t="shared" si="51"/>
        <v>0</v>
      </c>
      <c r="BQ103">
        <f t="shared" si="51"/>
        <v>0</v>
      </c>
      <c r="BR103">
        <f t="shared" si="51"/>
        <v>0</v>
      </c>
      <c r="BS103">
        <f t="shared" si="51"/>
        <v>0</v>
      </c>
      <c r="BT103">
        <f t="shared" ref="BT103:BY103" si="52">BT22</f>
        <v>0</v>
      </c>
      <c r="BU103">
        <f t="shared" si="52"/>
        <v>0</v>
      </c>
      <c r="BV103">
        <f t="shared" si="52"/>
        <v>0</v>
      </c>
      <c r="BW103">
        <f t="shared" si="52"/>
        <v>0</v>
      </c>
      <c r="BX103">
        <f t="shared" si="52"/>
        <v>0</v>
      </c>
      <c r="BY103">
        <f t="shared" si="52"/>
        <v>0</v>
      </c>
    </row>
    <row r="104" spans="1:77" ht="15" customHeight="1">
      <c r="A104">
        <f t="shared" si="9"/>
        <v>22</v>
      </c>
      <c r="B104" t="str">
        <f t="shared" si="42"/>
        <v>RM000162</v>
      </c>
      <c r="C104" t="str">
        <f t="shared" si="42"/>
        <v>Protein Atta</v>
      </c>
      <c r="D104" t="str">
        <f t="shared" si="42"/>
        <v>MIND/Pre-Production</v>
      </c>
      <c r="E104" t="str">
        <f t="shared" si="42"/>
        <v>Raw Soyabean</v>
      </c>
      <c r="F104" s="102">
        <f t="shared" si="42"/>
        <v>16433</v>
      </c>
      <c r="G104">
        <f t="shared" si="42"/>
        <v>0</v>
      </c>
      <c r="H104" s="102">
        <f t="shared" si="42"/>
        <v>-16433</v>
      </c>
      <c r="I104" s="101">
        <f t="shared" si="42"/>
        <v>0</v>
      </c>
      <c r="J104">
        <f t="shared" si="42"/>
        <v>0</v>
      </c>
      <c r="K104">
        <f t="shared" si="42"/>
        <v>0</v>
      </c>
      <c r="L104">
        <f t="shared" si="42"/>
        <v>0</v>
      </c>
      <c r="M104">
        <f t="shared" si="42"/>
        <v>5000</v>
      </c>
      <c r="N104">
        <f t="shared" si="42"/>
        <v>0</v>
      </c>
      <c r="O104">
        <f t="shared" si="42"/>
        <v>0</v>
      </c>
      <c r="P104">
        <f t="shared" si="42"/>
        <v>0</v>
      </c>
      <c r="Q104">
        <f t="shared" si="42"/>
        <v>0</v>
      </c>
      <c r="R104">
        <f t="shared" si="42"/>
        <v>0</v>
      </c>
      <c r="S104">
        <f t="shared" si="42"/>
        <v>0</v>
      </c>
      <c r="T104">
        <f t="shared" si="42"/>
        <v>0</v>
      </c>
      <c r="U104">
        <f t="shared" si="42"/>
        <v>0</v>
      </c>
      <c r="V104">
        <f t="shared" si="42"/>
        <v>0</v>
      </c>
      <c r="W104">
        <f t="shared" si="42"/>
        <v>0</v>
      </c>
      <c r="X104">
        <f t="shared" si="42"/>
        <v>0</v>
      </c>
      <c r="Y104">
        <f t="shared" si="42"/>
        <v>0</v>
      </c>
      <c r="Z104">
        <f t="shared" si="42"/>
        <v>0</v>
      </c>
      <c r="AA104">
        <f t="shared" si="42"/>
        <v>0</v>
      </c>
      <c r="AB104">
        <f t="shared" si="42"/>
        <v>0</v>
      </c>
      <c r="AC104">
        <f t="shared" si="42"/>
        <v>0</v>
      </c>
      <c r="AD104">
        <f t="shared" si="42"/>
        <v>0</v>
      </c>
      <c r="AE104">
        <f t="shared" si="42"/>
        <v>0</v>
      </c>
      <c r="AF104">
        <f t="shared" si="42"/>
        <v>0</v>
      </c>
      <c r="AG104">
        <f t="shared" si="42"/>
        <v>0</v>
      </c>
      <c r="AH104">
        <f t="shared" si="42"/>
        <v>0</v>
      </c>
      <c r="AI104">
        <f t="shared" si="42"/>
        <v>0</v>
      </c>
      <c r="AJ104">
        <f t="shared" si="42"/>
        <v>0</v>
      </c>
      <c r="AK104">
        <f t="shared" si="42"/>
        <v>0</v>
      </c>
      <c r="AL104">
        <f t="shared" si="42"/>
        <v>0</v>
      </c>
      <c r="AM104">
        <f t="shared" si="42"/>
        <v>0</v>
      </c>
      <c r="AN104">
        <f t="shared" si="42"/>
        <v>0</v>
      </c>
      <c r="AO104">
        <f t="shared" ref="AO104:BS104" si="53">AO23</f>
        <v>0</v>
      </c>
      <c r="AP104">
        <f t="shared" si="53"/>
        <v>0</v>
      </c>
      <c r="AQ104">
        <f t="shared" si="53"/>
        <v>0</v>
      </c>
      <c r="AR104">
        <f t="shared" si="53"/>
        <v>0</v>
      </c>
      <c r="AS104">
        <f t="shared" si="53"/>
        <v>0</v>
      </c>
      <c r="AT104">
        <f t="shared" si="53"/>
        <v>0</v>
      </c>
      <c r="AU104">
        <f t="shared" si="53"/>
        <v>0</v>
      </c>
      <c r="AV104">
        <f t="shared" si="53"/>
        <v>0</v>
      </c>
      <c r="AW104">
        <f t="shared" si="53"/>
        <v>0</v>
      </c>
      <c r="AX104">
        <f t="shared" si="53"/>
        <v>0</v>
      </c>
      <c r="AY104">
        <f t="shared" si="53"/>
        <v>0</v>
      </c>
      <c r="AZ104">
        <f t="shared" si="53"/>
        <v>0</v>
      </c>
      <c r="BA104">
        <f t="shared" si="53"/>
        <v>0</v>
      </c>
      <c r="BB104">
        <f t="shared" si="53"/>
        <v>0</v>
      </c>
      <c r="BC104">
        <f t="shared" si="53"/>
        <v>0</v>
      </c>
      <c r="BD104">
        <f t="shared" si="53"/>
        <v>0</v>
      </c>
      <c r="BE104">
        <f t="shared" si="53"/>
        <v>0</v>
      </c>
      <c r="BF104">
        <f t="shared" si="53"/>
        <v>0</v>
      </c>
      <c r="BG104">
        <f t="shared" si="53"/>
        <v>0</v>
      </c>
      <c r="BH104">
        <f t="shared" si="53"/>
        <v>0</v>
      </c>
      <c r="BI104">
        <f t="shared" si="53"/>
        <v>0</v>
      </c>
      <c r="BJ104">
        <f t="shared" si="53"/>
        <v>0</v>
      </c>
      <c r="BK104">
        <f t="shared" si="53"/>
        <v>0</v>
      </c>
      <c r="BL104">
        <f t="shared" si="53"/>
        <v>0</v>
      </c>
      <c r="BM104">
        <f t="shared" si="53"/>
        <v>0</v>
      </c>
      <c r="BN104">
        <f t="shared" si="53"/>
        <v>0</v>
      </c>
      <c r="BO104">
        <f t="shared" si="53"/>
        <v>0</v>
      </c>
      <c r="BP104">
        <f t="shared" si="53"/>
        <v>0</v>
      </c>
      <c r="BQ104">
        <f t="shared" si="53"/>
        <v>0</v>
      </c>
      <c r="BR104">
        <f t="shared" si="53"/>
        <v>0</v>
      </c>
      <c r="BS104">
        <f t="shared" si="53"/>
        <v>0</v>
      </c>
      <c r="BT104">
        <f t="shared" ref="BT104:BY104" si="54">BT23</f>
        <v>0</v>
      </c>
      <c r="BU104">
        <f t="shared" si="54"/>
        <v>0</v>
      </c>
      <c r="BV104">
        <f t="shared" si="54"/>
        <v>0</v>
      </c>
      <c r="BW104">
        <f t="shared" si="54"/>
        <v>0</v>
      </c>
      <c r="BX104">
        <f t="shared" si="54"/>
        <v>0</v>
      </c>
      <c r="BY104">
        <f t="shared" si="54"/>
        <v>0</v>
      </c>
    </row>
    <row r="105" spans="1:77" ht="15" customHeight="1">
      <c r="A105">
        <f t="shared" si="9"/>
        <v>23</v>
      </c>
      <c r="B105" t="str">
        <f t="shared" si="42"/>
        <v>RM000235</v>
      </c>
      <c r="C105" t="str">
        <f t="shared" ref="B105:AN110" si="55">C24</f>
        <v>Protein Atta</v>
      </c>
      <c r="D105" t="str">
        <f t="shared" si="55"/>
        <v>MIND/Pre-Production</v>
      </c>
      <c r="E105" t="str">
        <f t="shared" si="55"/>
        <v>Soy Protein Isolate</v>
      </c>
      <c r="F105" s="102">
        <f t="shared" si="55"/>
        <v>0</v>
      </c>
      <c r="G105">
        <f t="shared" si="42"/>
        <v>0</v>
      </c>
      <c r="H105" s="102">
        <f t="shared" si="42"/>
        <v>0</v>
      </c>
      <c r="I105" s="101">
        <f t="shared" si="42"/>
        <v>0</v>
      </c>
      <c r="J105">
        <f t="shared" si="55"/>
        <v>0</v>
      </c>
      <c r="K105">
        <f t="shared" si="55"/>
        <v>0</v>
      </c>
      <c r="L105">
        <f t="shared" si="55"/>
        <v>0</v>
      </c>
      <c r="M105">
        <f t="shared" si="55"/>
        <v>0</v>
      </c>
      <c r="N105">
        <f t="shared" si="55"/>
        <v>0</v>
      </c>
      <c r="O105">
        <f t="shared" si="55"/>
        <v>0</v>
      </c>
      <c r="P105">
        <f t="shared" si="55"/>
        <v>0</v>
      </c>
      <c r="Q105">
        <f t="shared" si="55"/>
        <v>0</v>
      </c>
      <c r="R105">
        <f t="shared" si="55"/>
        <v>0</v>
      </c>
      <c r="S105">
        <f t="shared" si="55"/>
        <v>0</v>
      </c>
      <c r="T105">
        <f t="shared" si="55"/>
        <v>1000</v>
      </c>
      <c r="U105">
        <f t="shared" si="55"/>
        <v>1000</v>
      </c>
      <c r="V105">
        <f t="shared" si="55"/>
        <v>0</v>
      </c>
      <c r="W105">
        <f t="shared" si="55"/>
        <v>0</v>
      </c>
      <c r="X105">
        <f t="shared" si="55"/>
        <v>0</v>
      </c>
      <c r="Y105">
        <f t="shared" si="55"/>
        <v>0</v>
      </c>
      <c r="Z105">
        <f t="shared" si="55"/>
        <v>0</v>
      </c>
      <c r="AA105">
        <f t="shared" si="55"/>
        <v>0</v>
      </c>
      <c r="AB105">
        <f t="shared" si="55"/>
        <v>0</v>
      </c>
      <c r="AC105">
        <f t="shared" si="55"/>
        <v>960</v>
      </c>
      <c r="AD105">
        <f t="shared" si="55"/>
        <v>0</v>
      </c>
      <c r="AE105">
        <f t="shared" si="55"/>
        <v>0</v>
      </c>
      <c r="AF105">
        <f t="shared" si="55"/>
        <v>0</v>
      </c>
      <c r="AG105">
        <f t="shared" si="55"/>
        <v>0</v>
      </c>
      <c r="AH105">
        <f t="shared" si="55"/>
        <v>0</v>
      </c>
      <c r="AI105">
        <f t="shared" si="55"/>
        <v>0</v>
      </c>
      <c r="AJ105">
        <f t="shared" si="55"/>
        <v>0</v>
      </c>
      <c r="AK105">
        <f t="shared" si="55"/>
        <v>0</v>
      </c>
      <c r="AL105">
        <f t="shared" si="55"/>
        <v>0</v>
      </c>
      <c r="AM105">
        <f t="shared" si="55"/>
        <v>0</v>
      </c>
      <c r="AN105">
        <f t="shared" si="55"/>
        <v>0</v>
      </c>
      <c r="AO105">
        <f t="shared" ref="AO105:BS105" si="56">AO24</f>
        <v>0</v>
      </c>
      <c r="AP105">
        <f t="shared" si="56"/>
        <v>0</v>
      </c>
      <c r="AQ105">
        <f t="shared" si="56"/>
        <v>0</v>
      </c>
      <c r="AR105">
        <f t="shared" si="56"/>
        <v>0</v>
      </c>
      <c r="AS105">
        <f t="shared" si="56"/>
        <v>0</v>
      </c>
      <c r="AT105">
        <f t="shared" si="56"/>
        <v>0</v>
      </c>
      <c r="AU105">
        <f t="shared" si="56"/>
        <v>0</v>
      </c>
      <c r="AV105">
        <f t="shared" si="56"/>
        <v>0</v>
      </c>
      <c r="AW105">
        <f t="shared" si="56"/>
        <v>0</v>
      </c>
      <c r="AX105">
        <f t="shared" si="56"/>
        <v>0</v>
      </c>
      <c r="AY105">
        <f t="shared" si="56"/>
        <v>0</v>
      </c>
      <c r="AZ105">
        <f t="shared" si="56"/>
        <v>0</v>
      </c>
      <c r="BA105">
        <f t="shared" si="56"/>
        <v>0</v>
      </c>
      <c r="BB105">
        <f t="shared" si="56"/>
        <v>0</v>
      </c>
      <c r="BC105">
        <f t="shared" si="56"/>
        <v>0</v>
      </c>
      <c r="BD105">
        <f t="shared" si="56"/>
        <v>0</v>
      </c>
      <c r="BE105">
        <f t="shared" si="56"/>
        <v>0</v>
      </c>
      <c r="BF105">
        <f t="shared" si="56"/>
        <v>0</v>
      </c>
      <c r="BG105">
        <f t="shared" si="56"/>
        <v>0</v>
      </c>
      <c r="BH105">
        <f t="shared" si="56"/>
        <v>0</v>
      </c>
      <c r="BI105">
        <f t="shared" si="56"/>
        <v>0</v>
      </c>
      <c r="BJ105">
        <f t="shared" si="56"/>
        <v>0</v>
      </c>
      <c r="BK105">
        <f t="shared" si="56"/>
        <v>0</v>
      </c>
      <c r="BL105">
        <f t="shared" si="56"/>
        <v>0</v>
      </c>
      <c r="BM105">
        <f t="shared" si="56"/>
        <v>0</v>
      </c>
      <c r="BN105">
        <f t="shared" si="56"/>
        <v>0</v>
      </c>
      <c r="BO105">
        <f t="shared" si="56"/>
        <v>0</v>
      </c>
      <c r="BP105">
        <f t="shared" si="56"/>
        <v>0</v>
      </c>
      <c r="BQ105">
        <f t="shared" si="56"/>
        <v>0</v>
      </c>
      <c r="BR105">
        <f t="shared" si="56"/>
        <v>0</v>
      </c>
      <c r="BS105">
        <f t="shared" si="56"/>
        <v>0</v>
      </c>
      <c r="BT105">
        <f t="shared" ref="BT105:BY105" si="57">BT24</f>
        <v>0</v>
      </c>
      <c r="BU105">
        <f t="shared" si="57"/>
        <v>0</v>
      </c>
      <c r="BV105">
        <f t="shared" si="57"/>
        <v>0</v>
      </c>
      <c r="BW105">
        <f t="shared" si="57"/>
        <v>0</v>
      </c>
      <c r="BX105">
        <f t="shared" si="57"/>
        <v>0</v>
      </c>
      <c r="BY105">
        <f t="shared" si="57"/>
        <v>0</v>
      </c>
    </row>
    <row r="106" spans="1:77" ht="15" customHeight="1">
      <c r="A106">
        <f t="shared" si="9"/>
        <v>24</v>
      </c>
      <c r="B106" t="str">
        <f t="shared" si="55"/>
        <v>RM000133</v>
      </c>
      <c r="C106" t="str">
        <f t="shared" si="55"/>
        <v>Other Atta</v>
      </c>
      <c r="D106" t="str">
        <f t="shared" si="55"/>
        <v>MIND/Pre-Production</v>
      </c>
      <c r="E106" t="str">
        <f t="shared" si="55"/>
        <v>Jowar Grains</v>
      </c>
      <c r="F106" s="102">
        <f t="shared" si="55"/>
        <v>0</v>
      </c>
      <c r="G106">
        <f t="shared" si="55"/>
        <v>0</v>
      </c>
      <c r="H106" s="102">
        <f t="shared" si="55"/>
        <v>0</v>
      </c>
      <c r="I106" s="101">
        <f t="shared" si="55"/>
        <v>0</v>
      </c>
      <c r="J106">
        <f t="shared" si="55"/>
        <v>0</v>
      </c>
      <c r="K106">
        <f t="shared" si="55"/>
        <v>0</v>
      </c>
      <c r="L106">
        <f t="shared" si="55"/>
        <v>0</v>
      </c>
      <c r="M106">
        <f t="shared" si="55"/>
        <v>5150</v>
      </c>
      <c r="N106">
        <f t="shared" si="55"/>
        <v>0</v>
      </c>
      <c r="O106">
        <f t="shared" si="55"/>
        <v>0</v>
      </c>
      <c r="P106">
        <f t="shared" si="55"/>
        <v>0</v>
      </c>
      <c r="Q106">
        <f t="shared" si="55"/>
        <v>0</v>
      </c>
      <c r="R106">
        <f t="shared" si="55"/>
        <v>0</v>
      </c>
      <c r="S106">
        <f t="shared" si="55"/>
        <v>0</v>
      </c>
      <c r="T106">
        <f t="shared" si="55"/>
        <v>0</v>
      </c>
      <c r="U106">
        <f t="shared" si="55"/>
        <v>0</v>
      </c>
      <c r="V106">
        <f t="shared" si="55"/>
        <v>0</v>
      </c>
      <c r="W106">
        <f t="shared" si="55"/>
        <v>0</v>
      </c>
      <c r="X106">
        <f t="shared" si="55"/>
        <v>0</v>
      </c>
      <c r="Y106">
        <f t="shared" si="55"/>
        <v>0</v>
      </c>
      <c r="Z106">
        <f t="shared" si="55"/>
        <v>0</v>
      </c>
      <c r="AA106">
        <f t="shared" si="55"/>
        <v>0</v>
      </c>
      <c r="AB106">
        <f t="shared" si="55"/>
        <v>0</v>
      </c>
      <c r="AC106">
        <f t="shared" si="55"/>
        <v>0</v>
      </c>
      <c r="AD106">
        <f t="shared" si="55"/>
        <v>0</v>
      </c>
      <c r="AE106">
        <f t="shared" si="55"/>
        <v>0</v>
      </c>
      <c r="AF106">
        <f t="shared" si="55"/>
        <v>0</v>
      </c>
      <c r="AG106">
        <f t="shared" si="55"/>
        <v>0</v>
      </c>
      <c r="AH106">
        <f t="shared" si="55"/>
        <v>0</v>
      </c>
      <c r="AI106">
        <f t="shared" si="55"/>
        <v>0</v>
      </c>
      <c r="AJ106">
        <f t="shared" si="55"/>
        <v>5850</v>
      </c>
      <c r="AK106">
        <f t="shared" si="55"/>
        <v>0</v>
      </c>
      <c r="AL106">
        <f t="shared" si="55"/>
        <v>0</v>
      </c>
      <c r="AM106">
        <f t="shared" si="55"/>
        <v>0</v>
      </c>
      <c r="AN106">
        <f t="shared" si="55"/>
        <v>0</v>
      </c>
      <c r="AO106">
        <f t="shared" ref="AO106:BS106" si="58">AO25</f>
        <v>0</v>
      </c>
      <c r="AP106">
        <f t="shared" si="58"/>
        <v>0</v>
      </c>
      <c r="AQ106">
        <f t="shared" si="58"/>
        <v>0</v>
      </c>
      <c r="AR106">
        <f t="shared" si="58"/>
        <v>0</v>
      </c>
      <c r="AS106">
        <f t="shared" si="58"/>
        <v>0</v>
      </c>
      <c r="AT106">
        <f t="shared" si="58"/>
        <v>0</v>
      </c>
      <c r="AU106">
        <f t="shared" si="58"/>
        <v>0</v>
      </c>
      <c r="AV106">
        <f t="shared" si="58"/>
        <v>0</v>
      </c>
      <c r="AW106">
        <f t="shared" si="58"/>
        <v>0</v>
      </c>
      <c r="AX106">
        <f t="shared" si="58"/>
        <v>0</v>
      </c>
      <c r="AY106">
        <f t="shared" si="58"/>
        <v>0</v>
      </c>
      <c r="AZ106">
        <f t="shared" si="58"/>
        <v>0</v>
      </c>
      <c r="BA106">
        <f t="shared" si="58"/>
        <v>0</v>
      </c>
      <c r="BB106">
        <f t="shared" si="58"/>
        <v>0</v>
      </c>
      <c r="BC106">
        <f t="shared" si="58"/>
        <v>0</v>
      </c>
      <c r="BD106">
        <f t="shared" si="58"/>
        <v>0</v>
      </c>
      <c r="BE106">
        <f t="shared" si="58"/>
        <v>0</v>
      </c>
      <c r="BF106">
        <f t="shared" si="58"/>
        <v>0</v>
      </c>
      <c r="BG106">
        <f t="shared" si="58"/>
        <v>0</v>
      </c>
      <c r="BH106">
        <f t="shared" si="58"/>
        <v>0</v>
      </c>
      <c r="BI106">
        <f t="shared" si="58"/>
        <v>0</v>
      </c>
      <c r="BJ106">
        <f t="shared" si="58"/>
        <v>0</v>
      </c>
      <c r="BK106">
        <f t="shared" si="58"/>
        <v>0</v>
      </c>
      <c r="BL106">
        <f t="shared" si="58"/>
        <v>0</v>
      </c>
      <c r="BM106">
        <f t="shared" si="58"/>
        <v>0</v>
      </c>
      <c r="BN106">
        <f t="shared" si="58"/>
        <v>0</v>
      </c>
      <c r="BO106">
        <f t="shared" si="58"/>
        <v>0</v>
      </c>
      <c r="BP106">
        <f t="shared" si="58"/>
        <v>0</v>
      </c>
      <c r="BQ106">
        <f t="shared" si="58"/>
        <v>0</v>
      </c>
      <c r="BR106">
        <f t="shared" si="58"/>
        <v>0</v>
      </c>
      <c r="BS106">
        <f t="shared" si="58"/>
        <v>0</v>
      </c>
      <c r="BT106">
        <f t="shared" ref="BT106:BY106" si="59">BT25</f>
        <v>0</v>
      </c>
      <c r="BU106">
        <f t="shared" si="59"/>
        <v>0</v>
      </c>
      <c r="BV106">
        <f t="shared" si="59"/>
        <v>0</v>
      </c>
      <c r="BW106">
        <f t="shared" si="59"/>
        <v>0</v>
      </c>
      <c r="BX106">
        <f t="shared" si="59"/>
        <v>0</v>
      </c>
      <c r="BY106">
        <f t="shared" si="59"/>
        <v>0</v>
      </c>
    </row>
    <row r="107" spans="1:77" ht="15" customHeight="1">
      <c r="A107">
        <f t="shared" si="9"/>
        <v>25</v>
      </c>
      <c r="B107" t="str">
        <f t="shared" si="55"/>
        <v>RM000080</v>
      </c>
      <c r="C107" t="str">
        <f t="shared" si="55"/>
        <v>Other Atta</v>
      </c>
      <c r="D107" t="str">
        <f t="shared" si="55"/>
        <v>MIND/Pre-Production</v>
      </c>
      <c r="E107" t="str">
        <f t="shared" si="55"/>
        <v>Bajara</v>
      </c>
      <c r="F107" s="102">
        <f t="shared" si="55"/>
        <v>47199.96</v>
      </c>
      <c r="G107">
        <f t="shared" si="55"/>
        <v>0</v>
      </c>
      <c r="H107" s="102">
        <f t="shared" si="55"/>
        <v>-47199.96</v>
      </c>
      <c r="I107" s="101">
        <f t="shared" si="55"/>
        <v>0</v>
      </c>
      <c r="J107">
        <f t="shared" si="55"/>
        <v>0</v>
      </c>
      <c r="K107">
        <f t="shared" si="55"/>
        <v>0</v>
      </c>
      <c r="L107">
        <f t="shared" si="55"/>
        <v>0</v>
      </c>
      <c r="M107">
        <f t="shared" si="55"/>
        <v>0</v>
      </c>
      <c r="N107">
        <f t="shared" si="55"/>
        <v>0</v>
      </c>
      <c r="O107">
        <f t="shared" si="55"/>
        <v>0</v>
      </c>
      <c r="P107">
        <f t="shared" si="55"/>
        <v>0</v>
      </c>
      <c r="Q107">
        <f t="shared" si="55"/>
        <v>0</v>
      </c>
      <c r="R107">
        <f t="shared" si="55"/>
        <v>0</v>
      </c>
      <c r="S107">
        <f t="shared" si="55"/>
        <v>0</v>
      </c>
      <c r="T107">
        <f t="shared" si="55"/>
        <v>0</v>
      </c>
      <c r="U107">
        <f t="shared" si="55"/>
        <v>0</v>
      </c>
      <c r="V107">
        <f t="shared" si="55"/>
        <v>0</v>
      </c>
      <c r="W107">
        <f t="shared" si="55"/>
        <v>0</v>
      </c>
      <c r="X107">
        <f t="shared" si="55"/>
        <v>0</v>
      </c>
      <c r="Y107">
        <f t="shared" si="55"/>
        <v>0</v>
      </c>
      <c r="Z107">
        <f t="shared" si="55"/>
        <v>0</v>
      </c>
      <c r="AA107">
        <f t="shared" si="55"/>
        <v>0</v>
      </c>
      <c r="AB107">
        <f t="shared" si="55"/>
        <v>0</v>
      </c>
      <c r="AC107">
        <f t="shared" si="55"/>
        <v>0</v>
      </c>
      <c r="AD107">
        <f t="shared" si="55"/>
        <v>0</v>
      </c>
      <c r="AE107">
        <f t="shared" si="55"/>
        <v>0</v>
      </c>
      <c r="AF107">
        <f t="shared" si="55"/>
        <v>0</v>
      </c>
      <c r="AG107">
        <f t="shared" si="55"/>
        <v>0</v>
      </c>
      <c r="AH107">
        <f t="shared" si="55"/>
        <v>0</v>
      </c>
      <c r="AI107">
        <f t="shared" si="55"/>
        <v>0</v>
      </c>
      <c r="AJ107">
        <f t="shared" si="55"/>
        <v>0</v>
      </c>
      <c r="AK107">
        <f t="shared" si="55"/>
        <v>0</v>
      </c>
      <c r="AL107">
        <f t="shared" si="55"/>
        <v>0</v>
      </c>
      <c r="AM107">
        <f t="shared" si="55"/>
        <v>0</v>
      </c>
      <c r="AN107">
        <f t="shared" si="55"/>
        <v>0</v>
      </c>
      <c r="AO107">
        <f t="shared" ref="AO107:BS107" si="60">AO26</f>
        <v>0</v>
      </c>
      <c r="AP107">
        <f t="shared" si="60"/>
        <v>0</v>
      </c>
      <c r="AQ107">
        <f t="shared" si="60"/>
        <v>0</v>
      </c>
      <c r="AR107">
        <f t="shared" si="60"/>
        <v>0</v>
      </c>
      <c r="AS107">
        <f t="shared" si="60"/>
        <v>0</v>
      </c>
      <c r="AT107">
        <f t="shared" si="60"/>
        <v>0</v>
      </c>
      <c r="AU107">
        <f t="shared" si="60"/>
        <v>0</v>
      </c>
      <c r="AV107">
        <f t="shared" si="60"/>
        <v>0</v>
      </c>
      <c r="AW107">
        <f t="shared" si="60"/>
        <v>0</v>
      </c>
      <c r="AX107">
        <f t="shared" si="60"/>
        <v>0</v>
      </c>
      <c r="AY107">
        <f t="shared" si="60"/>
        <v>0</v>
      </c>
      <c r="AZ107">
        <f t="shared" si="60"/>
        <v>0</v>
      </c>
      <c r="BA107">
        <f t="shared" si="60"/>
        <v>0</v>
      </c>
      <c r="BB107">
        <f t="shared" si="60"/>
        <v>0</v>
      </c>
      <c r="BC107">
        <f t="shared" si="60"/>
        <v>0</v>
      </c>
      <c r="BD107">
        <f t="shared" si="60"/>
        <v>0</v>
      </c>
      <c r="BE107">
        <f t="shared" si="60"/>
        <v>0</v>
      </c>
      <c r="BF107">
        <f t="shared" si="60"/>
        <v>0</v>
      </c>
      <c r="BG107">
        <f t="shared" si="60"/>
        <v>0</v>
      </c>
      <c r="BH107">
        <f t="shared" si="60"/>
        <v>0</v>
      </c>
      <c r="BI107">
        <f t="shared" si="60"/>
        <v>0</v>
      </c>
      <c r="BJ107">
        <f t="shared" si="60"/>
        <v>0</v>
      </c>
      <c r="BK107">
        <f t="shared" si="60"/>
        <v>0</v>
      </c>
      <c r="BL107">
        <f t="shared" si="60"/>
        <v>0</v>
      </c>
      <c r="BM107">
        <f t="shared" si="60"/>
        <v>0</v>
      </c>
      <c r="BN107">
        <f t="shared" si="60"/>
        <v>0</v>
      </c>
      <c r="BO107">
        <f t="shared" si="60"/>
        <v>0</v>
      </c>
      <c r="BP107">
        <f t="shared" si="60"/>
        <v>0</v>
      </c>
      <c r="BQ107">
        <f t="shared" si="60"/>
        <v>0</v>
      </c>
      <c r="BR107">
        <f t="shared" si="60"/>
        <v>0</v>
      </c>
      <c r="BS107">
        <f t="shared" si="60"/>
        <v>0</v>
      </c>
      <c r="BT107">
        <f t="shared" ref="BT107:BY107" si="61">BT26</f>
        <v>0</v>
      </c>
      <c r="BU107">
        <f t="shared" si="61"/>
        <v>0</v>
      </c>
      <c r="BV107">
        <f t="shared" si="61"/>
        <v>0</v>
      </c>
      <c r="BW107">
        <f t="shared" si="61"/>
        <v>0</v>
      </c>
      <c r="BX107">
        <f t="shared" si="61"/>
        <v>0</v>
      </c>
      <c r="BY107">
        <f t="shared" si="61"/>
        <v>0</v>
      </c>
    </row>
    <row r="108" spans="1:77" ht="15" customHeight="1">
      <c r="A108">
        <f t="shared" si="9"/>
        <v>26</v>
      </c>
      <c r="B108" t="str">
        <f t="shared" si="55"/>
        <v>RM000094</v>
      </c>
      <c r="C108" t="str">
        <f t="shared" si="55"/>
        <v>Other Atta</v>
      </c>
      <c r="D108" t="str">
        <f t="shared" si="55"/>
        <v>C39/Pre-Production</v>
      </c>
      <c r="E108" t="str">
        <f t="shared" si="55"/>
        <v>Khapli Wheat Grains</v>
      </c>
      <c r="F108" s="102" t="str">
        <f t="shared" si="55"/>
        <v>0</v>
      </c>
      <c r="G108">
        <f t="shared" si="55"/>
        <v>15000</v>
      </c>
      <c r="H108" s="102">
        <f t="shared" si="55"/>
        <v>15000</v>
      </c>
      <c r="I108" s="101">
        <f t="shared" si="55"/>
        <v>0</v>
      </c>
      <c r="J108">
        <f t="shared" si="55"/>
        <v>0</v>
      </c>
      <c r="K108">
        <f t="shared" si="55"/>
        <v>0</v>
      </c>
      <c r="L108">
        <f t="shared" si="55"/>
        <v>0</v>
      </c>
      <c r="M108">
        <f t="shared" si="55"/>
        <v>0</v>
      </c>
      <c r="N108">
        <f t="shared" si="55"/>
        <v>24540</v>
      </c>
      <c r="O108">
        <f t="shared" si="55"/>
        <v>0</v>
      </c>
      <c r="P108">
        <f t="shared" si="55"/>
        <v>20000</v>
      </c>
      <c r="Q108">
        <f t="shared" si="55"/>
        <v>0</v>
      </c>
      <c r="R108">
        <f t="shared" si="55"/>
        <v>20000</v>
      </c>
      <c r="S108">
        <f t="shared" si="55"/>
        <v>0</v>
      </c>
      <c r="T108">
        <f t="shared" si="55"/>
        <v>42000</v>
      </c>
      <c r="U108">
        <f t="shared" si="55"/>
        <v>0</v>
      </c>
      <c r="V108">
        <f t="shared" si="55"/>
        <v>0</v>
      </c>
      <c r="W108">
        <f t="shared" si="55"/>
        <v>0</v>
      </c>
      <c r="X108">
        <f t="shared" si="55"/>
        <v>0</v>
      </c>
      <c r="Y108">
        <f t="shared" si="55"/>
        <v>0</v>
      </c>
      <c r="Z108">
        <f t="shared" si="55"/>
        <v>0</v>
      </c>
      <c r="AA108">
        <f t="shared" si="55"/>
        <v>0</v>
      </c>
      <c r="AB108">
        <f t="shared" si="55"/>
        <v>16500</v>
      </c>
      <c r="AC108">
        <f t="shared" si="55"/>
        <v>9000</v>
      </c>
      <c r="AD108">
        <f t="shared" si="55"/>
        <v>0</v>
      </c>
      <c r="AE108">
        <f t="shared" si="55"/>
        <v>0</v>
      </c>
      <c r="AF108">
        <f t="shared" si="55"/>
        <v>10000</v>
      </c>
      <c r="AG108">
        <f t="shared" si="55"/>
        <v>0</v>
      </c>
      <c r="AH108">
        <f t="shared" si="55"/>
        <v>22000</v>
      </c>
      <c r="AI108">
        <f t="shared" si="55"/>
        <v>0</v>
      </c>
      <c r="AJ108">
        <f t="shared" si="55"/>
        <v>0</v>
      </c>
      <c r="AK108">
        <f t="shared" si="55"/>
        <v>0</v>
      </c>
      <c r="AL108">
        <f t="shared" si="55"/>
        <v>0</v>
      </c>
      <c r="AM108">
        <f t="shared" si="55"/>
        <v>0</v>
      </c>
      <c r="AN108">
        <f t="shared" si="55"/>
        <v>0</v>
      </c>
      <c r="AO108">
        <f t="shared" ref="AO108:BS108" si="62">AO27</f>
        <v>0</v>
      </c>
      <c r="AP108">
        <f t="shared" si="62"/>
        <v>0</v>
      </c>
      <c r="AQ108">
        <f t="shared" si="62"/>
        <v>0</v>
      </c>
      <c r="AR108">
        <f t="shared" si="62"/>
        <v>0</v>
      </c>
      <c r="AS108">
        <f t="shared" si="62"/>
        <v>0</v>
      </c>
      <c r="AT108">
        <f t="shared" si="62"/>
        <v>0</v>
      </c>
      <c r="AU108">
        <f t="shared" si="62"/>
        <v>16850</v>
      </c>
      <c r="AV108">
        <f t="shared" si="62"/>
        <v>15000</v>
      </c>
      <c r="AW108">
        <f t="shared" si="62"/>
        <v>0</v>
      </c>
      <c r="AX108">
        <f t="shared" si="62"/>
        <v>0</v>
      </c>
      <c r="AY108">
        <f t="shared" si="62"/>
        <v>0</v>
      </c>
      <c r="AZ108">
        <f t="shared" si="62"/>
        <v>0</v>
      </c>
      <c r="BA108">
        <f t="shared" si="62"/>
        <v>0</v>
      </c>
      <c r="BB108">
        <f t="shared" si="62"/>
        <v>0</v>
      </c>
      <c r="BC108">
        <f t="shared" si="62"/>
        <v>0</v>
      </c>
      <c r="BD108">
        <f t="shared" si="62"/>
        <v>0</v>
      </c>
      <c r="BE108">
        <f t="shared" si="62"/>
        <v>0</v>
      </c>
      <c r="BF108">
        <f t="shared" si="62"/>
        <v>0</v>
      </c>
      <c r="BG108">
        <f t="shared" si="62"/>
        <v>0</v>
      </c>
      <c r="BH108">
        <f t="shared" si="62"/>
        <v>0</v>
      </c>
      <c r="BI108">
        <f t="shared" si="62"/>
        <v>0</v>
      </c>
      <c r="BJ108">
        <f t="shared" si="62"/>
        <v>0</v>
      </c>
      <c r="BK108">
        <f t="shared" si="62"/>
        <v>0</v>
      </c>
      <c r="BL108">
        <f t="shared" si="62"/>
        <v>0</v>
      </c>
      <c r="BM108">
        <f t="shared" si="62"/>
        <v>0</v>
      </c>
      <c r="BN108">
        <f t="shared" si="62"/>
        <v>0</v>
      </c>
      <c r="BO108">
        <f t="shared" si="62"/>
        <v>0</v>
      </c>
      <c r="BP108">
        <f t="shared" si="62"/>
        <v>0</v>
      </c>
      <c r="BQ108">
        <f t="shared" si="62"/>
        <v>0</v>
      </c>
      <c r="BR108">
        <f t="shared" si="62"/>
        <v>0</v>
      </c>
      <c r="BS108">
        <f t="shared" si="62"/>
        <v>0</v>
      </c>
      <c r="BT108">
        <f t="shared" ref="BT108:BY108" si="63">BT27</f>
        <v>0</v>
      </c>
      <c r="BU108">
        <f t="shared" si="63"/>
        <v>0</v>
      </c>
      <c r="BV108">
        <f t="shared" si="63"/>
        <v>0</v>
      </c>
      <c r="BW108">
        <f t="shared" si="63"/>
        <v>0</v>
      </c>
      <c r="BX108">
        <f t="shared" si="63"/>
        <v>0</v>
      </c>
      <c r="BY108">
        <f t="shared" si="63"/>
        <v>0</v>
      </c>
    </row>
    <row r="109" spans="1:77" ht="15" customHeight="1">
      <c r="A109">
        <f t="shared" si="9"/>
        <v>27</v>
      </c>
      <c r="B109" t="str">
        <f t="shared" si="55"/>
        <v>RM000072</v>
      </c>
      <c r="C109" t="str">
        <f t="shared" si="55"/>
        <v>Other Atta</v>
      </c>
      <c r="D109" t="str">
        <f t="shared" si="55"/>
        <v>C39/Pre-Production</v>
      </c>
      <c r="E109" t="str">
        <f t="shared" si="55"/>
        <v>Harbara Dal</v>
      </c>
      <c r="F109" s="102">
        <f t="shared" si="55"/>
        <v>242.52000000000041</v>
      </c>
      <c r="G109">
        <f t="shared" si="55"/>
        <v>0</v>
      </c>
      <c r="H109" s="102">
        <f t="shared" si="55"/>
        <v>-242.52000000000041</v>
      </c>
      <c r="I109" s="101">
        <f t="shared" si="55"/>
        <v>0</v>
      </c>
      <c r="J109">
        <f t="shared" si="55"/>
        <v>0</v>
      </c>
      <c r="K109">
        <f t="shared" si="55"/>
        <v>0</v>
      </c>
      <c r="L109">
        <f t="shared" si="55"/>
        <v>0</v>
      </c>
      <c r="M109">
        <f t="shared" si="55"/>
        <v>0</v>
      </c>
      <c r="N109">
        <f t="shared" si="55"/>
        <v>0</v>
      </c>
      <c r="O109">
        <f t="shared" si="55"/>
        <v>0</v>
      </c>
      <c r="P109">
        <f t="shared" si="55"/>
        <v>0</v>
      </c>
      <c r="Q109">
        <f t="shared" si="55"/>
        <v>3000</v>
      </c>
      <c r="R109">
        <f t="shared" si="55"/>
        <v>0</v>
      </c>
      <c r="S109">
        <f t="shared" si="55"/>
        <v>0</v>
      </c>
      <c r="T109">
        <f t="shared" si="55"/>
        <v>0</v>
      </c>
      <c r="U109">
        <f t="shared" si="55"/>
        <v>2500</v>
      </c>
      <c r="V109">
        <f t="shared" si="55"/>
        <v>0</v>
      </c>
      <c r="W109">
        <f t="shared" si="55"/>
        <v>0</v>
      </c>
      <c r="X109">
        <f t="shared" si="55"/>
        <v>0</v>
      </c>
      <c r="Y109">
        <f t="shared" si="55"/>
        <v>0</v>
      </c>
      <c r="Z109">
        <f t="shared" si="55"/>
        <v>0</v>
      </c>
      <c r="AA109">
        <f t="shared" si="55"/>
        <v>2250</v>
      </c>
      <c r="AB109">
        <f t="shared" si="55"/>
        <v>0</v>
      </c>
      <c r="AC109">
        <f t="shared" si="55"/>
        <v>0</v>
      </c>
      <c r="AD109">
        <f t="shared" si="55"/>
        <v>0</v>
      </c>
      <c r="AE109">
        <f t="shared" si="55"/>
        <v>0</v>
      </c>
      <c r="AF109">
        <f t="shared" si="55"/>
        <v>0</v>
      </c>
      <c r="AG109">
        <f t="shared" si="55"/>
        <v>0</v>
      </c>
      <c r="AH109">
        <f t="shared" si="55"/>
        <v>0</v>
      </c>
      <c r="AI109">
        <f t="shared" si="55"/>
        <v>0</v>
      </c>
      <c r="AJ109">
        <f t="shared" si="55"/>
        <v>0</v>
      </c>
      <c r="AK109">
        <f t="shared" si="55"/>
        <v>0</v>
      </c>
      <c r="AL109">
        <f t="shared" si="55"/>
        <v>0</v>
      </c>
      <c r="AM109">
        <f t="shared" si="55"/>
        <v>0</v>
      </c>
      <c r="AN109">
        <f t="shared" si="55"/>
        <v>0</v>
      </c>
      <c r="AO109">
        <f t="shared" ref="AO109:BS109" si="64">AO28</f>
        <v>0</v>
      </c>
      <c r="AP109">
        <f t="shared" si="64"/>
        <v>0</v>
      </c>
      <c r="AQ109">
        <f t="shared" si="64"/>
        <v>0</v>
      </c>
      <c r="AR109">
        <f t="shared" si="64"/>
        <v>0</v>
      </c>
      <c r="AS109">
        <f t="shared" si="64"/>
        <v>0</v>
      </c>
      <c r="AT109">
        <f t="shared" si="64"/>
        <v>0</v>
      </c>
      <c r="AU109">
        <f t="shared" si="64"/>
        <v>0</v>
      </c>
      <c r="AV109">
        <f t="shared" si="64"/>
        <v>0</v>
      </c>
      <c r="AW109">
        <f t="shared" si="64"/>
        <v>0</v>
      </c>
      <c r="AX109">
        <f t="shared" si="64"/>
        <v>0</v>
      </c>
      <c r="AY109">
        <f t="shared" si="64"/>
        <v>0</v>
      </c>
      <c r="AZ109">
        <f t="shared" si="64"/>
        <v>0</v>
      </c>
      <c r="BA109">
        <f t="shared" si="64"/>
        <v>0</v>
      </c>
      <c r="BB109">
        <f t="shared" si="64"/>
        <v>0</v>
      </c>
      <c r="BC109">
        <f t="shared" si="64"/>
        <v>0</v>
      </c>
      <c r="BD109">
        <f t="shared" si="64"/>
        <v>0</v>
      </c>
      <c r="BE109">
        <f t="shared" si="64"/>
        <v>0</v>
      </c>
      <c r="BF109">
        <f t="shared" si="64"/>
        <v>0</v>
      </c>
      <c r="BG109">
        <f t="shared" si="64"/>
        <v>0</v>
      </c>
      <c r="BH109">
        <f t="shared" si="64"/>
        <v>0</v>
      </c>
      <c r="BI109">
        <f t="shared" si="64"/>
        <v>0</v>
      </c>
      <c r="BJ109">
        <f t="shared" si="64"/>
        <v>0</v>
      </c>
      <c r="BK109">
        <f t="shared" si="64"/>
        <v>0</v>
      </c>
      <c r="BL109">
        <f t="shared" si="64"/>
        <v>0</v>
      </c>
      <c r="BM109">
        <f t="shared" si="64"/>
        <v>0</v>
      </c>
      <c r="BN109">
        <f t="shared" si="64"/>
        <v>0</v>
      </c>
      <c r="BO109">
        <f t="shared" si="64"/>
        <v>0</v>
      </c>
      <c r="BP109">
        <f t="shared" si="64"/>
        <v>0</v>
      </c>
      <c r="BQ109">
        <f t="shared" si="64"/>
        <v>0</v>
      </c>
      <c r="BR109">
        <f t="shared" si="64"/>
        <v>0</v>
      </c>
      <c r="BS109">
        <f t="shared" si="64"/>
        <v>0</v>
      </c>
      <c r="BT109">
        <f t="shared" ref="BT109:BY109" si="65">BT28</f>
        <v>0</v>
      </c>
      <c r="BU109">
        <f t="shared" si="65"/>
        <v>0</v>
      </c>
      <c r="BV109">
        <f t="shared" si="65"/>
        <v>0</v>
      </c>
      <c r="BW109">
        <f t="shared" si="65"/>
        <v>0</v>
      </c>
      <c r="BX109">
        <f t="shared" si="65"/>
        <v>0</v>
      </c>
      <c r="BY109">
        <f t="shared" si="65"/>
        <v>0</v>
      </c>
    </row>
    <row r="110" spans="1:77" ht="15" customHeight="1">
      <c r="A110">
        <f t="shared" si="9"/>
        <v>28</v>
      </c>
      <c r="B110" t="str">
        <f t="shared" si="55"/>
        <v>RM000069</v>
      </c>
      <c r="C110" t="str">
        <f t="shared" si="55"/>
        <v>Oil</v>
      </c>
      <c r="D110" t="str">
        <f t="shared" si="55"/>
        <v>MIND/Pre-Production</v>
      </c>
      <c r="E110" t="str">
        <f t="shared" si="55"/>
        <v>Groundnut Whole</v>
      </c>
      <c r="F110" s="102">
        <f t="shared" si="55"/>
        <v>0</v>
      </c>
      <c r="G110">
        <f t="shared" si="55"/>
        <v>0</v>
      </c>
      <c r="H110" s="102">
        <f t="shared" si="55"/>
        <v>0</v>
      </c>
      <c r="I110" s="101">
        <f t="shared" si="55"/>
        <v>0</v>
      </c>
      <c r="J110">
        <f t="shared" si="55"/>
        <v>0</v>
      </c>
      <c r="K110">
        <f t="shared" si="55"/>
        <v>0</v>
      </c>
      <c r="L110">
        <f t="shared" si="55"/>
        <v>0</v>
      </c>
      <c r="M110">
        <f t="shared" si="55"/>
        <v>0</v>
      </c>
      <c r="N110">
        <f t="shared" si="55"/>
        <v>0</v>
      </c>
      <c r="O110">
        <f t="shared" si="55"/>
        <v>0</v>
      </c>
      <c r="P110">
        <f t="shared" si="55"/>
        <v>0</v>
      </c>
      <c r="Q110">
        <f t="shared" si="55"/>
        <v>0</v>
      </c>
      <c r="R110">
        <f t="shared" si="55"/>
        <v>0</v>
      </c>
      <c r="S110">
        <f t="shared" si="55"/>
        <v>0</v>
      </c>
      <c r="T110">
        <f t="shared" si="55"/>
        <v>0</v>
      </c>
      <c r="U110">
        <f t="shared" si="55"/>
        <v>0</v>
      </c>
      <c r="V110">
        <f t="shared" si="55"/>
        <v>0</v>
      </c>
      <c r="W110">
        <f t="shared" si="55"/>
        <v>0</v>
      </c>
      <c r="X110">
        <f t="shared" ref="B110:AN115" si="66">X29</f>
        <v>0</v>
      </c>
      <c r="Y110">
        <f t="shared" si="66"/>
        <v>0</v>
      </c>
      <c r="Z110">
        <f t="shared" si="66"/>
        <v>0</v>
      </c>
      <c r="AA110">
        <f t="shared" si="66"/>
        <v>0</v>
      </c>
      <c r="AB110">
        <f t="shared" si="66"/>
        <v>0</v>
      </c>
      <c r="AC110">
        <f t="shared" si="66"/>
        <v>0</v>
      </c>
      <c r="AD110">
        <f t="shared" si="66"/>
        <v>0</v>
      </c>
      <c r="AE110">
        <f t="shared" si="66"/>
        <v>0</v>
      </c>
      <c r="AF110">
        <f t="shared" si="66"/>
        <v>0</v>
      </c>
      <c r="AG110">
        <f t="shared" si="66"/>
        <v>0</v>
      </c>
      <c r="AH110">
        <f t="shared" si="66"/>
        <v>0</v>
      </c>
      <c r="AI110">
        <f t="shared" si="66"/>
        <v>0</v>
      </c>
      <c r="AJ110">
        <f t="shared" si="66"/>
        <v>0</v>
      </c>
      <c r="AK110">
        <f t="shared" si="66"/>
        <v>0</v>
      </c>
      <c r="AL110">
        <f t="shared" si="66"/>
        <v>0</v>
      </c>
      <c r="AM110">
        <f t="shared" si="66"/>
        <v>0</v>
      </c>
      <c r="AN110">
        <f t="shared" si="66"/>
        <v>0</v>
      </c>
      <c r="AO110">
        <f t="shared" ref="AO110:BS110" si="67">AO29</f>
        <v>0</v>
      </c>
      <c r="AP110">
        <f t="shared" si="67"/>
        <v>0</v>
      </c>
      <c r="AQ110">
        <f t="shared" si="67"/>
        <v>0</v>
      </c>
      <c r="AR110">
        <f t="shared" si="67"/>
        <v>0</v>
      </c>
      <c r="AS110">
        <f t="shared" si="67"/>
        <v>0</v>
      </c>
      <c r="AT110">
        <f t="shared" si="67"/>
        <v>0</v>
      </c>
      <c r="AU110">
        <f t="shared" si="67"/>
        <v>0</v>
      </c>
      <c r="AV110">
        <f t="shared" si="67"/>
        <v>0</v>
      </c>
      <c r="AW110">
        <f t="shared" si="67"/>
        <v>0</v>
      </c>
      <c r="AX110">
        <f t="shared" si="67"/>
        <v>0</v>
      </c>
      <c r="AY110">
        <f t="shared" si="67"/>
        <v>0</v>
      </c>
      <c r="AZ110">
        <f t="shared" si="67"/>
        <v>0</v>
      </c>
      <c r="BA110">
        <f t="shared" si="67"/>
        <v>0</v>
      </c>
      <c r="BB110">
        <f t="shared" si="67"/>
        <v>0</v>
      </c>
      <c r="BC110">
        <f t="shared" si="67"/>
        <v>0</v>
      </c>
      <c r="BD110">
        <f t="shared" si="67"/>
        <v>0</v>
      </c>
      <c r="BE110">
        <f t="shared" si="67"/>
        <v>0</v>
      </c>
      <c r="BF110">
        <f t="shared" si="67"/>
        <v>0</v>
      </c>
      <c r="BG110">
        <f t="shared" si="67"/>
        <v>0</v>
      </c>
      <c r="BH110">
        <f t="shared" si="67"/>
        <v>0</v>
      </c>
      <c r="BI110">
        <f t="shared" si="67"/>
        <v>0</v>
      </c>
      <c r="BJ110">
        <f t="shared" si="67"/>
        <v>0</v>
      </c>
      <c r="BK110">
        <f t="shared" si="67"/>
        <v>0</v>
      </c>
      <c r="BL110">
        <f t="shared" si="67"/>
        <v>0</v>
      </c>
      <c r="BM110">
        <f t="shared" si="67"/>
        <v>0</v>
      </c>
      <c r="BN110">
        <f t="shared" si="67"/>
        <v>0</v>
      </c>
      <c r="BO110">
        <f t="shared" si="67"/>
        <v>0</v>
      </c>
      <c r="BP110">
        <f t="shared" si="67"/>
        <v>0</v>
      </c>
      <c r="BQ110">
        <f t="shared" si="67"/>
        <v>0</v>
      </c>
      <c r="BR110">
        <f t="shared" si="67"/>
        <v>0</v>
      </c>
      <c r="BS110">
        <f t="shared" si="67"/>
        <v>0</v>
      </c>
      <c r="BT110">
        <f t="shared" ref="BT110:BY110" si="68">BT29</f>
        <v>0</v>
      </c>
      <c r="BU110">
        <f t="shared" si="68"/>
        <v>0</v>
      </c>
      <c r="BV110">
        <f t="shared" si="68"/>
        <v>0</v>
      </c>
      <c r="BW110">
        <f t="shared" si="68"/>
        <v>0</v>
      </c>
      <c r="BX110">
        <f t="shared" si="68"/>
        <v>0</v>
      </c>
      <c r="BY110">
        <f t="shared" si="68"/>
        <v>0</v>
      </c>
    </row>
    <row r="111" spans="1:77" ht="15" customHeight="1">
      <c r="A111">
        <f t="shared" si="9"/>
        <v>29</v>
      </c>
      <c r="B111" t="str">
        <f t="shared" si="66"/>
        <v>RM000155</v>
      </c>
      <c r="C111" t="str">
        <f t="shared" si="66"/>
        <v>Oil</v>
      </c>
      <c r="D111" t="str">
        <f t="shared" si="66"/>
        <v>MIND/Pre-Production</v>
      </c>
      <c r="E111" t="str">
        <f t="shared" si="66"/>
        <v>Raw peanut oil</v>
      </c>
      <c r="F111" s="102">
        <f t="shared" si="66"/>
        <v>12099.829841999999</v>
      </c>
      <c r="G111">
        <f t="shared" si="66"/>
        <v>0</v>
      </c>
      <c r="H111" s="102">
        <f t="shared" si="66"/>
        <v>-12099.829841999999</v>
      </c>
      <c r="I111" s="101">
        <f t="shared" si="66"/>
        <v>0</v>
      </c>
      <c r="J111">
        <f t="shared" si="66"/>
        <v>0</v>
      </c>
      <c r="K111">
        <f t="shared" si="66"/>
        <v>0</v>
      </c>
      <c r="L111">
        <f t="shared" si="66"/>
        <v>0</v>
      </c>
      <c r="M111">
        <f t="shared" si="66"/>
        <v>0</v>
      </c>
      <c r="N111">
        <f t="shared" si="66"/>
        <v>0</v>
      </c>
      <c r="O111">
        <f t="shared" si="66"/>
        <v>0</v>
      </c>
      <c r="P111">
        <f t="shared" si="66"/>
        <v>0</v>
      </c>
      <c r="Q111">
        <f t="shared" si="66"/>
        <v>0</v>
      </c>
      <c r="R111">
        <f t="shared" si="66"/>
        <v>0</v>
      </c>
      <c r="S111">
        <f t="shared" si="66"/>
        <v>0</v>
      </c>
      <c r="T111">
        <f t="shared" si="66"/>
        <v>6820</v>
      </c>
      <c r="U111">
        <f t="shared" si="66"/>
        <v>0</v>
      </c>
      <c r="V111">
        <f t="shared" si="66"/>
        <v>0</v>
      </c>
      <c r="W111">
        <f t="shared" si="66"/>
        <v>0</v>
      </c>
      <c r="X111">
        <f t="shared" si="66"/>
        <v>0</v>
      </c>
      <c r="Y111">
        <f t="shared" si="66"/>
        <v>7970</v>
      </c>
      <c r="Z111">
        <f t="shared" si="66"/>
        <v>0</v>
      </c>
      <c r="AA111">
        <f t="shared" si="66"/>
        <v>0</v>
      </c>
      <c r="AB111">
        <f t="shared" si="66"/>
        <v>0</v>
      </c>
      <c r="AC111">
        <f t="shared" si="66"/>
        <v>0</v>
      </c>
      <c r="AD111">
        <f t="shared" si="66"/>
        <v>0</v>
      </c>
      <c r="AE111">
        <f t="shared" si="66"/>
        <v>0</v>
      </c>
      <c r="AF111">
        <f t="shared" si="66"/>
        <v>6940</v>
      </c>
      <c r="AG111">
        <f t="shared" si="66"/>
        <v>0</v>
      </c>
      <c r="AH111">
        <f t="shared" si="66"/>
        <v>0</v>
      </c>
      <c r="AI111">
        <f t="shared" si="66"/>
        <v>0</v>
      </c>
      <c r="AJ111">
        <f t="shared" si="66"/>
        <v>0</v>
      </c>
      <c r="AK111">
        <f t="shared" si="66"/>
        <v>0</v>
      </c>
      <c r="AL111">
        <f t="shared" si="66"/>
        <v>1000</v>
      </c>
      <c r="AM111">
        <f t="shared" si="66"/>
        <v>0</v>
      </c>
      <c r="AN111">
        <f t="shared" si="66"/>
        <v>0</v>
      </c>
      <c r="AO111">
        <f t="shared" ref="AO111:BS111" si="69">AO30</f>
        <v>0</v>
      </c>
      <c r="AP111">
        <f t="shared" si="69"/>
        <v>0</v>
      </c>
      <c r="AQ111">
        <f t="shared" si="69"/>
        <v>0</v>
      </c>
      <c r="AR111">
        <f t="shared" si="69"/>
        <v>0</v>
      </c>
      <c r="AS111">
        <f t="shared" si="69"/>
        <v>0</v>
      </c>
      <c r="AT111">
        <f t="shared" si="69"/>
        <v>0</v>
      </c>
      <c r="AU111">
        <f t="shared" si="69"/>
        <v>0</v>
      </c>
      <c r="AV111">
        <f t="shared" si="69"/>
        <v>0</v>
      </c>
      <c r="AW111">
        <f t="shared" si="69"/>
        <v>0</v>
      </c>
      <c r="AX111">
        <f t="shared" si="69"/>
        <v>0</v>
      </c>
      <c r="AY111">
        <f t="shared" si="69"/>
        <v>0</v>
      </c>
      <c r="AZ111">
        <f t="shared" si="69"/>
        <v>0</v>
      </c>
      <c r="BA111">
        <f t="shared" si="69"/>
        <v>0</v>
      </c>
      <c r="BB111">
        <f t="shared" si="69"/>
        <v>0</v>
      </c>
      <c r="BC111">
        <f t="shared" si="69"/>
        <v>0</v>
      </c>
      <c r="BD111">
        <f t="shared" si="69"/>
        <v>0</v>
      </c>
      <c r="BE111">
        <f t="shared" si="69"/>
        <v>0</v>
      </c>
      <c r="BF111">
        <f t="shared" si="69"/>
        <v>0</v>
      </c>
      <c r="BG111">
        <f t="shared" si="69"/>
        <v>0</v>
      </c>
      <c r="BH111">
        <f t="shared" si="69"/>
        <v>0</v>
      </c>
      <c r="BI111">
        <f t="shared" si="69"/>
        <v>0</v>
      </c>
      <c r="BJ111">
        <f t="shared" si="69"/>
        <v>0</v>
      </c>
      <c r="BK111">
        <f t="shared" si="69"/>
        <v>0</v>
      </c>
      <c r="BL111">
        <f t="shared" si="69"/>
        <v>0</v>
      </c>
      <c r="BM111">
        <f t="shared" si="69"/>
        <v>0</v>
      </c>
      <c r="BN111">
        <f t="shared" si="69"/>
        <v>0</v>
      </c>
      <c r="BO111">
        <f t="shared" si="69"/>
        <v>0</v>
      </c>
      <c r="BP111">
        <f t="shared" si="69"/>
        <v>0</v>
      </c>
      <c r="BQ111">
        <f t="shared" si="69"/>
        <v>0</v>
      </c>
      <c r="BR111">
        <f t="shared" si="69"/>
        <v>0</v>
      </c>
      <c r="BS111">
        <f t="shared" si="69"/>
        <v>0</v>
      </c>
      <c r="BT111">
        <f t="shared" ref="BT111:BY111" si="70">BT30</f>
        <v>0</v>
      </c>
      <c r="BU111">
        <f t="shared" si="70"/>
        <v>0</v>
      </c>
      <c r="BV111">
        <f t="shared" si="70"/>
        <v>0</v>
      </c>
      <c r="BW111">
        <f t="shared" si="70"/>
        <v>0</v>
      </c>
      <c r="BX111">
        <f t="shared" si="70"/>
        <v>0</v>
      </c>
      <c r="BY111">
        <f t="shared" si="70"/>
        <v>0</v>
      </c>
    </row>
    <row r="112" spans="1:77" ht="15" customHeight="1">
      <c r="A112">
        <f t="shared" si="9"/>
        <v>30</v>
      </c>
      <c r="B112" t="str">
        <f t="shared" si="66"/>
        <v>RM000144</v>
      </c>
      <c r="C112" t="str">
        <f t="shared" si="66"/>
        <v>Oil</v>
      </c>
      <c r="D112" t="str">
        <f t="shared" si="66"/>
        <v>MIND/Pre-Production</v>
      </c>
      <c r="E112" t="str">
        <f t="shared" si="66"/>
        <v>Raw Coconut Oil</v>
      </c>
      <c r="F112" s="102">
        <f t="shared" si="66"/>
        <v>0</v>
      </c>
      <c r="G112">
        <f t="shared" si="66"/>
        <v>0</v>
      </c>
      <c r="H112" s="102">
        <f t="shared" si="66"/>
        <v>0</v>
      </c>
      <c r="I112" s="101">
        <f t="shared" si="66"/>
        <v>0</v>
      </c>
      <c r="J112">
        <f t="shared" si="66"/>
        <v>0</v>
      </c>
      <c r="K112">
        <f t="shared" si="66"/>
        <v>0</v>
      </c>
      <c r="L112">
        <f t="shared" si="66"/>
        <v>0</v>
      </c>
      <c r="M112">
        <f t="shared" si="66"/>
        <v>0</v>
      </c>
      <c r="N112">
        <f t="shared" si="66"/>
        <v>0</v>
      </c>
      <c r="O112">
        <f t="shared" si="66"/>
        <v>0</v>
      </c>
      <c r="P112">
        <f t="shared" si="66"/>
        <v>0</v>
      </c>
      <c r="Q112">
        <f t="shared" si="66"/>
        <v>0</v>
      </c>
      <c r="R112">
        <f t="shared" si="66"/>
        <v>0</v>
      </c>
      <c r="S112">
        <f t="shared" si="66"/>
        <v>0</v>
      </c>
      <c r="T112">
        <f t="shared" si="66"/>
        <v>0</v>
      </c>
      <c r="U112">
        <f t="shared" si="66"/>
        <v>0</v>
      </c>
      <c r="V112">
        <f t="shared" si="66"/>
        <v>0</v>
      </c>
      <c r="W112">
        <f t="shared" si="66"/>
        <v>0</v>
      </c>
      <c r="X112">
        <f t="shared" si="66"/>
        <v>0</v>
      </c>
      <c r="Y112">
        <f t="shared" si="66"/>
        <v>0</v>
      </c>
      <c r="Z112">
        <f t="shared" si="66"/>
        <v>0</v>
      </c>
      <c r="AA112">
        <f t="shared" si="66"/>
        <v>0</v>
      </c>
      <c r="AB112">
        <f t="shared" si="66"/>
        <v>0</v>
      </c>
      <c r="AC112">
        <f t="shared" si="66"/>
        <v>0</v>
      </c>
      <c r="AD112">
        <f t="shared" si="66"/>
        <v>0</v>
      </c>
      <c r="AE112">
        <f t="shared" si="66"/>
        <v>0</v>
      </c>
      <c r="AF112">
        <f t="shared" si="66"/>
        <v>1000</v>
      </c>
      <c r="AG112">
        <f t="shared" si="66"/>
        <v>0</v>
      </c>
      <c r="AH112">
        <f t="shared" si="66"/>
        <v>0</v>
      </c>
      <c r="AI112">
        <f t="shared" si="66"/>
        <v>0</v>
      </c>
      <c r="AJ112">
        <f t="shared" si="66"/>
        <v>0</v>
      </c>
      <c r="AK112">
        <f t="shared" si="66"/>
        <v>0</v>
      </c>
      <c r="AL112">
        <f t="shared" si="66"/>
        <v>0</v>
      </c>
      <c r="AM112">
        <f t="shared" si="66"/>
        <v>0</v>
      </c>
      <c r="AN112">
        <f t="shared" si="66"/>
        <v>0</v>
      </c>
      <c r="AO112">
        <f t="shared" ref="AO112:BS112" si="71">AO31</f>
        <v>0</v>
      </c>
      <c r="AP112">
        <f t="shared" si="71"/>
        <v>0</v>
      </c>
      <c r="AQ112">
        <f t="shared" si="71"/>
        <v>0</v>
      </c>
      <c r="AR112">
        <f t="shared" si="71"/>
        <v>0</v>
      </c>
      <c r="AS112">
        <f t="shared" si="71"/>
        <v>0</v>
      </c>
      <c r="AT112">
        <f t="shared" si="71"/>
        <v>0</v>
      </c>
      <c r="AU112">
        <f t="shared" si="71"/>
        <v>0</v>
      </c>
      <c r="AV112">
        <f t="shared" si="71"/>
        <v>0</v>
      </c>
      <c r="AW112">
        <f t="shared" si="71"/>
        <v>0</v>
      </c>
      <c r="AX112">
        <f t="shared" si="71"/>
        <v>0</v>
      </c>
      <c r="AY112">
        <f t="shared" si="71"/>
        <v>0</v>
      </c>
      <c r="AZ112">
        <f t="shared" si="71"/>
        <v>0</v>
      </c>
      <c r="BA112">
        <f t="shared" si="71"/>
        <v>0</v>
      </c>
      <c r="BB112">
        <f t="shared" si="71"/>
        <v>0</v>
      </c>
      <c r="BC112">
        <f t="shared" si="71"/>
        <v>0</v>
      </c>
      <c r="BD112">
        <f t="shared" si="71"/>
        <v>0</v>
      </c>
      <c r="BE112">
        <f t="shared" si="71"/>
        <v>0</v>
      </c>
      <c r="BF112">
        <f t="shared" si="71"/>
        <v>0</v>
      </c>
      <c r="BG112">
        <f t="shared" si="71"/>
        <v>0</v>
      </c>
      <c r="BH112">
        <f t="shared" si="71"/>
        <v>0</v>
      </c>
      <c r="BI112">
        <f t="shared" si="71"/>
        <v>0</v>
      </c>
      <c r="BJ112">
        <f t="shared" si="71"/>
        <v>0</v>
      </c>
      <c r="BK112">
        <f t="shared" si="71"/>
        <v>0</v>
      </c>
      <c r="BL112">
        <f t="shared" si="71"/>
        <v>0</v>
      </c>
      <c r="BM112">
        <f t="shared" si="71"/>
        <v>0</v>
      </c>
      <c r="BN112">
        <f t="shared" si="71"/>
        <v>0</v>
      </c>
      <c r="BO112">
        <f t="shared" si="71"/>
        <v>0</v>
      </c>
      <c r="BP112">
        <f t="shared" si="71"/>
        <v>0</v>
      </c>
      <c r="BQ112">
        <f t="shared" si="71"/>
        <v>0</v>
      </c>
      <c r="BR112">
        <f t="shared" si="71"/>
        <v>0</v>
      </c>
      <c r="BS112">
        <f t="shared" si="71"/>
        <v>0</v>
      </c>
      <c r="BT112">
        <f t="shared" ref="BT112:BY112" si="72">BT31</f>
        <v>0</v>
      </c>
      <c r="BU112">
        <f t="shared" si="72"/>
        <v>0</v>
      </c>
      <c r="BV112">
        <f t="shared" si="72"/>
        <v>0</v>
      </c>
      <c r="BW112">
        <f t="shared" si="72"/>
        <v>0</v>
      </c>
      <c r="BX112">
        <f t="shared" si="72"/>
        <v>0</v>
      </c>
      <c r="BY112">
        <f t="shared" si="72"/>
        <v>0</v>
      </c>
    </row>
    <row r="113" spans="1:77" ht="15" customHeight="1">
      <c r="A113">
        <f t="shared" si="9"/>
        <v>31</v>
      </c>
      <c r="B113" t="str">
        <f t="shared" si="66"/>
        <v>RM000166</v>
      </c>
      <c r="C113" t="str">
        <f t="shared" si="66"/>
        <v>Oil</v>
      </c>
      <c r="D113" t="str">
        <f t="shared" si="66"/>
        <v>MIND/Pre-Production</v>
      </c>
      <c r="E113" t="str">
        <f t="shared" si="66"/>
        <v>Raw Sunflower</v>
      </c>
      <c r="F113" s="102">
        <f t="shared" si="66"/>
        <v>0</v>
      </c>
      <c r="G113">
        <f t="shared" si="66"/>
        <v>0</v>
      </c>
      <c r="H113" s="102">
        <f t="shared" si="66"/>
        <v>0</v>
      </c>
      <c r="I113" s="101">
        <f t="shared" si="66"/>
        <v>0</v>
      </c>
      <c r="J113">
        <f t="shared" si="66"/>
        <v>0</v>
      </c>
      <c r="K113">
        <f t="shared" si="66"/>
        <v>0</v>
      </c>
      <c r="L113">
        <f t="shared" si="66"/>
        <v>0</v>
      </c>
      <c r="M113">
        <f t="shared" si="66"/>
        <v>0</v>
      </c>
      <c r="N113">
        <f t="shared" si="66"/>
        <v>0</v>
      </c>
      <c r="O113">
        <f t="shared" si="66"/>
        <v>0</v>
      </c>
      <c r="P113">
        <f t="shared" si="66"/>
        <v>0</v>
      </c>
      <c r="Q113">
        <f t="shared" si="66"/>
        <v>0</v>
      </c>
      <c r="R113">
        <f t="shared" si="66"/>
        <v>0</v>
      </c>
      <c r="S113">
        <f t="shared" si="66"/>
        <v>0</v>
      </c>
      <c r="T113">
        <f t="shared" si="66"/>
        <v>0</v>
      </c>
      <c r="U113">
        <f t="shared" si="66"/>
        <v>0</v>
      </c>
      <c r="V113">
        <f t="shared" si="66"/>
        <v>0</v>
      </c>
      <c r="W113">
        <f t="shared" si="66"/>
        <v>0</v>
      </c>
      <c r="X113">
        <f t="shared" si="66"/>
        <v>0</v>
      </c>
      <c r="Y113">
        <f t="shared" si="66"/>
        <v>0</v>
      </c>
      <c r="Z113">
        <f t="shared" si="66"/>
        <v>0</v>
      </c>
      <c r="AA113">
        <f t="shared" si="66"/>
        <v>2675</v>
      </c>
      <c r="AB113">
        <f t="shared" si="66"/>
        <v>7780</v>
      </c>
      <c r="AC113">
        <f t="shared" si="66"/>
        <v>0</v>
      </c>
      <c r="AD113">
        <f t="shared" si="66"/>
        <v>0</v>
      </c>
      <c r="AE113">
        <f t="shared" si="66"/>
        <v>0</v>
      </c>
      <c r="AF113">
        <f t="shared" si="66"/>
        <v>0</v>
      </c>
      <c r="AG113">
        <f t="shared" si="66"/>
        <v>0</v>
      </c>
      <c r="AH113">
        <f t="shared" si="66"/>
        <v>0</v>
      </c>
      <c r="AI113">
        <f t="shared" si="66"/>
        <v>0</v>
      </c>
      <c r="AJ113">
        <f t="shared" si="66"/>
        <v>0</v>
      </c>
      <c r="AK113">
        <f t="shared" si="66"/>
        <v>0</v>
      </c>
      <c r="AL113">
        <f t="shared" si="66"/>
        <v>0</v>
      </c>
      <c r="AM113">
        <f t="shared" si="66"/>
        <v>0</v>
      </c>
      <c r="AN113">
        <f t="shared" si="66"/>
        <v>0</v>
      </c>
      <c r="AO113">
        <f t="shared" ref="AO113:BS113" si="73">AO32</f>
        <v>0</v>
      </c>
      <c r="AP113">
        <f t="shared" si="73"/>
        <v>0</v>
      </c>
      <c r="AQ113">
        <f t="shared" si="73"/>
        <v>0</v>
      </c>
      <c r="AR113">
        <f t="shared" si="73"/>
        <v>0</v>
      </c>
      <c r="AS113">
        <f t="shared" si="73"/>
        <v>0</v>
      </c>
      <c r="AT113">
        <f t="shared" si="73"/>
        <v>0</v>
      </c>
      <c r="AU113">
        <f t="shared" si="73"/>
        <v>0</v>
      </c>
      <c r="AV113">
        <f t="shared" si="73"/>
        <v>0</v>
      </c>
      <c r="AW113">
        <f t="shared" si="73"/>
        <v>0</v>
      </c>
      <c r="AX113">
        <f t="shared" si="73"/>
        <v>0</v>
      </c>
      <c r="AY113">
        <f t="shared" si="73"/>
        <v>0</v>
      </c>
      <c r="AZ113">
        <f t="shared" si="73"/>
        <v>0</v>
      </c>
      <c r="BA113">
        <f t="shared" si="73"/>
        <v>0</v>
      </c>
      <c r="BB113">
        <f t="shared" si="73"/>
        <v>0</v>
      </c>
      <c r="BC113">
        <f t="shared" si="73"/>
        <v>0</v>
      </c>
      <c r="BD113">
        <f t="shared" si="73"/>
        <v>0</v>
      </c>
      <c r="BE113">
        <f t="shared" si="73"/>
        <v>0</v>
      </c>
      <c r="BF113">
        <f t="shared" si="73"/>
        <v>0</v>
      </c>
      <c r="BG113">
        <f t="shared" si="73"/>
        <v>0</v>
      </c>
      <c r="BH113">
        <f t="shared" si="73"/>
        <v>0</v>
      </c>
      <c r="BI113">
        <f t="shared" si="73"/>
        <v>0</v>
      </c>
      <c r="BJ113">
        <f t="shared" si="73"/>
        <v>0</v>
      </c>
      <c r="BK113">
        <f t="shared" si="73"/>
        <v>0</v>
      </c>
      <c r="BL113">
        <f t="shared" si="73"/>
        <v>0</v>
      </c>
      <c r="BM113">
        <f t="shared" si="73"/>
        <v>0</v>
      </c>
      <c r="BN113">
        <f t="shared" si="73"/>
        <v>0</v>
      </c>
      <c r="BO113">
        <f t="shared" si="73"/>
        <v>0</v>
      </c>
      <c r="BP113">
        <f t="shared" si="73"/>
        <v>0</v>
      </c>
      <c r="BQ113">
        <f t="shared" si="73"/>
        <v>0</v>
      </c>
      <c r="BR113">
        <f t="shared" si="73"/>
        <v>0</v>
      </c>
      <c r="BS113">
        <f t="shared" si="73"/>
        <v>0</v>
      </c>
      <c r="BT113">
        <f t="shared" ref="BT113:BY113" si="74">BT32</f>
        <v>0</v>
      </c>
      <c r="BU113">
        <f t="shared" si="74"/>
        <v>0</v>
      </c>
      <c r="BV113">
        <f t="shared" si="74"/>
        <v>0</v>
      </c>
      <c r="BW113">
        <f t="shared" si="74"/>
        <v>0</v>
      </c>
      <c r="BX113">
        <f t="shared" si="74"/>
        <v>0</v>
      </c>
      <c r="BY113">
        <f t="shared" si="74"/>
        <v>0</v>
      </c>
    </row>
    <row r="114" spans="1:77" ht="15" customHeight="1">
      <c r="A114">
        <f t="shared" si="9"/>
        <v>32</v>
      </c>
      <c r="B114" t="str">
        <f t="shared" si="66"/>
        <v>RM000167</v>
      </c>
      <c r="C114" t="str">
        <f t="shared" si="66"/>
        <v>Oil</v>
      </c>
      <c r="D114" t="str">
        <f t="shared" si="66"/>
        <v>MIND/Pre-Production</v>
      </c>
      <c r="E114" t="str">
        <f t="shared" si="66"/>
        <v>Raw Sunflower Oil</v>
      </c>
      <c r="F114" s="102">
        <f t="shared" si="66"/>
        <v>1471.6320000000001</v>
      </c>
      <c r="G114">
        <f t="shared" si="66"/>
        <v>0</v>
      </c>
      <c r="H114" s="102">
        <f t="shared" si="66"/>
        <v>-1471.6320000000001</v>
      </c>
      <c r="I114" s="101">
        <f t="shared" si="66"/>
        <v>0</v>
      </c>
      <c r="J114">
        <f t="shared" si="66"/>
        <v>0</v>
      </c>
      <c r="K114">
        <f t="shared" si="66"/>
        <v>0</v>
      </c>
      <c r="L114">
        <f t="shared" si="66"/>
        <v>0</v>
      </c>
      <c r="M114">
        <f t="shared" si="66"/>
        <v>0</v>
      </c>
      <c r="N114">
        <f t="shared" si="66"/>
        <v>0</v>
      </c>
      <c r="O114">
        <f t="shared" si="66"/>
        <v>0</v>
      </c>
      <c r="P114">
        <f t="shared" si="66"/>
        <v>0</v>
      </c>
      <c r="Q114">
        <f t="shared" si="66"/>
        <v>0</v>
      </c>
      <c r="R114">
        <f t="shared" si="66"/>
        <v>0</v>
      </c>
      <c r="S114">
        <f t="shared" si="66"/>
        <v>0</v>
      </c>
      <c r="T114">
        <f t="shared" si="66"/>
        <v>3000</v>
      </c>
      <c r="U114">
        <f t="shared" si="66"/>
        <v>0</v>
      </c>
      <c r="V114">
        <f t="shared" si="66"/>
        <v>0</v>
      </c>
      <c r="W114">
        <f t="shared" si="66"/>
        <v>0</v>
      </c>
      <c r="X114">
        <f t="shared" si="66"/>
        <v>0</v>
      </c>
      <c r="Y114">
        <f t="shared" si="66"/>
        <v>1920</v>
      </c>
      <c r="Z114">
        <f t="shared" si="66"/>
        <v>0</v>
      </c>
      <c r="AA114">
        <f t="shared" si="66"/>
        <v>0</v>
      </c>
      <c r="AB114">
        <f t="shared" si="66"/>
        <v>0</v>
      </c>
      <c r="AC114">
        <f t="shared" si="66"/>
        <v>0</v>
      </c>
      <c r="AD114">
        <f t="shared" si="66"/>
        <v>0</v>
      </c>
      <c r="AE114">
        <f t="shared" si="66"/>
        <v>0</v>
      </c>
      <c r="AF114">
        <f t="shared" si="66"/>
        <v>2020</v>
      </c>
      <c r="AG114">
        <f t="shared" si="66"/>
        <v>0</v>
      </c>
      <c r="AH114">
        <f t="shared" si="66"/>
        <v>0</v>
      </c>
      <c r="AI114">
        <f t="shared" si="66"/>
        <v>0</v>
      </c>
      <c r="AJ114">
        <f t="shared" si="66"/>
        <v>0</v>
      </c>
      <c r="AK114">
        <f t="shared" si="66"/>
        <v>0</v>
      </c>
      <c r="AL114">
        <f t="shared" si="66"/>
        <v>3000</v>
      </c>
      <c r="AM114">
        <f t="shared" si="66"/>
        <v>0</v>
      </c>
      <c r="AN114">
        <f t="shared" si="66"/>
        <v>0</v>
      </c>
      <c r="AO114">
        <f t="shared" ref="AO114:BS114" si="75">AO33</f>
        <v>0</v>
      </c>
      <c r="AP114">
        <f t="shared" si="75"/>
        <v>0</v>
      </c>
      <c r="AQ114">
        <f t="shared" si="75"/>
        <v>0</v>
      </c>
      <c r="AR114">
        <f t="shared" si="75"/>
        <v>0</v>
      </c>
      <c r="AS114">
        <f t="shared" si="75"/>
        <v>0</v>
      </c>
      <c r="AT114">
        <f t="shared" si="75"/>
        <v>0</v>
      </c>
      <c r="AU114">
        <f t="shared" si="75"/>
        <v>0</v>
      </c>
      <c r="AV114">
        <f t="shared" si="75"/>
        <v>0</v>
      </c>
      <c r="AW114">
        <f t="shared" si="75"/>
        <v>0</v>
      </c>
      <c r="AX114">
        <f t="shared" si="75"/>
        <v>0</v>
      </c>
      <c r="AY114">
        <f t="shared" si="75"/>
        <v>0</v>
      </c>
      <c r="AZ114">
        <f t="shared" si="75"/>
        <v>0</v>
      </c>
      <c r="BA114">
        <f t="shared" si="75"/>
        <v>0</v>
      </c>
      <c r="BB114">
        <f t="shared" si="75"/>
        <v>0</v>
      </c>
      <c r="BC114">
        <f t="shared" si="75"/>
        <v>0</v>
      </c>
      <c r="BD114">
        <f t="shared" si="75"/>
        <v>0</v>
      </c>
      <c r="BE114">
        <f t="shared" si="75"/>
        <v>0</v>
      </c>
      <c r="BF114">
        <f t="shared" si="75"/>
        <v>0</v>
      </c>
      <c r="BG114">
        <f t="shared" si="75"/>
        <v>0</v>
      </c>
      <c r="BH114">
        <f t="shared" si="75"/>
        <v>0</v>
      </c>
      <c r="BI114">
        <f t="shared" si="75"/>
        <v>0</v>
      </c>
      <c r="BJ114">
        <f t="shared" si="75"/>
        <v>0</v>
      </c>
      <c r="BK114">
        <f t="shared" si="75"/>
        <v>0</v>
      </c>
      <c r="BL114">
        <f t="shared" si="75"/>
        <v>0</v>
      </c>
      <c r="BM114">
        <f t="shared" si="75"/>
        <v>0</v>
      </c>
      <c r="BN114">
        <f t="shared" si="75"/>
        <v>0</v>
      </c>
      <c r="BO114">
        <f t="shared" si="75"/>
        <v>0</v>
      </c>
      <c r="BP114">
        <f t="shared" si="75"/>
        <v>0</v>
      </c>
      <c r="BQ114">
        <f t="shared" si="75"/>
        <v>0</v>
      </c>
      <c r="BR114">
        <f t="shared" si="75"/>
        <v>0</v>
      </c>
      <c r="BS114">
        <f t="shared" si="75"/>
        <v>0</v>
      </c>
      <c r="BT114">
        <f t="shared" ref="BT114:BY114" si="76">BT33</f>
        <v>0</v>
      </c>
      <c r="BU114">
        <f t="shared" si="76"/>
        <v>0</v>
      </c>
      <c r="BV114">
        <f t="shared" si="76"/>
        <v>0</v>
      </c>
      <c r="BW114">
        <f t="shared" si="76"/>
        <v>0</v>
      </c>
      <c r="BX114">
        <f t="shared" si="76"/>
        <v>0</v>
      </c>
      <c r="BY114">
        <f t="shared" si="76"/>
        <v>0</v>
      </c>
    </row>
    <row r="115" spans="1:77" ht="15" customHeight="1">
      <c r="A115">
        <f t="shared" si="9"/>
        <v>33</v>
      </c>
      <c r="B115" t="str">
        <f t="shared" si="66"/>
        <v>RM000153</v>
      </c>
      <c r="C115" t="str">
        <f t="shared" si="66"/>
        <v>Oil</v>
      </c>
      <c r="D115" t="str">
        <f t="shared" si="66"/>
        <v>MIND/Pre-Production</v>
      </c>
      <c r="E115" t="str">
        <f t="shared" si="66"/>
        <v>Raw mustard oil</v>
      </c>
      <c r="F115" s="102">
        <f t="shared" si="66"/>
        <v>18952.48</v>
      </c>
      <c r="G115">
        <f t="shared" si="66"/>
        <v>0</v>
      </c>
      <c r="H115" s="102">
        <f t="shared" si="66"/>
        <v>-18952.48</v>
      </c>
      <c r="I115" s="101">
        <f t="shared" si="66"/>
        <v>0</v>
      </c>
      <c r="J115">
        <f t="shared" si="66"/>
        <v>0</v>
      </c>
      <c r="K115">
        <f t="shared" si="66"/>
        <v>0</v>
      </c>
      <c r="L115">
        <f t="shared" si="66"/>
        <v>10010</v>
      </c>
      <c r="M115">
        <f t="shared" si="66"/>
        <v>0</v>
      </c>
      <c r="N115">
        <f t="shared" si="66"/>
        <v>0</v>
      </c>
      <c r="O115">
        <f t="shared" si="66"/>
        <v>0</v>
      </c>
      <c r="P115">
        <f t="shared" si="66"/>
        <v>0</v>
      </c>
      <c r="Q115">
        <f t="shared" si="66"/>
        <v>0</v>
      </c>
      <c r="R115">
        <f t="shared" si="66"/>
        <v>0</v>
      </c>
      <c r="S115">
        <f t="shared" si="66"/>
        <v>0</v>
      </c>
      <c r="T115">
        <f t="shared" si="66"/>
        <v>0</v>
      </c>
      <c r="U115">
        <f t="shared" si="66"/>
        <v>0</v>
      </c>
      <c r="V115">
        <f t="shared" si="66"/>
        <v>0</v>
      </c>
      <c r="W115">
        <f t="shared" si="66"/>
        <v>0</v>
      </c>
      <c r="X115">
        <f t="shared" si="66"/>
        <v>0</v>
      </c>
      <c r="Y115">
        <f t="shared" si="66"/>
        <v>0</v>
      </c>
      <c r="Z115">
        <f t="shared" si="66"/>
        <v>0</v>
      </c>
      <c r="AA115">
        <f t="shared" si="66"/>
        <v>0</v>
      </c>
      <c r="AB115">
        <f t="shared" si="66"/>
        <v>0</v>
      </c>
      <c r="AC115">
        <f t="shared" si="66"/>
        <v>0</v>
      </c>
      <c r="AD115">
        <f t="shared" si="66"/>
        <v>0</v>
      </c>
      <c r="AE115">
        <f t="shared" si="66"/>
        <v>0</v>
      </c>
      <c r="AF115">
        <f t="shared" si="66"/>
        <v>0</v>
      </c>
      <c r="AG115">
        <f t="shared" si="66"/>
        <v>0</v>
      </c>
      <c r="AH115">
        <f t="shared" si="66"/>
        <v>0</v>
      </c>
      <c r="AI115">
        <f t="shared" si="66"/>
        <v>0</v>
      </c>
      <c r="AJ115">
        <f t="shared" si="66"/>
        <v>0</v>
      </c>
      <c r="AK115">
        <f t="shared" si="66"/>
        <v>0</v>
      </c>
      <c r="AL115">
        <f t="shared" si="66"/>
        <v>0</v>
      </c>
      <c r="AM115">
        <f t="shared" si="66"/>
        <v>0</v>
      </c>
      <c r="AN115">
        <f t="shared" ref="B115:AN121" si="77">AN34</f>
        <v>0</v>
      </c>
      <c r="AO115">
        <f t="shared" ref="AO115:BS115" si="78">AO34</f>
        <v>0</v>
      </c>
      <c r="AP115">
        <f t="shared" si="78"/>
        <v>0</v>
      </c>
      <c r="AQ115">
        <f t="shared" si="78"/>
        <v>0</v>
      </c>
      <c r="AR115">
        <f t="shared" si="78"/>
        <v>0</v>
      </c>
      <c r="AS115">
        <f t="shared" si="78"/>
        <v>0</v>
      </c>
      <c r="AT115">
        <f t="shared" si="78"/>
        <v>0</v>
      </c>
      <c r="AU115">
        <f t="shared" si="78"/>
        <v>16500</v>
      </c>
      <c r="AV115">
        <f t="shared" si="78"/>
        <v>0</v>
      </c>
      <c r="AW115">
        <f t="shared" si="78"/>
        <v>0</v>
      </c>
      <c r="AX115">
        <f t="shared" si="78"/>
        <v>0</v>
      </c>
      <c r="AY115">
        <f t="shared" si="78"/>
        <v>0</v>
      </c>
      <c r="AZ115">
        <f t="shared" si="78"/>
        <v>0</v>
      </c>
      <c r="BA115">
        <f t="shared" si="78"/>
        <v>0</v>
      </c>
      <c r="BB115">
        <f t="shared" si="78"/>
        <v>0</v>
      </c>
      <c r="BC115">
        <f t="shared" si="78"/>
        <v>0</v>
      </c>
      <c r="BD115">
        <f t="shared" si="78"/>
        <v>0</v>
      </c>
      <c r="BE115">
        <f t="shared" si="78"/>
        <v>0</v>
      </c>
      <c r="BF115">
        <f t="shared" si="78"/>
        <v>0</v>
      </c>
      <c r="BG115">
        <f t="shared" si="78"/>
        <v>0</v>
      </c>
      <c r="BH115">
        <f t="shared" si="78"/>
        <v>0</v>
      </c>
      <c r="BI115">
        <f t="shared" si="78"/>
        <v>0</v>
      </c>
      <c r="BJ115">
        <f t="shared" si="78"/>
        <v>0</v>
      </c>
      <c r="BK115">
        <f t="shared" si="78"/>
        <v>0</v>
      </c>
      <c r="BL115">
        <f t="shared" si="78"/>
        <v>0</v>
      </c>
      <c r="BM115">
        <f t="shared" si="78"/>
        <v>0</v>
      </c>
      <c r="BN115">
        <f t="shared" si="78"/>
        <v>0</v>
      </c>
      <c r="BO115">
        <f t="shared" si="78"/>
        <v>0</v>
      </c>
      <c r="BP115">
        <f t="shared" si="78"/>
        <v>0</v>
      </c>
      <c r="BQ115">
        <f t="shared" si="78"/>
        <v>0</v>
      </c>
      <c r="BR115">
        <f t="shared" si="78"/>
        <v>0</v>
      </c>
      <c r="BS115">
        <f t="shared" si="78"/>
        <v>0</v>
      </c>
      <c r="BT115">
        <f t="shared" ref="BT115:BY115" si="79">BT34</f>
        <v>0</v>
      </c>
      <c r="BU115">
        <f t="shared" si="79"/>
        <v>0</v>
      </c>
      <c r="BV115">
        <f t="shared" si="79"/>
        <v>0</v>
      </c>
      <c r="BW115">
        <f t="shared" si="79"/>
        <v>0</v>
      </c>
      <c r="BX115">
        <f t="shared" si="79"/>
        <v>0</v>
      </c>
      <c r="BY115">
        <f t="shared" si="79"/>
        <v>0</v>
      </c>
    </row>
    <row r="116" spans="1:77" ht="15" customHeight="1">
      <c r="A116">
        <f t="shared" si="9"/>
        <v>34</v>
      </c>
      <c r="B116" t="str">
        <f t="shared" si="77"/>
        <v>RM000116</v>
      </c>
      <c r="C116" t="str">
        <f t="shared" si="77"/>
        <v>Oil</v>
      </c>
      <c r="D116" t="str">
        <f t="shared" si="77"/>
        <v>MIND/Pre-Production</v>
      </c>
      <c r="E116" t="str">
        <f t="shared" si="77"/>
        <v>Mustard Seeds</v>
      </c>
      <c r="F116" s="102">
        <f t="shared" si="77"/>
        <v>0</v>
      </c>
      <c r="G116">
        <f t="shared" si="77"/>
        <v>0</v>
      </c>
      <c r="H116" s="102">
        <f t="shared" si="77"/>
        <v>0</v>
      </c>
      <c r="I116" s="101">
        <f t="shared" si="77"/>
        <v>0</v>
      </c>
      <c r="J116">
        <f t="shared" si="77"/>
        <v>0</v>
      </c>
      <c r="K116">
        <f t="shared" si="77"/>
        <v>0</v>
      </c>
      <c r="L116">
        <f t="shared" si="77"/>
        <v>0</v>
      </c>
      <c r="M116">
        <f t="shared" si="77"/>
        <v>0</v>
      </c>
      <c r="N116">
        <f t="shared" si="77"/>
        <v>0</v>
      </c>
      <c r="O116">
        <f t="shared" si="77"/>
        <v>0</v>
      </c>
      <c r="P116">
        <f t="shared" si="77"/>
        <v>0</v>
      </c>
      <c r="Q116">
        <f t="shared" si="77"/>
        <v>0</v>
      </c>
      <c r="R116">
        <f t="shared" si="77"/>
        <v>0</v>
      </c>
      <c r="S116">
        <f t="shared" si="77"/>
        <v>0</v>
      </c>
      <c r="T116">
        <f t="shared" si="77"/>
        <v>0</v>
      </c>
      <c r="U116">
        <f t="shared" si="77"/>
        <v>0</v>
      </c>
      <c r="V116">
        <f t="shared" si="77"/>
        <v>0</v>
      </c>
      <c r="W116">
        <f t="shared" si="77"/>
        <v>0</v>
      </c>
      <c r="X116">
        <f t="shared" si="77"/>
        <v>0</v>
      </c>
      <c r="Y116">
        <f t="shared" si="77"/>
        <v>0</v>
      </c>
      <c r="Z116">
        <f t="shared" si="77"/>
        <v>0</v>
      </c>
      <c r="AA116">
        <f t="shared" si="77"/>
        <v>0</v>
      </c>
      <c r="AB116">
        <f t="shared" si="77"/>
        <v>0</v>
      </c>
      <c r="AC116">
        <f t="shared" si="77"/>
        <v>0</v>
      </c>
      <c r="AD116">
        <f t="shared" si="77"/>
        <v>0</v>
      </c>
      <c r="AE116">
        <f t="shared" si="77"/>
        <v>0</v>
      </c>
      <c r="AF116">
        <f t="shared" si="77"/>
        <v>0</v>
      </c>
      <c r="AG116">
        <f t="shared" si="77"/>
        <v>0</v>
      </c>
      <c r="AH116">
        <f t="shared" si="77"/>
        <v>0</v>
      </c>
      <c r="AI116">
        <f t="shared" si="77"/>
        <v>0</v>
      </c>
      <c r="AJ116">
        <f t="shared" si="77"/>
        <v>0</v>
      </c>
      <c r="AK116">
        <f t="shared" si="77"/>
        <v>0</v>
      </c>
      <c r="AL116">
        <f t="shared" si="77"/>
        <v>0</v>
      </c>
      <c r="AM116">
        <f t="shared" si="77"/>
        <v>0</v>
      </c>
      <c r="AN116">
        <f t="shared" si="77"/>
        <v>0</v>
      </c>
      <c r="AO116">
        <f t="shared" ref="AO116:BS116" si="80">AO35</f>
        <v>0</v>
      </c>
      <c r="AP116">
        <f t="shared" si="80"/>
        <v>0</v>
      </c>
      <c r="AQ116">
        <f t="shared" si="80"/>
        <v>0</v>
      </c>
      <c r="AR116">
        <f t="shared" si="80"/>
        <v>0</v>
      </c>
      <c r="AS116">
        <f t="shared" si="80"/>
        <v>0</v>
      </c>
      <c r="AT116">
        <f t="shared" si="80"/>
        <v>0</v>
      </c>
      <c r="AU116">
        <f t="shared" si="80"/>
        <v>0</v>
      </c>
      <c r="AV116">
        <f t="shared" si="80"/>
        <v>0</v>
      </c>
      <c r="AW116">
        <f t="shared" si="80"/>
        <v>0</v>
      </c>
      <c r="AX116">
        <f t="shared" si="80"/>
        <v>0</v>
      </c>
      <c r="AY116">
        <f t="shared" si="80"/>
        <v>0</v>
      </c>
      <c r="AZ116">
        <f t="shared" si="80"/>
        <v>0</v>
      </c>
      <c r="BA116">
        <f t="shared" si="80"/>
        <v>0</v>
      </c>
      <c r="BB116">
        <f t="shared" si="80"/>
        <v>0</v>
      </c>
      <c r="BC116">
        <f t="shared" si="80"/>
        <v>0</v>
      </c>
      <c r="BD116">
        <f t="shared" si="80"/>
        <v>0</v>
      </c>
      <c r="BE116">
        <f t="shared" si="80"/>
        <v>0</v>
      </c>
      <c r="BF116">
        <f t="shared" si="80"/>
        <v>0</v>
      </c>
      <c r="BG116">
        <f t="shared" si="80"/>
        <v>0</v>
      </c>
      <c r="BH116">
        <f t="shared" si="80"/>
        <v>0</v>
      </c>
      <c r="BI116">
        <f t="shared" si="80"/>
        <v>0</v>
      </c>
      <c r="BJ116">
        <f t="shared" si="80"/>
        <v>0</v>
      </c>
      <c r="BK116">
        <f t="shared" si="80"/>
        <v>0</v>
      </c>
      <c r="BL116">
        <f t="shared" si="80"/>
        <v>0</v>
      </c>
      <c r="BM116">
        <f t="shared" si="80"/>
        <v>0</v>
      </c>
      <c r="BN116">
        <f t="shared" si="80"/>
        <v>0</v>
      </c>
      <c r="BO116">
        <f t="shared" si="80"/>
        <v>0</v>
      </c>
      <c r="BP116">
        <f t="shared" si="80"/>
        <v>0</v>
      </c>
      <c r="BQ116">
        <f t="shared" si="80"/>
        <v>0</v>
      </c>
      <c r="BR116">
        <f t="shared" si="80"/>
        <v>0</v>
      </c>
      <c r="BS116">
        <f t="shared" si="80"/>
        <v>0</v>
      </c>
      <c r="BT116">
        <f t="shared" ref="BT116:BY116" si="81">BT35</f>
        <v>0</v>
      </c>
      <c r="BU116">
        <f t="shared" si="81"/>
        <v>0</v>
      </c>
      <c r="BV116">
        <f t="shared" si="81"/>
        <v>0</v>
      </c>
      <c r="BW116">
        <f t="shared" si="81"/>
        <v>0</v>
      </c>
      <c r="BX116">
        <f t="shared" si="81"/>
        <v>0</v>
      </c>
      <c r="BY116">
        <f t="shared" si="81"/>
        <v>0</v>
      </c>
    </row>
    <row r="117" spans="1:77" ht="15" customHeight="1">
      <c r="A117">
        <f t="shared" si="9"/>
        <v>35</v>
      </c>
      <c r="B117" t="str">
        <f t="shared" si="77"/>
        <v>RM000197</v>
      </c>
      <c r="C117" t="str">
        <f t="shared" si="77"/>
        <v>Oil</v>
      </c>
      <c r="D117" t="str">
        <f t="shared" si="77"/>
        <v>MIND/Pre-Production</v>
      </c>
      <c r="E117" t="str">
        <f t="shared" si="77"/>
        <v>VCO</v>
      </c>
      <c r="F117" s="102">
        <f t="shared" si="77"/>
        <v>1000</v>
      </c>
      <c r="G117">
        <f t="shared" si="77"/>
        <v>0</v>
      </c>
      <c r="H117" s="102">
        <f t="shared" si="77"/>
        <v>-1000</v>
      </c>
      <c r="I117" s="101">
        <f t="shared" si="77"/>
        <v>0</v>
      </c>
      <c r="J117">
        <f t="shared" si="77"/>
        <v>0</v>
      </c>
      <c r="K117">
        <f t="shared" si="77"/>
        <v>0</v>
      </c>
      <c r="L117">
        <f t="shared" si="77"/>
        <v>0</v>
      </c>
      <c r="M117">
        <f t="shared" si="77"/>
        <v>0</v>
      </c>
      <c r="N117">
        <f t="shared" si="77"/>
        <v>0</v>
      </c>
      <c r="O117">
        <f t="shared" si="77"/>
        <v>0</v>
      </c>
      <c r="P117">
        <f t="shared" si="77"/>
        <v>0</v>
      </c>
      <c r="Q117">
        <f t="shared" si="77"/>
        <v>0</v>
      </c>
      <c r="R117">
        <f t="shared" si="77"/>
        <v>0</v>
      </c>
      <c r="S117">
        <f t="shared" si="77"/>
        <v>0</v>
      </c>
      <c r="T117">
        <f t="shared" si="77"/>
        <v>0</v>
      </c>
      <c r="U117">
        <f t="shared" si="77"/>
        <v>0</v>
      </c>
      <c r="V117">
        <f t="shared" si="77"/>
        <v>0</v>
      </c>
      <c r="W117">
        <f t="shared" si="77"/>
        <v>0</v>
      </c>
      <c r="X117">
        <f t="shared" si="77"/>
        <v>0</v>
      </c>
      <c r="Y117">
        <f t="shared" si="77"/>
        <v>0</v>
      </c>
      <c r="Z117">
        <f t="shared" si="77"/>
        <v>0</v>
      </c>
      <c r="AA117">
        <f t="shared" si="77"/>
        <v>0</v>
      </c>
      <c r="AB117">
        <f t="shared" si="77"/>
        <v>0</v>
      </c>
      <c r="AC117">
        <f t="shared" si="77"/>
        <v>0</v>
      </c>
      <c r="AD117">
        <f t="shared" si="77"/>
        <v>0</v>
      </c>
      <c r="AE117">
        <f t="shared" si="77"/>
        <v>0</v>
      </c>
      <c r="AF117">
        <f t="shared" si="77"/>
        <v>0</v>
      </c>
      <c r="AG117">
        <f t="shared" si="77"/>
        <v>0</v>
      </c>
      <c r="AH117">
        <f t="shared" si="77"/>
        <v>0</v>
      </c>
      <c r="AI117">
        <f t="shared" si="77"/>
        <v>0</v>
      </c>
      <c r="AJ117">
        <f t="shared" si="77"/>
        <v>0</v>
      </c>
      <c r="AK117">
        <f t="shared" si="77"/>
        <v>0</v>
      </c>
      <c r="AL117">
        <f t="shared" si="77"/>
        <v>0</v>
      </c>
      <c r="AM117">
        <f t="shared" si="77"/>
        <v>0</v>
      </c>
      <c r="AN117">
        <f t="shared" si="77"/>
        <v>0</v>
      </c>
      <c r="AO117">
        <f t="shared" ref="AO117:BS117" si="82">AO36</f>
        <v>0</v>
      </c>
      <c r="AP117">
        <f t="shared" si="82"/>
        <v>0</v>
      </c>
      <c r="AQ117">
        <f t="shared" si="82"/>
        <v>0</v>
      </c>
      <c r="AR117">
        <f t="shared" si="82"/>
        <v>0</v>
      </c>
      <c r="AS117">
        <f t="shared" si="82"/>
        <v>0</v>
      </c>
      <c r="AT117">
        <f t="shared" si="82"/>
        <v>0</v>
      </c>
      <c r="AU117">
        <f t="shared" si="82"/>
        <v>0</v>
      </c>
      <c r="AV117">
        <f t="shared" si="82"/>
        <v>0</v>
      </c>
      <c r="AW117">
        <f t="shared" si="82"/>
        <v>0</v>
      </c>
      <c r="AX117">
        <f t="shared" si="82"/>
        <v>0</v>
      </c>
      <c r="AY117">
        <f t="shared" si="82"/>
        <v>0</v>
      </c>
      <c r="AZ117">
        <f t="shared" si="82"/>
        <v>0</v>
      </c>
      <c r="BA117">
        <f t="shared" si="82"/>
        <v>0</v>
      </c>
      <c r="BB117">
        <f t="shared" si="82"/>
        <v>0</v>
      </c>
      <c r="BC117">
        <f t="shared" si="82"/>
        <v>0</v>
      </c>
      <c r="BD117">
        <f t="shared" si="82"/>
        <v>0</v>
      </c>
      <c r="BE117">
        <f t="shared" si="82"/>
        <v>0</v>
      </c>
      <c r="BF117">
        <f t="shared" si="82"/>
        <v>0</v>
      </c>
      <c r="BG117">
        <f t="shared" si="82"/>
        <v>0</v>
      </c>
      <c r="BH117">
        <f t="shared" si="82"/>
        <v>0</v>
      </c>
      <c r="BI117">
        <f t="shared" si="82"/>
        <v>0</v>
      </c>
      <c r="BJ117">
        <f t="shared" si="82"/>
        <v>0</v>
      </c>
      <c r="BK117">
        <f t="shared" si="82"/>
        <v>0</v>
      </c>
      <c r="BL117">
        <f t="shared" si="82"/>
        <v>0</v>
      </c>
      <c r="BM117">
        <f t="shared" si="82"/>
        <v>0</v>
      </c>
      <c r="BN117">
        <f t="shared" si="82"/>
        <v>0</v>
      </c>
      <c r="BO117">
        <f t="shared" si="82"/>
        <v>0</v>
      </c>
      <c r="BP117">
        <f t="shared" si="82"/>
        <v>0</v>
      </c>
      <c r="BQ117">
        <f t="shared" si="82"/>
        <v>0</v>
      </c>
      <c r="BR117">
        <f t="shared" si="82"/>
        <v>0</v>
      </c>
      <c r="BS117">
        <f t="shared" si="82"/>
        <v>0</v>
      </c>
      <c r="BT117">
        <f t="shared" ref="BT117:BY117" si="83">BT36</f>
        <v>0</v>
      </c>
      <c r="BU117">
        <f t="shared" si="83"/>
        <v>0</v>
      </c>
      <c r="BV117">
        <f t="shared" si="83"/>
        <v>0</v>
      </c>
      <c r="BW117">
        <f t="shared" si="83"/>
        <v>0</v>
      </c>
      <c r="BX117">
        <f t="shared" si="83"/>
        <v>0</v>
      </c>
      <c r="BY117">
        <f t="shared" si="83"/>
        <v>0</v>
      </c>
    </row>
    <row r="118" spans="1:77" ht="15" customHeight="1">
      <c r="A118">
        <f t="shared" si="9"/>
        <v>36</v>
      </c>
      <c r="B118" t="str">
        <f t="shared" si="77"/>
        <v>RM000221</v>
      </c>
      <c r="C118" t="str">
        <f t="shared" si="77"/>
        <v>MG</v>
      </c>
      <c r="D118" t="str">
        <f t="shared" si="77"/>
        <v>C39/Pre-Production</v>
      </c>
      <c r="E118" t="str">
        <f t="shared" si="77"/>
        <v>RM- Barley</v>
      </c>
      <c r="F118" s="102">
        <f t="shared" si="77"/>
        <v>24362.490000000009</v>
      </c>
      <c r="G118">
        <f t="shared" si="77"/>
        <v>9900</v>
      </c>
      <c r="H118" s="102">
        <f t="shared" si="77"/>
        <v>-14462.490000000009</v>
      </c>
      <c r="I118" s="101">
        <f t="shared" si="77"/>
        <v>0.4063624038429568</v>
      </c>
      <c r="J118">
        <f t="shared" si="77"/>
        <v>3150</v>
      </c>
      <c r="K118">
        <f t="shared" si="77"/>
        <v>0</v>
      </c>
      <c r="L118">
        <f t="shared" si="77"/>
        <v>0</v>
      </c>
      <c r="M118">
        <f t="shared" si="77"/>
        <v>0</v>
      </c>
      <c r="N118">
        <f t="shared" si="77"/>
        <v>0</v>
      </c>
      <c r="O118">
        <f t="shared" si="77"/>
        <v>0</v>
      </c>
      <c r="P118">
        <f t="shared" si="77"/>
        <v>0</v>
      </c>
      <c r="Q118">
        <f t="shared" si="77"/>
        <v>0</v>
      </c>
      <c r="R118">
        <f t="shared" si="77"/>
        <v>0</v>
      </c>
      <c r="S118">
        <f t="shared" si="77"/>
        <v>0</v>
      </c>
      <c r="T118">
        <f t="shared" si="77"/>
        <v>0</v>
      </c>
      <c r="U118">
        <f t="shared" si="77"/>
        <v>0</v>
      </c>
      <c r="V118">
        <f t="shared" si="77"/>
        <v>0</v>
      </c>
      <c r="W118">
        <f t="shared" si="77"/>
        <v>0</v>
      </c>
      <c r="X118">
        <f t="shared" si="77"/>
        <v>0</v>
      </c>
      <c r="Y118">
        <f t="shared" si="77"/>
        <v>4380</v>
      </c>
      <c r="Z118">
        <f t="shared" si="77"/>
        <v>0</v>
      </c>
      <c r="AA118">
        <f t="shared" si="77"/>
        <v>0</v>
      </c>
      <c r="AB118">
        <f t="shared" si="77"/>
        <v>0</v>
      </c>
      <c r="AC118">
        <f t="shared" si="77"/>
        <v>0</v>
      </c>
      <c r="AD118">
        <f t="shared" si="77"/>
        <v>0</v>
      </c>
      <c r="AE118">
        <f t="shared" si="77"/>
        <v>0</v>
      </c>
      <c r="AF118">
        <f t="shared" si="77"/>
        <v>3000</v>
      </c>
      <c r="AG118">
        <f t="shared" si="77"/>
        <v>0</v>
      </c>
      <c r="AH118">
        <f t="shared" si="77"/>
        <v>0</v>
      </c>
      <c r="AI118">
        <f t="shared" si="77"/>
        <v>0</v>
      </c>
      <c r="AJ118">
        <f t="shared" si="77"/>
        <v>5000</v>
      </c>
      <c r="AK118">
        <f t="shared" si="77"/>
        <v>0</v>
      </c>
      <c r="AL118">
        <f t="shared" si="77"/>
        <v>2000</v>
      </c>
      <c r="AM118">
        <f t="shared" si="77"/>
        <v>5000</v>
      </c>
      <c r="AN118">
        <f t="shared" si="77"/>
        <v>3000</v>
      </c>
      <c r="AO118">
        <f t="shared" ref="AO118:BS118" si="84">AO37</f>
        <v>0</v>
      </c>
      <c r="AP118">
        <f t="shared" si="84"/>
        <v>0</v>
      </c>
      <c r="AQ118">
        <f t="shared" si="84"/>
        <v>0</v>
      </c>
      <c r="AR118">
        <f t="shared" si="84"/>
        <v>0</v>
      </c>
      <c r="AS118">
        <f t="shared" si="84"/>
        <v>5850</v>
      </c>
      <c r="AT118">
        <f t="shared" si="84"/>
        <v>0</v>
      </c>
      <c r="AU118">
        <f t="shared" si="84"/>
        <v>0</v>
      </c>
      <c r="AV118">
        <f t="shared" si="84"/>
        <v>0</v>
      </c>
      <c r="AW118">
        <f t="shared" si="84"/>
        <v>0</v>
      </c>
      <c r="AX118">
        <f t="shared" si="84"/>
        <v>9900</v>
      </c>
      <c r="AY118">
        <f t="shared" si="84"/>
        <v>0</v>
      </c>
      <c r="AZ118">
        <f t="shared" si="84"/>
        <v>0</v>
      </c>
      <c r="BA118">
        <f t="shared" si="84"/>
        <v>0</v>
      </c>
      <c r="BB118">
        <f t="shared" si="84"/>
        <v>0</v>
      </c>
      <c r="BC118">
        <f t="shared" si="84"/>
        <v>0</v>
      </c>
      <c r="BD118">
        <f t="shared" si="84"/>
        <v>0</v>
      </c>
      <c r="BE118">
        <f t="shared" si="84"/>
        <v>0</v>
      </c>
      <c r="BF118">
        <f t="shared" si="84"/>
        <v>0</v>
      </c>
      <c r="BG118">
        <f t="shared" si="84"/>
        <v>0</v>
      </c>
      <c r="BH118">
        <f t="shared" si="84"/>
        <v>0</v>
      </c>
      <c r="BI118">
        <f t="shared" si="84"/>
        <v>0</v>
      </c>
      <c r="BJ118">
        <f t="shared" si="84"/>
        <v>0</v>
      </c>
      <c r="BK118">
        <f t="shared" si="84"/>
        <v>0</v>
      </c>
      <c r="BL118">
        <f t="shared" si="84"/>
        <v>0</v>
      </c>
      <c r="BM118">
        <f t="shared" si="84"/>
        <v>0</v>
      </c>
      <c r="BN118">
        <f t="shared" si="84"/>
        <v>0</v>
      </c>
      <c r="BO118">
        <f t="shared" si="84"/>
        <v>0</v>
      </c>
      <c r="BP118">
        <f t="shared" si="84"/>
        <v>0</v>
      </c>
      <c r="BQ118">
        <f t="shared" si="84"/>
        <v>0</v>
      </c>
      <c r="BR118">
        <f t="shared" si="84"/>
        <v>0</v>
      </c>
      <c r="BS118">
        <f t="shared" si="84"/>
        <v>0</v>
      </c>
      <c r="BT118">
        <f t="shared" ref="BT118:BY118" si="85">BT37</f>
        <v>0</v>
      </c>
      <c r="BU118">
        <f t="shared" si="85"/>
        <v>0</v>
      </c>
      <c r="BV118">
        <f t="shared" si="85"/>
        <v>0</v>
      </c>
      <c r="BW118">
        <f t="shared" si="85"/>
        <v>0</v>
      </c>
      <c r="BX118">
        <f t="shared" si="85"/>
        <v>0</v>
      </c>
      <c r="BY118">
        <f t="shared" si="85"/>
        <v>0</v>
      </c>
    </row>
    <row r="119" spans="1:77" ht="15" customHeight="1">
      <c r="A119">
        <f t="shared" si="9"/>
        <v>37</v>
      </c>
      <c r="B119" t="str">
        <f t="shared" si="77"/>
        <v>RM000213</v>
      </c>
      <c r="C119" t="str">
        <f t="shared" si="77"/>
        <v>MG</v>
      </c>
      <c r="D119" t="str">
        <f t="shared" si="77"/>
        <v>C39/Pre-Production</v>
      </c>
      <c r="E119" t="str">
        <f t="shared" si="77"/>
        <v>Flaxseed</v>
      </c>
      <c r="F119" s="102">
        <f t="shared" si="77"/>
        <v>2938.28</v>
      </c>
      <c r="G119">
        <f t="shared" si="77"/>
        <v>510</v>
      </c>
      <c r="H119" s="102">
        <f t="shared" si="77"/>
        <v>-2428.2800000000002</v>
      </c>
      <c r="I119" s="101">
        <f t="shared" si="77"/>
        <v>0.17357093265447812</v>
      </c>
      <c r="J119">
        <f t="shared" si="77"/>
        <v>0</v>
      </c>
      <c r="K119">
        <f t="shared" si="77"/>
        <v>0</v>
      </c>
      <c r="L119">
        <f t="shared" si="77"/>
        <v>0</v>
      </c>
      <c r="M119">
        <f t="shared" si="77"/>
        <v>0</v>
      </c>
      <c r="N119">
        <f t="shared" si="77"/>
        <v>0</v>
      </c>
      <c r="O119">
        <f t="shared" si="77"/>
        <v>0</v>
      </c>
      <c r="P119">
        <f t="shared" si="77"/>
        <v>0</v>
      </c>
      <c r="Q119">
        <f t="shared" si="77"/>
        <v>0</v>
      </c>
      <c r="R119">
        <f t="shared" si="77"/>
        <v>0</v>
      </c>
      <c r="S119">
        <f t="shared" si="77"/>
        <v>0</v>
      </c>
      <c r="T119">
        <f t="shared" si="77"/>
        <v>0</v>
      </c>
      <c r="U119">
        <f t="shared" si="77"/>
        <v>0</v>
      </c>
      <c r="V119">
        <f t="shared" si="77"/>
        <v>0</v>
      </c>
      <c r="W119">
        <f t="shared" si="77"/>
        <v>0</v>
      </c>
      <c r="X119">
        <f t="shared" si="77"/>
        <v>0</v>
      </c>
      <c r="Y119">
        <f t="shared" si="77"/>
        <v>0</v>
      </c>
      <c r="Z119">
        <f t="shared" si="77"/>
        <v>0</v>
      </c>
      <c r="AA119">
        <f t="shared" si="77"/>
        <v>0</v>
      </c>
      <c r="AB119">
        <f t="shared" si="77"/>
        <v>0</v>
      </c>
      <c r="AC119">
        <f t="shared" si="77"/>
        <v>0</v>
      </c>
      <c r="AD119">
        <f t="shared" si="77"/>
        <v>0</v>
      </c>
      <c r="AE119">
        <f t="shared" si="77"/>
        <v>0</v>
      </c>
      <c r="AF119">
        <f t="shared" si="77"/>
        <v>0</v>
      </c>
      <c r="AG119">
        <f t="shared" si="77"/>
        <v>0</v>
      </c>
      <c r="AH119">
        <f t="shared" si="77"/>
        <v>0</v>
      </c>
      <c r="AI119">
        <f t="shared" si="77"/>
        <v>0</v>
      </c>
      <c r="AJ119">
        <f t="shared" si="77"/>
        <v>0</v>
      </c>
      <c r="AK119">
        <f t="shared" si="77"/>
        <v>0</v>
      </c>
      <c r="AL119">
        <f t="shared" si="77"/>
        <v>200</v>
      </c>
      <c r="AM119">
        <f t="shared" si="77"/>
        <v>300</v>
      </c>
      <c r="AN119">
        <f t="shared" si="77"/>
        <v>0</v>
      </c>
      <c r="AO119">
        <f t="shared" ref="AO119:BS119" si="86">AO38</f>
        <v>0</v>
      </c>
      <c r="AP119">
        <f t="shared" si="86"/>
        <v>0</v>
      </c>
      <c r="AQ119">
        <f t="shared" si="86"/>
        <v>0</v>
      </c>
      <c r="AR119">
        <f t="shared" si="86"/>
        <v>0</v>
      </c>
      <c r="AS119">
        <f t="shared" si="86"/>
        <v>0</v>
      </c>
      <c r="AT119">
        <f t="shared" si="86"/>
        <v>0</v>
      </c>
      <c r="AU119">
        <f t="shared" si="86"/>
        <v>0</v>
      </c>
      <c r="AV119">
        <f t="shared" si="86"/>
        <v>0</v>
      </c>
      <c r="AW119">
        <f t="shared" si="86"/>
        <v>0</v>
      </c>
      <c r="AX119">
        <f t="shared" si="86"/>
        <v>0</v>
      </c>
      <c r="AY119">
        <f t="shared" si="86"/>
        <v>0</v>
      </c>
      <c r="AZ119">
        <f t="shared" si="86"/>
        <v>510</v>
      </c>
      <c r="BA119">
        <f t="shared" si="86"/>
        <v>0</v>
      </c>
      <c r="BB119">
        <f t="shared" si="86"/>
        <v>0</v>
      </c>
      <c r="BC119">
        <f t="shared" si="86"/>
        <v>0</v>
      </c>
      <c r="BD119">
        <f t="shared" si="86"/>
        <v>0</v>
      </c>
      <c r="BE119">
        <f t="shared" si="86"/>
        <v>0</v>
      </c>
      <c r="BF119">
        <f t="shared" si="86"/>
        <v>0</v>
      </c>
      <c r="BG119">
        <f t="shared" si="86"/>
        <v>0</v>
      </c>
      <c r="BH119">
        <f t="shared" si="86"/>
        <v>0</v>
      </c>
      <c r="BI119">
        <f t="shared" si="86"/>
        <v>0</v>
      </c>
      <c r="BJ119">
        <f t="shared" si="86"/>
        <v>0</v>
      </c>
      <c r="BK119">
        <f t="shared" si="86"/>
        <v>0</v>
      </c>
      <c r="BL119">
        <f t="shared" si="86"/>
        <v>0</v>
      </c>
      <c r="BM119">
        <f t="shared" si="86"/>
        <v>0</v>
      </c>
      <c r="BN119">
        <f t="shared" si="86"/>
        <v>0</v>
      </c>
      <c r="BO119">
        <f t="shared" si="86"/>
        <v>0</v>
      </c>
      <c r="BP119">
        <f t="shared" si="86"/>
        <v>0</v>
      </c>
      <c r="BQ119">
        <f t="shared" si="86"/>
        <v>0</v>
      </c>
      <c r="BR119">
        <f t="shared" si="86"/>
        <v>0</v>
      </c>
      <c r="BS119">
        <f t="shared" si="86"/>
        <v>0</v>
      </c>
      <c r="BT119">
        <f t="shared" ref="BT119:BY119" si="87">BT38</f>
        <v>0</v>
      </c>
      <c r="BU119">
        <f t="shared" si="87"/>
        <v>0</v>
      </c>
      <c r="BV119">
        <f t="shared" si="87"/>
        <v>0</v>
      </c>
      <c r="BW119">
        <f t="shared" si="87"/>
        <v>0</v>
      </c>
      <c r="BX119">
        <f t="shared" si="87"/>
        <v>0</v>
      </c>
      <c r="BY119">
        <f t="shared" si="87"/>
        <v>0</v>
      </c>
    </row>
    <row r="120" spans="1:77" ht="15" customHeight="1">
      <c r="A120">
        <f t="shared" si="9"/>
        <v>38</v>
      </c>
      <c r="B120" t="str">
        <f t="shared" si="77"/>
        <v>RM000162</v>
      </c>
      <c r="C120" t="str">
        <f t="shared" si="77"/>
        <v>MG</v>
      </c>
      <c r="D120" t="str">
        <f t="shared" si="77"/>
        <v>C39/Pre-Production</v>
      </c>
      <c r="E120" t="str">
        <f t="shared" si="77"/>
        <v>Raw Soyabean</v>
      </c>
      <c r="F120" s="102">
        <f t="shared" si="77"/>
        <v>16433</v>
      </c>
      <c r="G120">
        <f t="shared" si="77"/>
        <v>0</v>
      </c>
      <c r="H120" s="102">
        <f t="shared" si="77"/>
        <v>-16433</v>
      </c>
      <c r="I120" s="101">
        <f t="shared" si="77"/>
        <v>0</v>
      </c>
      <c r="J120">
        <f t="shared" si="77"/>
        <v>2500</v>
      </c>
      <c r="K120">
        <f t="shared" si="77"/>
        <v>0</v>
      </c>
      <c r="L120">
        <f t="shared" si="77"/>
        <v>0</v>
      </c>
      <c r="M120">
        <f t="shared" si="77"/>
        <v>0</v>
      </c>
      <c r="N120">
        <f t="shared" si="77"/>
        <v>0</v>
      </c>
      <c r="O120">
        <f t="shared" si="77"/>
        <v>0</v>
      </c>
      <c r="P120">
        <f t="shared" si="77"/>
        <v>0</v>
      </c>
      <c r="Q120">
        <f t="shared" si="77"/>
        <v>0</v>
      </c>
      <c r="R120">
        <f t="shared" si="77"/>
        <v>0</v>
      </c>
      <c r="S120">
        <f t="shared" si="77"/>
        <v>0</v>
      </c>
      <c r="T120">
        <f t="shared" si="77"/>
        <v>2000</v>
      </c>
      <c r="U120">
        <f t="shared" si="77"/>
        <v>0</v>
      </c>
      <c r="V120">
        <f t="shared" si="77"/>
        <v>0</v>
      </c>
      <c r="W120">
        <f t="shared" si="77"/>
        <v>0</v>
      </c>
      <c r="X120">
        <f t="shared" si="77"/>
        <v>0</v>
      </c>
      <c r="Y120">
        <f t="shared" si="77"/>
        <v>5000</v>
      </c>
      <c r="Z120">
        <f t="shared" si="77"/>
        <v>0</v>
      </c>
      <c r="AA120">
        <f t="shared" si="77"/>
        <v>0</v>
      </c>
      <c r="AB120">
        <f t="shared" si="77"/>
        <v>0</v>
      </c>
      <c r="AC120">
        <f t="shared" si="77"/>
        <v>0</v>
      </c>
      <c r="AD120">
        <f t="shared" si="77"/>
        <v>0</v>
      </c>
      <c r="AE120">
        <f t="shared" si="77"/>
        <v>0</v>
      </c>
      <c r="AF120">
        <f t="shared" si="77"/>
        <v>5000</v>
      </c>
      <c r="AG120">
        <f t="shared" si="77"/>
        <v>0</v>
      </c>
      <c r="AH120">
        <f t="shared" si="77"/>
        <v>3400</v>
      </c>
      <c r="AI120">
        <f t="shared" si="77"/>
        <v>0</v>
      </c>
      <c r="AJ120">
        <f t="shared" si="77"/>
        <v>5000</v>
      </c>
      <c r="AK120">
        <f t="shared" si="77"/>
        <v>0</v>
      </c>
      <c r="AL120">
        <f t="shared" si="77"/>
        <v>2000</v>
      </c>
      <c r="AM120">
        <f t="shared" si="77"/>
        <v>3100</v>
      </c>
      <c r="AN120">
        <f t="shared" si="77"/>
        <v>0</v>
      </c>
      <c r="AO120">
        <f t="shared" ref="AO120:BS120" si="88">AO39</f>
        <v>0</v>
      </c>
      <c r="AP120">
        <f t="shared" si="88"/>
        <v>0</v>
      </c>
      <c r="AQ120">
        <f t="shared" si="88"/>
        <v>0</v>
      </c>
      <c r="AR120">
        <f t="shared" si="88"/>
        <v>0</v>
      </c>
      <c r="AS120">
        <f t="shared" si="88"/>
        <v>6600</v>
      </c>
      <c r="AT120">
        <f t="shared" si="88"/>
        <v>0</v>
      </c>
      <c r="AU120">
        <f t="shared" si="88"/>
        <v>0</v>
      </c>
      <c r="AV120">
        <f t="shared" si="88"/>
        <v>0</v>
      </c>
      <c r="AW120">
        <f t="shared" si="88"/>
        <v>0</v>
      </c>
      <c r="AX120">
        <f t="shared" si="88"/>
        <v>0</v>
      </c>
      <c r="AY120">
        <f t="shared" si="88"/>
        <v>0</v>
      </c>
      <c r="AZ120">
        <f t="shared" si="88"/>
        <v>0</v>
      </c>
      <c r="BA120">
        <f t="shared" si="88"/>
        <v>0</v>
      </c>
      <c r="BB120">
        <f t="shared" si="88"/>
        <v>0</v>
      </c>
      <c r="BC120">
        <f t="shared" si="88"/>
        <v>0</v>
      </c>
      <c r="BD120">
        <f t="shared" si="88"/>
        <v>0</v>
      </c>
      <c r="BE120">
        <f t="shared" si="88"/>
        <v>0</v>
      </c>
      <c r="BF120">
        <f t="shared" si="88"/>
        <v>0</v>
      </c>
      <c r="BG120">
        <f t="shared" si="88"/>
        <v>0</v>
      </c>
      <c r="BH120">
        <f t="shared" si="88"/>
        <v>0</v>
      </c>
      <c r="BI120">
        <f t="shared" si="88"/>
        <v>0</v>
      </c>
      <c r="BJ120">
        <f t="shared" si="88"/>
        <v>0</v>
      </c>
      <c r="BK120">
        <f t="shared" si="88"/>
        <v>0</v>
      </c>
      <c r="BL120">
        <f t="shared" si="88"/>
        <v>0</v>
      </c>
      <c r="BM120">
        <f t="shared" si="88"/>
        <v>0</v>
      </c>
      <c r="BN120">
        <f t="shared" si="88"/>
        <v>0</v>
      </c>
      <c r="BO120">
        <f t="shared" si="88"/>
        <v>0</v>
      </c>
      <c r="BP120">
        <f t="shared" si="88"/>
        <v>0</v>
      </c>
      <c r="BQ120">
        <f t="shared" si="88"/>
        <v>0</v>
      </c>
      <c r="BR120">
        <f t="shared" si="88"/>
        <v>0</v>
      </c>
      <c r="BS120">
        <f t="shared" si="88"/>
        <v>0</v>
      </c>
      <c r="BT120">
        <f t="shared" ref="BT120:BY120" si="89">BT39</f>
        <v>0</v>
      </c>
      <c r="BU120">
        <f t="shared" si="89"/>
        <v>0</v>
      </c>
      <c r="BV120">
        <f t="shared" si="89"/>
        <v>0</v>
      </c>
      <c r="BW120">
        <f t="shared" si="89"/>
        <v>0</v>
      </c>
      <c r="BX120">
        <f t="shared" si="89"/>
        <v>0</v>
      </c>
      <c r="BY120">
        <f t="shared" si="89"/>
        <v>0</v>
      </c>
    </row>
    <row r="121" spans="1:77" ht="15" customHeight="1">
      <c r="A121">
        <f t="shared" si="9"/>
        <v>39</v>
      </c>
      <c r="B121" t="str">
        <f t="shared" si="77"/>
        <v>RM000094</v>
      </c>
      <c r="C121" t="str">
        <f t="shared" si="77"/>
        <v>MG</v>
      </c>
      <c r="D121" t="str">
        <f t="shared" si="77"/>
        <v>C39/Pre-Production</v>
      </c>
      <c r="E121" t="str">
        <f t="shared" si="77"/>
        <v>Khapli Wheat Grains</v>
      </c>
      <c r="F121" s="102" t="str">
        <f t="shared" si="77"/>
        <v>0</v>
      </c>
      <c r="G121">
        <f t="shared" si="77"/>
        <v>35050</v>
      </c>
      <c r="H121" s="102">
        <f t="shared" si="77"/>
        <v>35050</v>
      </c>
      <c r="I121" s="101">
        <f t="shared" si="77"/>
        <v>0</v>
      </c>
      <c r="J121">
        <f t="shared" si="77"/>
        <v>0</v>
      </c>
      <c r="K121">
        <f t="shared" si="77"/>
        <v>8100</v>
      </c>
      <c r="L121">
        <f t="shared" si="77"/>
        <v>0</v>
      </c>
      <c r="M121">
        <f t="shared" si="77"/>
        <v>0</v>
      </c>
      <c r="N121">
        <f t="shared" si="77"/>
        <v>0</v>
      </c>
      <c r="O121">
        <f t="shared" si="77"/>
        <v>0</v>
      </c>
      <c r="P121">
        <f t="shared" si="77"/>
        <v>0</v>
      </c>
      <c r="Q121">
        <f t="shared" si="77"/>
        <v>0</v>
      </c>
      <c r="R121">
        <f t="shared" ref="B121:AN126" si="90">R40</f>
        <v>0</v>
      </c>
      <c r="S121">
        <f t="shared" si="90"/>
        <v>0</v>
      </c>
      <c r="T121">
        <f t="shared" si="90"/>
        <v>0</v>
      </c>
      <c r="U121">
        <f t="shared" si="90"/>
        <v>0</v>
      </c>
      <c r="V121">
        <f t="shared" si="90"/>
        <v>45500</v>
      </c>
      <c r="W121">
        <f t="shared" si="90"/>
        <v>0</v>
      </c>
      <c r="X121">
        <f t="shared" si="90"/>
        <v>0</v>
      </c>
      <c r="Y121">
        <f t="shared" si="90"/>
        <v>0</v>
      </c>
      <c r="Z121">
        <f t="shared" si="90"/>
        <v>0</v>
      </c>
      <c r="AA121">
        <f t="shared" si="90"/>
        <v>0</v>
      </c>
      <c r="AB121">
        <f t="shared" si="90"/>
        <v>0</v>
      </c>
      <c r="AC121">
        <f t="shared" si="90"/>
        <v>0</v>
      </c>
      <c r="AD121">
        <f t="shared" si="90"/>
        <v>0</v>
      </c>
      <c r="AE121">
        <f t="shared" si="90"/>
        <v>0</v>
      </c>
      <c r="AF121">
        <f t="shared" si="90"/>
        <v>0</v>
      </c>
      <c r="AG121">
        <f t="shared" si="90"/>
        <v>0</v>
      </c>
      <c r="AH121">
        <f t="shared" si="90"/>
        <v>0</v>
      </c>
      <c r="AI121">
        <f t="shared" si="90"/>
        <v>0</v>
      </c>
      <c r="AJ121">
        <f t="shared" si="90"/>
        <v>0</v>
      </c>
      <c r="AK121">
        <f t="shared" si="90"/>
        <v>0</v>
      </c>
      <c r="AL121">
        <f t="shared" si="90"/>
        <v>15034</v>
      </c>
      <c r="AM121">
        <f t="shared" si="90"/>
        <v>0</v>
      </c>
      <c r="AN121">
        <f t="shared" si="90"/>
        <v>20422</v>
      </c>
      <c r="AO121">
        <f t="shared" ref="AO121:BS121" si="91">AO40</f>
        <v>0</v>
      </c>
      <c r="AP121">
        <f t="shared" si="91"/>
        <v>23000</v>
      </c>
      <c r="AQ121">
        <f t="shared" si="91"/>
        <v>0</v>
      </c>
      <c r="AR121">
        <f t="shared" si="91"/>
        <v>6550</v>
      </c>
      <c r="AS121">
        <f t="shared" si="91"/>
        <v>0</v>
      </c>
      <c r="AT121">
        <f t="shared" si="91"/>
        <v>0</v>
      </c>
      <c r="AU121">
        <f t="shared" si="91"/>
        <v>0</v>
      </c>
      <c r="AV121">
        <f t="shared" si="91"/>
        <v>0</v>
      </c>
      <c r="AW121">
        <f t="shared" si="91"/>
        <v>0</v>
      </c>
      <c r="AX121">
        <f t="shared" si="91"/>
        <v>0</v>
      </c>
      <c r="AY121">
        <f t="shared" si="91"/>
        <v>0</v>
      </c>
      <c r="AZ121">
        <f t="shared" si="91"/>
        <v>5000</v>
      </c>
      <c r="BA121">
        <f t="shared" si="91"/>
        <v>10050</v>
      </c>
      <c r="BB121">
        <f t="shared" si="91"/>
        <v>10000</v>
      </c>
      <c r="BC121">
        <f t="shared" si="91"/>
        <v>0</v>
      </c>
      <c r="BD121">
        <f t="shared" si="91"/>
        <v>10000</v>
      </c>
      <c r="BE121">
        <f t="shared" si="91"/>
        <v>0</v>
      </c>
      <c r="BF121">
        <f t="shared" si="91"/>
        <v>0</v>
      </c>
      <c r="BG121">
        <f t="shared" si="91"/>
        <v>0</v>
      </c>
      <c r="BH121">
        <f t="shared" si="91"/>
        <v>0</v>
      </c>
      <c r="BI121">
        <f t="shared" si="91"/>
        <v>0</v>
      </c>
      <c r="BJ121">
        <f t="shared" si="91"/>
        <v>0</v>
      </c>
      <c r="BK121">
        <f t="shared" si="91"/>
        <v>0</v>
      </c>
      <c r="BL121">
        <f t="shared" si="91"/>
        <v>0</v>
      </c>
      <c r="BM121">
        <f t="shared" si="91"/>
        <v>0</v>
      </c>
      <c r="BN121">
        <f t="shared" si="91"/>
        <v>0</v>
      </c>
      <c r="BO121">
        <f t="shared" si="91"/>
        <v>0</v>
      </c>
      <c r="BP121">
        <f t="shared" si="91"/>
        <v>0</v>
      </c>
      <c r="BQ121">
        <f t="shared" si="91"/>
        <v>0</v>
      </c>
      <c r="BR121">
        <f t="shared" si="91"/>
        <v>0</v>
      </c>
      <c r="BS121">
        <f t="shared" si="91"/>
        <v>0</v>
      </c>
      <c r="BT121">
        <f t="shared" ref="BT121:BY121" si="92">BT40</f>
        <v>0</v>
      </c>
      <c r="BU121">
        <f t="shared" si="92"/>
        <v>0</v>
      </c>
      <c r="BV121">
        <f t="shared" si="92"/>
        <v>0</v>
      </c>
      <c r="BW121">
        <f t="shared" si="92"/>
        <v>0</v>
      </c>
      <c r="BX121">
        <f t="shared" si="92"/>
        <v>0</v>
      </c>
      <c r="BY121">
        <f t="shared" si="92"/>
        <v>0</v>
      </c>
    </row>
    <row r="122" spans="1:77" ht="15" customHeight="1">
      <c r="A122">
        <f t="shared" si="9"/>
        <v>40</v>
      </c>
      <c r="B122" t="str">
        <f t="shared" si="90"/>
        <v>RM000080</v>
      </c>
      <c r="C122" t="str">
        <f t="shared" si="90"/>
        <v>MG</v>
      </c>
      <c r="D122" t="str">
        <f t="shared" si="90"/>
        <v>C39/Pre-Production</v>
      </c>
      <c r="E122" t="str">
        <f t="shared" si="90"/>
        <v>Jowar Grains</v>
      </c>
      <c r="F122" s="102">
        <f t="shared" si="90"/>
        <v>47199.96</v>
      </c>
      <c r="G122">
        <f t="shared" si="90"/>
        <v>7750</v>
      </c>
      <c r="H122" s="102">
        <f t="shared" si="90"/>
        <v>-39449.96</v>
      </c>
      <c r="I122" s="101">
        <f t="shared" si="90"/>
        <v>0.16419505440258847</v>
      </c>
      <c r="J122">
        <f t="shared" si="90"/>
        <v>3000</v>
      </c>
      <c r="K122">
        <f t="shared" si="90"/>
        <v>0</v>
      </c>
      <c r="L122">
        <f t="shared" si="90"/>
        <v>0</v>
      </c>
      <c r="M122">
        <f t="shared" si="90"/>
        <v>0</v>
      </c>
      <c r="N122">
        <f t="shared" si="90"/>
        <v>0</v>
      </c>
      <c r="O122">
        <f t="shared" si="90"/>
        <v>0</v>
      </c>
      <c r="P122">
        <f t="shared" si="90"/>
        <v>0</v>
      </c>
      <c r="Q122">
        <f t="shared" si="90"/>
        <v>0</v>
      </c>
      <c r="R122">
        <f t="shared" si="90"/>
        <v>0</v>
      </c>
      <c r="S122">
        <f t="shared" si="90"/>
        <v>0</v>
      </c>
      <c r="T122">
        <f t="shared" si="90"/>
        <v>0</v>
      </c>
      <c r="U122">
        <f t="shared" si="90"/>
        <v>2000</v>
      </c>
      <c r="V122">
        <f t="shared" si="90"/>
        <v>0</v>
      </c>
      <c r="W122">
        <f t="shared" si="90"/>
        <v>0</v>
      </c>
      <c r="X122">
        <f t="shared" si="90"/>
        <v>0</v>
      </c>
      <c r="Y122">
        <f t="shared" si="90"/>
        <v>5000</v>
      </c>
      <c r="Z122">
        <f t="shared" si="90"/>
        <v>0</v>
      </c>
      <c r="AA122">
        <f t="shared" si="90"/>
        <v>2750</v>
      </c>
      <c r="AB122">
        <f t="shared" si="90"/>
        <v>0</v>
      </c>
      <c r="AC122">
        <f t="shared" si="90"/>
        <v>0</v>
      </c>
      <c r="AD122">
        <f t="shared" si="90"/>
        <v>4300</v>
      </c>
      <c r="AE122">
        <f t="shared" si="90"/>
        <v>0</v>
      </c>
      <c r="AF122">
        <f t="shared" si="90"/>
        <v>0</v>
      </c>
      <c r="AG122">
        <f t="shared" si="90"/>
        <v>0</v>
      </c>
      <c r="AH122">
        <f t="shared" si="90"/>
        <v>0</v>
      </c>
      <c r="AI122">
        <f t="shared" si="90"/>
        <v>0</v>
      </c>
      <c r="AJ122">
        <f t="shared" si="90"/>
        <v>5000</v>
      </c>
      <c r="AK122">
        <f t="shared" si="90"/>
        <v>0</v>
      </c>
      <c r="AL122">
        <f t="shared" si="90"/>
        <v>2000</v>
      </c>
      <c r="AM122">
        <f t="shared" si="90"/>
        <v>4150</v>
      </c>
      <c r="AN122">
        <f t="shared" si="90"/>
        <v>0</v>
      </c>
      <c r="AO122">
        <f t="shared" ref="AO122:BS122" si="93">AO41</f>
        <v>0</v>
      </c>
      <c r="AP122">
        <f t="shared" si="93"/>
        <v>0</v>
      </c>
      <c r="AQ122">
        <f t="shared" si="93"/>
        <v>0</v>
      </c>
      <c r="AR122">
        <f t="shared" si="93"/>
        <v>0</v>
      </c>
      <c r="AS122">
        <f t="shared" si="93"/>
        <v>5000</v>
      </c>
      <c r="AT122">
        <f t="shared" si="93"/>
        <v>0</v>
      </c>
      <c r="AU122">
        <f t="shared" si="93"/>
        <v>0</v>
      </c>
      <c r="AV122">
        <f t="shared" si="93"/>
        <v>0</v>
      </c>
      <c r="AW122">
        <f t="shared" si="93"/>
        <v>0</v>
      </c>
      <c r="AX122">
        <f t="shared" si="93"/>
        <v>2750</v>
      </c>
      <c r="AY122">
        <f t="shared" si="93"/>
        <v>0</v>
      </c>
      <c r="AZ122">
        <f t="shared" si="93"/>
        <v>5000</v>
      </c>
      <c r="BA122">
        <f t="shared" si="93"/>
        <v>0</v>
      </c>
      <c r="BB122">
        <f t="shared" si="93"/>
        <v>0</v>
      </c>
      <c r="BC122">
        <f t="shared" si="93"/>
        <v>0</v>
      </c>
      <c r="BD122">
        <f t="shared" si="93"/>
        <v>0</v>
      </c>
      <c r="BE122">
        <f t="shared" si="93"/>
        <v>0</v>
      </c>
      <c r="BF122">
        <f t="shared" si="93"/>
        <v>0</v>
      </c>
      <c r="BG122">
        <f t="shared" si="93"/>
        <v>0</v>
      </c>
      <c r="BH122">
        <f t="shared" si="93"/>
        <v>0</v>
      </c>
      <c r="BI122">
        <f t="shared" si="93"/>
        <v>0</v>
      </c>
      <c r="BJ122">
        <f t="shared" si="93"/>
        <v>0</v>
      </c>
      <c r="BK122">
        <f t="shared" si="93"/>
        <v>0</v>
      </c>
      <c r="BL122">
        <f t="shared" si="93"/>
        <v>0</v>
      </c>
      <c r="BM122">
        <f t="shared" si="93"/>
        <v>0</v>
      </c>
      <c r="BN122">
        <f t="shared" si="93"/>
        <v>0</v>
      </c>
      <c r="BO122">
        <f t="shared" si="93"/>
        <v>0</v>
      </c>
      <c r="BP122">
        <f t="shared" si="93"/>
        <v>0</v>
      </c>
      <c r="BQ122">
        <f t="shared" si="93"/>
        <v>0</v>
      </c>
      <c r="BR122">
        <f t="shared" si="93"/>
        <v>0</v>
      </c>
      <c r="BS122">
        <f t="shared" si="93"/>
        <v>0</v>
      </c>
      <c r="BT122">
        <f t="shared" ref="BT122:BY122" si="94">BT41</f>
        <v>0</v>
      </c>
      <c r="BU122">
        <f t="shared" si="94"/>
        <v>0</v>
      </c>
      <c r="BV122">
        <f t="shared" si="94"/>
        <v>0</v>
      </c>
      <c r="BW122">
        <f t="shared" si="94"/>
        <v>0</v>
      </c>
      <c r="BX122">
        <f t="shared" si="94"/>
        <v>0</v>
      </c>
      <c r="BY122">
        <f t="shared" si="94"/>
        <v>0</v>
      </c>
    </row>
    <row r="123" spans="1:77" ht="15" customHeight="1">
      <c r="A123">
        <f t="shared" si="9"/>
        <v>41</v>
      </c>
      <c r="B123" t="str">
        <f t="shared" si="90"/>
        <v>RM000074</v>
      </c>
      <c r="C123" t="str">
        <f t="shared" si="90"/>
        <v>MG</v>
      </c>
      <c r="D123" t="str">
        <f t="shared" si="90"/>
        <v>C39/Pre-Production</v>
      </c>
      <c r="E123" t="str">
        <f t="shared" si="90"/>
        <v>Horsegram</v>
      </c>
      <c r="F123" s="102">
        <f t="shared" si="90"/>
        <v>2952.65</v>
      </c>
      <c r="G123">
        <f t="shared" si="90"/>
        <v>510</v>
      </c>
      <c r="H123" s="102">
        <f t="shared" si="90"/>
        <v>-2442.65</v>
      </c>
      <c r="I123" s="101">
        <f t="shared" si="90"/>
        <v>0.17272619511286472</v>
      </c>
      <c r="J123">
        <f t="shared" si="90"/>
        <v>0</v>
      </c>
      <c r="K123">
        <f t="shared" si="90"/>
        <v>0</v>
      </c>
      <c r="L123">
        <f t="shared" si="90"/>
        <v>0</v>
      </c>
      <c r="M123">
        <f t="shared" si="90"/>
        <v>0</v>
      </c>
      <c r="N123">
        <f t="shared" si="90"/>
        <v>0</v>
      </c>
      <c r="O123">
        <f t="shared" si="90"/>
        <v>0</v>
      </c>
      <c r="P123">
        <f t="shared" si="90"/>
        <v>0</v>
      </c>
      <c r="Q123">
        <f t="shared" si="90"/>
        <v>0</v>
      </c>
      <c r="R123">
        <f t="shared" si="90"/>
        <v>0</v>
      </c>
      <c r="S123">
        <f t="shared" si="90"/>
        <v>0</v>
      </c>
      <c r="T123">
        <f t="shared" si="90"/>
        <v>0</v>
      </c>
      <c r="U123">
        <f t="shared" si="90"/>
        <v>0</v>
      </c>
      <c r="V123">
        <f t="shared" si="90"/>
        <v>0</v>
      </c>
      <c r="W123">
        <f t="shared" si="90"/>
        <v>0</v>
      </c>
      <c r="X123">
        <f t="shared" si="90"/>
        <v>0</v>
      </c>
      <c r="Y123">
        <f t="shared" si="90"/>
        <v>0</v>
      </c>
      <c r="Z123">
        <f t="shared" si="90"/>
        <v>0</v>
      </c>
      <c r="AA123">
        <f t="shared" si="90"/>
        <v>0</v>
      </c>
      <c r="AB123">
        <f t="shared" si="90"/>
        <v>0</v>
      </c>
      <c r="AC123">
        <f t="shared" si="90"/>
        <v>0</v>
      </c>
      <c r="AD123">
        <f t="shared" si="90"/>
        <v>0</v>
      </c>
      <c r="AE123">
        <f t="shared" si="90"/>
        <v>0</v>
      </c>
      <c r="AF123">
        <f t="shared" si="90"/>
        <v>0</v>
      </c>
      <c r="AG123">
        <f t="shared" si="90"/>
        <v>0</v>
      </c>
      <c r="AH123">
        <f t="shared" si="90"/>
        <v>0</v>
      </c>
      <c r="AI123">
        <f t="shared" si="90"/>
        <v>0</v>
      </c>
      <c r="AJ123">
        <f t="shared" si="90"/>
        <v>0</v>
      </c>
      <c r="AK123">
        <f t="shared" si="90"/>
        <v>0</v>
      </c>
      <c r="AL123">
        <f t="shared" si="90"/>
        <v>200</v>
      </c>
      <c r="AM123">
        <f t="shared" si="90"/>
        <v>300</v>
      </c>
      <c r="AN123">
        <f t="shared" si="90"/>
        <v>0</v>
      </c>
      <c r="AO123">
        <f t="shared" ref="AO123:BS123" si="95">AO42</f>
        <v>0</v>
      </c>
      <c r="AP123">
        <f t="shared" si="95"/>
        <v>0</v>
      </c>
      <c r="AQ123">
        <f t="shared" si="95"/>
        <v>0</v>
      </c>
      <c r="AR123">
        <f t="shared" si="95"/>
        <v>0</v>
      </c>
      <c r="AS123">
        <f t="shared" si="95"/>
        <v>0</v>
      </c>
      <c r="AT123">
        <f t="shared" si="95"/>
        <v>0</v>
      </c>
      <c r="AU123">
        <f t="shared" si="95"/>
        <v>0</v>
      </c>
      <c r="AV123">
        <f t="shared" si="95"/>
        <v>0</v>
      </c>
      <c r="AW123">
        <f t="shared" si="95"/>
        <v>0</v>
      </c>
      <c r="AX123">
        <f t="shared" si="95"/>
        <v>0</v>
      </c>
      <c r="AY123">
        <f t="shared" si="95"/>
        <v>0</v>
      </c>
      <c r="AZ123">
        <f t="shared" si="95"/>
        <v>510</v>
      </c>
      <c r="BA123">
        <f t="shared" si="95"/>
        <v>0</v>
      </c>
      <c r="BB123">
        <f t="shared" si="95"/>
        <v>0</v>
      </c>
      <c r="BC123">
        <f t="shared" si="95"/>
        <v>0</v>
      </c>
      <c r="BD123">
        <f t="shared" si="95"/>
        <v>0</v>
      </c>
      <c r="BE123">
        <f t="shared" si="95"/>
        <v>0</v>
      </c>
      <c r="BF123">
        <f t="shared" si="95"/>
        <v>0</v>
      </c>
      <c r="BG123">
        <f t="shared" si="95"/>
        <v>0</v>
      </c>
      <c r="BH123">
        <f t="shared" si="95"/>
        <v>0</v>
      </c>
      <c r="BI123">
        <f t="shared" si="95"/>
        <v>0</v>
      </c>
      <c r="BJ123">
        <f t="shared" si="95"/>
        <v>0</v>
      </c>
      <c r="BK123">
        <f t="shared" si="95"/>
        <v>0</v>
      </c>
      <c r="BL123">
        <f t="shared" si="95"/>
        <v>0</v>
      </c>
      <c r="BM123">
        <f t="shared" si="95"/>
        <v>0</v>
      </c>
      <c r="BN123">
        <f t="shared" si="95"/>
        <v>0</v>
      </c>
      <c r="BO123">
        <f t="shared" si="95"/>
        <v>0</v>
      </c>
      <c r="BP123">
        <f t="shared" si="95"/>
        <v>0</v>
      </c>
      <c r="BQ123">
        <f t="shared" si="95"/>
        <v>0</v>
      </c>
      <c r="BR123">
        <f t="shared" si="95"/>
        <v>0</v>
      </c>
      <c r="BS123">
        <f t="shared" si="95"/>
        <v>0</v>
      </c>
      <c r="BT123">
        <f t="shared" ref="BT123:BY123" si="96">BT42</f>
        <v>0</v>
      </c>
      <c r="BU123">
        <f t="shared" si="96"/>
        <v>0</v>
      </c>
      <c r="BV123">
        <f t="shared" si="96"/>
        <v>0</v>
      </c>
      <c r="BW123">
        <f t="shared" si="96"/>
        <v>0</v>
      </c>
      <c r="BX123">
        <f t="shared" si="96"/>
        <v>0</v>
      </c>
      <c r="BY123">
        <f t="shared" si="96"/>
        <v>0</v>
      </c>
    </row>
    <row r="124" spans="1:77" ht="15" customHeight="1">
      <c r="A124">
        <f t="shared" si="9"/>
        <v>42</v>
      </c>
      <c r="B124" t="str">
        <f t="shared" si="90"/>
        <v>RM000072</v>
      </c>
      <c r="C124" t="str">
        <f t="shared" si="90"/>
        <v>MG</v>
      </c>
      <c r="D124" t="str">
        <f t="shared" si="90"/>
        <v>C39/Pre-Production</v>
      </c>
      <c r="E124" t="str">
        <f t="shared" si="90"/>
        <v>Harbara Dal</v>
      </c>
      <c r="F124" s="102">
        <f t="shared" si="90"/>
        <v>242.52000000000041</v>
      </c>
      <c r="G124">
        <f t="shared" si="90"/>
        <v>0</v>
      </c>
      <c r="H124" s="102">
        <f t="shared" si="90"/>
        <v>-242.52000000000041</v>
      </c>
      <c r="I124" s="101">
        <f t="shared" si="90"/>
        <v>0</v>
      </c>
      <c r="J124">
        <f t="shared" si="90"/>
        <v>0</v>
      </c>
      <c r="K124">
        <f t="shared" si="90"/>
        <v>0</v>
      </c>
      <c r="L124">
        <f t="shared" si="90"/>
        <v>0</v>
      </c>
      <c r="M124">
        <f t="shared" si="90"/>
        <v>2000</v>
      </c>
      <c r="N124">
        <f t="shared" si="90"/>
        <v>0</v>
      </c>
      <c r="O124">
        <f t="shared" si="90"/>
        <v>0</v>
      </c>
      <c r="P124">
        <f t="shared" si="90"/>
        <v>0</v>
      </c>
      <c r="Q124">
        <f t="shared" si="90"/>
        <v>0</v>
      </c>
      <c r="R124">
        <f t="shared" si="90"/>
        <v>0</v>
      </c>
      <c r="S124">
        <f t="shared" si="90"/>
        <v>0</v>
      </c>
      <c r="T124">
        <f t="shared" si="90"/>
        <v>0</v>
      </c>
      <c r="U124">
        <f t="shared" si="90"/>
        <v>0</v>
      </c>
      <c r="V124">
        <f t="shared" si="90"/>
        <v>0</v>
      </c>
      <c r="W124">
        <f t="shared" si="90"/>
        <v>0</v>
      </c>
      <c r="X124">
        <f t="shared" si="90"/>
        <v>0</v>
      </c>
      <c r="Y124">
        <f t="shared" si="90"/>
        <v>0</v>
      </c>
      <c r="Z124">
        <f t="shared" si="90"/>
        <v>0</v>
      </c>
      <c r="AA124">
        <f t="shared" si="90"/>
        <v>0</v>
      </c>
      <c r="AB124">
        <f t="shared" si="90"/>
        <v>0</v>
      </c>
      <c r="AC124">
        <f t="shared" si="90"/>
        <v>0</v>
      </c>
      <c r="AD124">
        <f t="shared" si="90"/>
        <v>0</v>
      </c>
      <c r="AE124">
        <f t="shared" si="90"/>
        <v>0</v>
      </c>
      <c r="AF124">
        <f t="shared" si="90"/>
        <v>2000</v>
      </c>
      <c r="AG124">
        <f t="shared" si="90"/>
        <v>0</v>
      </c>
      <c r="AH124">
        <f t="shared" si="90"/>
        <v>0</v>
      </c>
      <c r="AI124">
        <f t="shared" si="90"/>
        <v>0</v>
      </c>
      <c r="AJ124">
        <f t="shared" si="90"/>
        <v>3000</v>
      </c>
      <c r="AK124">
        <f t="shared" si="90"/>
        <v>0</v>
      </c>
      <c r="AL124">
        <f t="shared" si="90"/>
        <v>0</v>
      </c>
      <c r="AM124">
        <f t="shared" si="90"/>
        <v>500</v>
      </c>
      <c r="AN124">
        <f t="shared" si="90"/>
        <v>3000</v>
      </c>
      <c r="AO124">
        <f t="shared" ref="AO124:BS124" si="97">AO43</f>
        <v>0</v>
      </c>
      <c r="AP124">
        <f t="shared" si="97"/>
        <v>0</v>
      </c>
      <c r="AQ124">
        <f t="shared" si="97"/>
        <v>0</v>
      </c>
      <c r="AR124">
        <f t="shared" si="97"/>
        <v>1550</v>
      </c>
      <c r="AS124">
        <f t="shared" si="97"/>
        <v>0</v>
      </c>
      <c r="AT124">
        <f t="shared" si="97"/>
        <v>0</v>
      </c>
      <c r="AU124">
        <f t="shared" si="97"/>
        <v>0</v>
      </c>
      <c r="AV124">
        <f t="shared" si="97"/>
        <v>0</v>
      </c>
      <c r="AW124">
        <f t="shared" si="97"/>
        <v>0</v>
      </c>
      <c r="AX124">
        <f t="shared" si="97"/>
        <v>0</v>
      </c>
      <c r="AY124">
        <f t="shared" si="97"/>
        <v>0</v>
      </c>
      <c r="AZ124">
        <f t="shared" si="97"/>
        <v>0</v>
      </c>
      <c r="BA124">
        <f t="shared" si="97"/>
        <v>0</v>
      </c>
      <c r="BB124">
        <f t="shared" si="97"/>
        <v>0</v>
      </c>
      <c r="BC124">
        <f t="shared" si="97"/>
        <v>0</v>
      </c>
      <c r="BD124">
        <f t="shared" si="97"/>
        <v>0</v>
      </c>
      <c r="BE124">
        <f t="shared" si="97"/>
        <v>0</v>
      </c>
      <c r="BF124">
        <f t="shared" si="97"/>
        <v>0</v>
      </c>
      <c r="BG124">
        <f t="shared" si="97"/>
        <v>0</v>
      </c>
      <c r="BH124">
        <f t="shared" si="97"/>
        <v>0</v>
      </c>
      <c r="BI124">
        <f t="shared" si="97"/>
        <v>0</v>
      </c>
      <c r="BJ124">
        <f t="shared" si="97"/>
        <v>0</v>
      </c>
      <c r="BK124">
        <f t="shared" si="97"/>
        <v>0</v>
      </c>
      <c r="BL124">
        <f t="shared" si="97"/>
        <v>0</v>
      </c>
      <c r="BM124">
        <f t="shared" si="97"/>
        <v>0</v>
      </c>
      <c r="BN124">
        <f t="shared" si="97"/>
        <v>0</v>
      </c>
      <c r="BO124">
        <f t="shared" si="97"/>
        <v>0</v>
      </c>
      <c r="BP124">
        <f t="shared" si="97"/>
        <v>0</v>
      </c>
      <c r="BQ124">
        <f t="shared" si="97"/>
        <v>0</v>
      </c>
      <c r="BR124">
        <f t="shared" si="97"/>
        <v>0</v>
      </c>
      <c r="BS124">
        <f t="shared" si="97"/>
        <v>0</v>
      </c>
      <c r="BT124">
        <f t="shared" ref="BT124:BY124" si="98">BT43</f>
        <v>0</v>
      </c>
      <c r="BU124">
        <f t="shared" si="98"/>
        <v>0</v>
      </c>
      <c r="BV124">
        <f t="shared" si="98"/>
        <v>0</v>
      </c>
      <c r="BW124">
        <f t="shared" si="98"/>
        <v>0</v>
      </c>
      <c r="BX124">
        <f t="shared" si="98"/>
        <v>0</v>
      </c>
      <c r="BY124">
        <f t="shared" si="98"/>
        <v>0</v>
      </c>
    </row>
    <row r="125" spans="1:77" ht="15" customHeight="1">
      <c r="A125">
        <f t="shared" si="9"/>
        <v>43</v>
      </c>
      <c r="B125" t="str">
        <f t="shared" si="90"/>
        <v>RM000057</v>
      </c>
      <c r="C125" t="str">
        <f t="shared" si="90"/>
        <v>MG</v>
      </c>
      <c r="D125" t="str">
        <f t="shared" si="90"/>
        <v>C39/Pre-Production</v>
      </c>
      <c r="E125" t="str">
        <f t="shared" si="90"/>
        <v>Finger Millet</v>
      </c>
      <c r="F125" s="102">
        <f t="shared" si="90"/>
        <v>19836.68</v>
      </c>
      <c r="G125">
        <f t="shared" si="90"/>
        <v>0</v>
      </c>
      <c r="H125" s="102">
        <f t="shared" si="90"/>
        <v>-19836.68</v>
      </c>
      <c r="I125" s="101">
        <f t="shared" si="90"/>
        <v>0</v>
      </c>
      <c r="J125">
        <f t="shared" si="90"/>
        <v>0</v>
      </c>
      <c r="K125">
        <f t="shared" si="90"/>
        <v>0</v>
      </c>
      <c r="L125">
        <f t="shared" si="90"/>
        <v>0</v>
      </c>
      <c r="M125">
        <f t="shared" si="90"/>
        <v>0</v>
      </c>
      <c r="N125">
        <f t="shared" si="90"/>
        <v>0</v>
      </c>
      <c r="O125">
        <f t="shared" si="90"/>
        <v>0</v>
      </c>
      <c r="P125">
        <f t="shared" si="90"/>
        <v>0</v>
      </c>
      <c r="Q125">
        <f t="shared" si="90"/>
        <v>0</v>
      </c>
      <c r="R125">
        <f t="shared" si="90"/>
        <v>0</v>
      </c>
      <c r="S125">
        <f t="shared" si="90"/>
        <v>0</v>
      </c>
      <c r="T125">
        <f t="shared" si="90"/>
        <v>0</v>
      </c>
      <c r="U125">
        <f t="shared" si="90"/>
        <v>0</v>
      </c>
      <c r="V125">
        <f t="shared" si="90"/>
        <v>0</v>
      </c>
      <c r="W125">
        <f t="shared" si="90"/>
        <v>0</v>
      </c>
      <c r="X125">
        <f t="shared" si="90"/>
        <v>0</v>
      </c>
      <c r="Y125">
        <f t="shared" si="90"/>
        <v>0</v>
      </c>
      <c r="Z125">
        <f t="shared" si="90"/>
        <v>0</v>
      </c>
      <c r="AA125">
        <f t="shared" si="90"/>
        <v>0</v>
      </c>
      <c r="AB125">
        <f t="shared" si="90"/>
        <v>0</v>
      </c>
      <c r="AC125">
        <f t="shared" si="90"/>
        <v>0</v>
      </c>
      <c r="AD125">
        <f t="shared" si="90"/>
        <v>0</v>
      </c>
      <c r="AE125">
        <f t="shared" si="90"/>
        <v>0</v>
      </c>
      <c r="AF125">
        <f t="shared" si="90"/>
        <v>3000</v>
      </c>
      <c r="AG125">
        <f t="shared" si="90"/>
        <v>0</v>
      </c>
      <c r="AH125">
        <f t="shared" si="90"/>
        <v>0</v>
      </c>
      <c r="AI125">
        <f t="shared" si="90"/>
        <v>0</v>
      </c>
      <c r="AJ125">
        <f t="shared" si="90"/>
        <v>3000</v>
      </c>
      <c r="AK125">
        <f t="shared" si="90"/>
        <v>0</v>
      </c>
      <c r="AL125">
        <f t="shared" si="90"/>
        <v>2010</v>
      </c>
      <c r="AM125">
        <f t="shared" si="90"/>
        <v>3000</v>
      </c>
      <c r="AN125">
        <f t="shared" si="90"/>
        <v>3000</v>
      </c>
      <c r="AO125">
        <f t="shared" ref="AO125:BS125" si="99">AO44</f>
        <v>0</v>
      </c>
      <c r="AP125">
        <f t="shared" si="99"/>
        <v>0</v>
      </c>
      <c r="AQ125">
        <f t="shared" si="99"/>
        <v>0</v>
      </c>
      <c r="AR125">
        <f t="shared" si="99"/>
        <v>0</v>
      </c>
      <c r="AS125">
        <f t="shared" si="99"/>
        <v>5010</v>
      </c>
      <c r="AT125">
        <f t="shared" si="99"/>
        <v>0</v>
      </c>
      <c r="AU125">
        <f t="shared" si="99"/>
        <v>0</v>
      </c>
      <c r="AV125">
        <f t="shared" si="99"/>
        <v>0</v>
      </c>
      <c r="AW125">
        <f t="shared" si="99"/>
        <v>0</v>
      </c>
      <c r="AX125">
        <f t="shared" si="99"/>
        <v>0</v>
      </c>
      <c r="AY125">
        <f t="shared" si="99"/>
        <v>0</v>
      </c>
      <c r="AZ125">
        <f t="shared" si="99"/>
        <v>0</v>
      </c>
      <c r="BA125">
        <f t="shared" si="99"/>
        <v>0</v>
      </c>
      <c r="BB125">
        <f t="shared" si="99"/>
        <v>0</v>
      </c>
      <c r="BC125">
        <f t="shared" si="99"/>
        <v>0</v>
      </c>
      <c r="BD125">
        <f t="shared" si="99"/>
        <v>0</v>
      </c>
      <c r="BE125">
        <f t="shared" si="99"/>
        <v>0</v>
      </c>
      <c r="BF125">
        <f t="shared" si="99"/>
        <v>0</v>
      </c>
      <c r="BG125">
        <f t="shared" si="99"/>
        <v>0</v>
      </c>
      <c r="BH125">
        <f t="shared" si="99"/>
        <v>0</v>
      </c>
      <c r="BI125">
        <f t="shared" si="99"/>
        <v>0</v>
      </c>
      <c r="BJ125">
        <f t="shared" si="99"/>
        <v>0</v>
      </c>
      <c r="BK125">
        <f t="shared" si="99"/>
        <v>0</v>
      </c>
      <c r="BL125">
        <f t="shared" si="99"/>
        <v>0</v>
      </c>
      <c r="BM125">
        <f t="shared" si="99"/>
        <v>0</v>
      </c>
      <c r="BN125">
        <f t="shared" si="99"/>
        <v>0</v>
      </c>
      <c r="BO125">
        <f t="shared" si="99"/>
        <v>0</v>
      </c>
      <c r="BP125">
        <f t="shared" si="99"/>
        <v>0</v>
      </c>
      <c r="BQ125">
        <f t="shared" si="99"/>
        <v>0</v>
      </c>
      <c r="BR125">
        <f t="shared" si="99"/>
        <v>0</v>
      </c>
      <c r="BS125">
        <f t="shared" si="99"/>
        <v>0</v>
      </c>
      <c r="BT125">
        <f t="shared" ref="BT125:BY125" si="100">BT44</f>
        <v>0</v>
      </c>
      <c r="BU125">
        <f t="shared" si="100"/>
        <v>0</v>
      </c>
      <c r="BV125">
        <f t="shared" si="100"/>
        <v>0</v>
      </c>
      <c r="BW125">
        <f t="shared" si="100"/>
        <v>0</v>
      </c>
      <c r="BX125">
        <f t="shared" si="100"/>
        <v>0</v>
      </c>
      <c r="BY125">
        <f t="shared" si="100"/>
        <v>0</v>
      </c>
    </row>
    <row r="126" spans="1:77" ht="15" customHeight="1">
      <c r="A126">
        <f t="shared" si="9"/>
        <v>44</v>
      </c>
      <c r="B126" t="str">
        <f t="shared" si="90"/>
        <v>RM000226</v>
      </c>
      <c r="C126" t="str">
        <f t="shared" si="90"/>
        <v>Jaggery</v>
      </c>
      <c r="D126" t="str">
        <f t="shared" si="90"/>
        <v>C39/Pre-Production</v>
      </c>
      <c r="E126" t="str">
        <f t="shared" si="90"/>
        <v>RM Jaggery Spice Cube 5 GM</v>
      </c>
      <c r="F126" s="102" t="str">
        <f t="shared" si="90"/>
        <v>0</v>
      </c>
      <c r="G126">
        <f t="shared" si="90"/>
        <v>0</v>
      </c>
      <c r="H126" s="102">
        <f t="shared" si="90"/>
        <v>0</v>
      </c>
      <c r="I126" s="101">
        <f t="shared" si="90"/>
        <v>0</v>
      </c>
      <c r="J126">
        <f t="shared" si="90"/>
        <v>0</v>
      </c>
      <c r="K126">
        <f t="shared" si="90"/>
        <v>0</v>
      </c>
      <c r="L126">
        <f t="shared" si="90"/>
        <v>0</v>
      </c>
      <c r="M126">
        <f t="shared" si="90"/>
        <v>0</v>
      </c>
      <c r="N126">
        <f t="shared" si="90"/>
        <v>0</v>
      </c>
      <c r="O126">
        <f t="shared" si="90"/>
        <v>0</v>
      </c>
      <c r="P126">
        <f t="shared" si="90"/>
        <v>0</v>
      </c>
      <c r="Q126">
        <f t="shared" si="90"/>
        <v>0</v>
      </c>
      <c r="R126">
        <f t="shared" si="90"/>
        <v>0</v>
      </c>
      <c r="S126">
        <f t="shared" si="90"/>
        <v>0</v>
      </c>
      <c r="T126">
        <f t="shared" si="90"/>
        <v>0</v>
      </c>
      <c r="U126">
        <f t="shared" si="90"/>
        <v>0</v>
      </c>
      <c r="V126">
        <f t="shared" si="90"/>
        <v>0</v>
      </c>
      <c r="W126">
        <f t="shared" si="90"/>
        <v>0</v>
      </c>
      <c r="X126">
        <f t="shared" si="90"/>
        <v>0</v>
      </c>
      <c r="Y126">
        <f t="shared" si="90"/>
        <v>0</v>
      </c>
      <c r="Z126">
        <f t="shared" si="90"/>
        <v>0</v>
      </c>
      <c r="AA126">
        <f t="shared" si="90"/>
        <v>0</v>
      </c>
      <c r="AB126">
        <f t="shared" si="90"/>
        <v>0</v>
      </c>
      <c r="AC126">
        <f t="shared" si="90"/>
        <v>0</v>
      </c>
      <c r="AD126">
        <f t="shared" si="90"/>
        <v>0</v>
      </c>
      <c r="AE126">
        <f t="shared" si="90"/>
        <v>0</v>
      </c>
      <c r="AF126">
        <f t="shared" si="90"/>
        <v>0</v>
      </c>
      <c r="AG126">
        <f t="shared" ref="B126:AN132" si="101">AG45</f>
        <v>0</v>
      </c>
      <c r="AH126">
        <f t="shared" si="101"/>
        <v>0</v>
      </c>
      <c r="AI126">
        <f t="shared" si="101"/>
        <v>0</v>
      </c>
      <c r="AJ126">
        <f t="shared" si="101"/>
        <v>0</v>
      </c>
      <c r="AK126">
        <f t="shared" si="101"/>
        <v>0</v>
      </c>
      <c r="AL126">
        <f t="shared" si="101"/>
        <v>0</v>
      </c>
      <c r="AM126">
        <f t="shared" si="101"/>
        <v>0</v>
      </c>
      <c r="AN126">
        <f t="shared" si="101"/>
        <v>0</v>
      </c>
      <c r="AO126">
        <f t="shared" ref="AO126:BS126" si="102">AO45</f>
        <v>0</v>
      </c>
      <c r="AP126">
        <f t="shared" si="102"/>
        <v>0</v>
      </c>
      <c r="AQ126">
        <f t="shared" si="102"/>
        <v>0</v>
      </c>
      <c r="AR126">
        <f t="shared" si="102"/>
        <v>0</v>
      </c>
      <c r="AS126">
        <f t="shared" si="102"/>
        <v>0</v>
      </c>
      <c r="AT126">
        <f t="shared" si="102"/>
        <v>0</v>
      </c>
      <c r="AU126">
        <f t="shared" si="102"/>
        <v>0</v>
      </c>
      <c r="AV126">
        <f t="shared" si="102"/>
        <v>0</v>
      </c>
      <c r="AW126">
        <f t="shared" si="102"/>
        <v>0</v>
      </c>
      <c r="AX126">
        <f t="shared" si="102"/>
        <v>0</v>
      </c>
      <c r="AY126">
        <f t="shared" si="102"/>
        <v>0</v>
      </c>
      <c r="AZ126">
        <f t="shared" si="102"/>
        <v>0</v>
      </c>
      <c r="BA126">
        <f t="shared" si="102"/>
        <v>0</v>
      </c>
      <c r="BB126">
        <f t="shared" si="102"/>
        <v>0</v>
      </c>
      <c r="BC126">
        <f t="shared" si="102"/>
        <v>0</v>
      </c>
      <c r="BD126">
        <f t="shared" si="102"/>
        <v>0</v>
      </c>
      <c r="BE126">
        <f t="shared" si="102"/>
        <v>0</v>
      </c>
      <c r="BF126">
        <f t="shared" si="102"/>
        <v>0</v>
      </c>
      <c r="BG126">
        <f t="shared" si="102"/>
        <v>0</v>
      </c>
      <c r="BH126">
        <f t="shared" si="102"/>
        <v>0</v>
      </c>
      <c r="BI126">
        <f t="shared" si="102"/>
        <v>0</v>
      </c>
      <c r="BJ126">
        <f t="shared" si="102"/>
        <v>0</v>
      </c>
      <c r="BK126">
        <f t="shared" si="102"/>
        <v>0</v>
      </c>
      <c r="BL126">
        <f t="shared" si="102"/>
        <v>0</v>
      </c>
      <c r="BM126">
        <f t="shared" si="102"/>
        <v>0</v>
      </c>
      <c r="BN126">
        <f t="shared" si="102"/>
        <v>0</v>
      </c>
      <c r="BO126">
        <f t="shared" si="102"/>
        <v>0</v>
      </c>
      <c r="BP126">
        <f t="shared" si="102"/>
        <v>0</v>
      </c>
      <c r="BQ126">
        <f t="shared" si="102"/>
        <v>0</v>
      </c>
      <c r="BR126">
        <f t="shared" si="102"/>
        <v>0</v>
      </c>
      <c r="BS126">
        <f t="shared" si="102"/>
        <v>0</v>
      </c>
      <c r="BT126">
        <f t="shared" ref="BT126:BY126" si="103">BT45</f>
        <v>0</v>
      </c>
      <c r="BU126">
        <f t="shared" si="103"/>
        <v>0</v>
      </c>
      <c r="BV126">
        <f t="shared" si="103"/>
        <v>0</v>
      </c>
      <c r="BW126">
        <f t="shared" si="103"/>
        <v>0</v>
      </c>
      <c r="BX126">
        <f t="shared" si="103"/>
        <v>0</v>
      </c>
      <c r="BY126">
        <f t="shared" si="103"/>
        <v>0</v>
      </c>
    </row>
    <row r="127" spans="1:77" ht="15" customHeight="1">
      <c r="A127">
        <f t="shared" si="9"/>
        <v>45</v>
      </c>
      <c r="B127" t="str">
        <f t="shared" si="101"/>
        <v>RM000186</v>
      </c>
      <c r="C127" t="str">
        <f t="shared" si="101"/>
        <v>Jaggery</v>
      </c>
      <c r="D127" t="str">
        <f t="shared" si="101"/>
        <v>C39/Pre-Production</v>
      </c>
      <c r="E127" t="str">
        <f t="shared" si="101"/>
        <v>Sugarcane Jaggery Block - 900gm</v>
      </c>
      <c r="F127" s="102">
        <f t="shared" si="101"/>
        <v>84810.12</v>
      </c>
      <c r="G127">
        <f t="shared" si="101"/>
        <v>43715</v>
      </c>
      <c r="H127" s="102">
        <f t="shared" si="101"/>
        <v>-41095.119999999995</v>
      </c>
      <c r="I127" s="101">
        <f t="shared" si="101"/>
        <v>0.51544556239278994</v>
      </c>
      <c r="J127">
        <f t="shared" si="101"/>
        <v>0</v>
      </c>
      <c r="K127">
        <f t="shared" si="101"/>
        <v>0</v>
      </c>
      <c r="L127">
        <f t="shared" si="101"/>
        <v>0</v>
      </c>
      <c r="M127">
        <f t="shared" si="101"/>
        <v>0</v>
      </c>
      <c r="N127">
        <f t="shared" si="101"/>
        <v>0</v>
      </c>
      <c r="O127">
        <f t="shared" si="101"/>
        <v>0</v>
      </c>
      <c r="P127">
        <f t="shared" si="101"/>
        <v>0</v>
      </c>
      <c r="Q127">
        <f t="shared" si="101"/>
        <v>0</v>
      </c>
      <c r="R127">
        <f t="shared" si="101"/>
        <v>0</v>
      </c>
      <c r="S127">
        <f t="shared" si="101"/>
        <v>0</v>
      </c>
      <c r="T127">
        <f t="shared" si="101"/>
        <v>0</v>
      </c>
      <c r="U127">
        <f t="shared" si="101"/>
        <v>0</v>
      </c>
      <c r="V127">
        <f t="shared" si="101"/>
        <v>0</v>
      </c>
      <c r="W127">
        <f t="shared" si="101"/>
        <v>0</v>
      </c>
      <c r="X127">
        <f t="shared" si="101"/>
        <v>2400</v>
      </c>
      <c r="Y127">
        <f t="shared" si="101"/>
        <v>2240</v>
      </c>
      <c r="Z127">
        <f t="shared" si="101"/>
        <v>2400</v>
      </c>
      <c r="AA127">
        <f t="shared" si="101"/>
        <v>4375</v>
      </c>
      <c r="AB127">
        <f t="shared" si="101"/>
        <v>2300</v>
      </c>
      <c r="AC127">
        <f t="shared" si="101"/>
        <v>3150</v>
      </c>
      <c r="AD127">
        <f t="shared" si="101"/>
        <v>0</v>
      </c>
      <c r="AE127">
        <f t="shared" si="101"/>
        <v>0</v>
      </c>
      <c r="AF127">
        <f t="shared" si="101"/>
        <v>2375</v>
      </c>
      <c r="AG127">
        <f t="shared" si="101"/>
        <v>2560</v>
      </c>
      <c r="AH127">
        <f t="shared" si="101"/>
        <v>0</v>
      </c>
      <c r="AI127">
        <f t="shared" si="101"/>
        <v>6005</v>
      </c>
      <c r="AJ127">
        <f t="shared" si="101"/>
        <v>0</v>
      </c>
      <c r="AK127">
        <f t="shared" si="101"/>
        <v>0</v>
      </c>
      <c r="AL127">
        <f t="shared" si="101"/>
        <v>5400</v>
      </c>
      <c r="AM127">
        <f t="shared" si="101"/>
        <v>0</v>
      </c>
      <c r="AN127">
        <f t="shared" si="101"/>
        <v>0</v>
      </c>
      <c r="AO127">
        <f t="shared" ref="AO127:BS127" si="104">AO46</f>
        <v>2800</v>
      </c>
      <c r="AP127">
        <f t="shared" si="104"/>
        <v>2800</v>
      </c>
      <c r="AQ127">
        <f t="shared" si="104"/>
        <v>0</v>
      </c>
      <c r="AR127">
        <f t="shared" si="104"/>
        <v>0</v>
      </c>
      <c r="AS127">
        <f t="shared" si="104"/>
        <v>6325</v>
      </c>
      <c r="AT127">
        <f t="shared" si="104"/>
        <v>2800</v>
      </c>
      <c r="AU127">
        <f t="shared" si="104"/>
        <v>4320</v>
      </c>
      <c r="AV127">
        <f t="shared" si="104"/>
        <v>0</v>
      </c>
      <c r="AW127">
        <f t="shared" si="104"/>
        <v>0</v>
      </c>
      <c r="AX127">
        <f t="shared" si="104"/>
        <v>12025</v>
      </c>
      <c r="AY127">
        <f t="shared" si="104"/>
        <v>0</v>
      </c>
      <c r="AZ127">
        <f t="shared" si="104"/>
        <v>4700</v>
      </c>
      <c r="BA127">
        <f t="shared" si="104"/>
        <v>4700</v>
      </c>
      <c r="BB127">
        <f t="shared" si="104"/>
        <v>5600</v>
      </c>
      <c r="BC127">
        <f t="shared" si="104"/>
        <v>9945</v>
      </c>
      <c r="BD127">
        <f t="shared" si="104"/>
        <v>6745</v>
      </c>
      <c r="BE127">
        <f t="shared" si="104"/>
        <v>0</v>
      </c>
      <c r="BF127">
        <f t="shared" si="104"/>
        <v>0</v>
      </c>
      <c r="BG127">
        <f t="shared" si="104"/>
        <v>0</v>
      </c>
      <c r="BH127">
        <f t="shared" si="104"/>
        <v>0</v>
      </c>
      <c r="BI127">
        <f t="shared" si="104"/>
        <v>0</v>
      </c>
      <c r="BJ127">
        <f t="shared" si="104"/>
        <v>0</v>
      </c>
      <c r="BK127">
        <f t="shared" si="104"/>
        <v>0</v>
      </c>
      <c r="BL127">
        <f t="shared" si="104"/>
        <v>0</v>
      </c>
      <c r="BM127">
        <f t="shared" si="104"/>
        <v>0</v>
      </c>
      <c r="BN127">
        <f t="shared" si="104"/>
        <v>0</v>
      </c>
      <c r="BO127">
        <f t="shared" si="104"/>
        <v>0</v>
      </c>
      <c r="BP127">
        <f t="shared" si="104"/>
        <v>0</v>
      </c>
      <c r="BQ127">
        <f t="shared" si="104"/>
        <v>0</v>
      </c>
      <c r="BR127">
        <f t="shared" si="104"/>
        <v>0</v>
      </c>
      <c r="BS127">
        <f t="shared" si="104"/>
        <v>0</v>
      </c>
      <c r="BT127">
        <f t="shared" ref="BT127:BY127" si="105">BT46</f>
        <v>0</v>
      </c>
      <c r="BU127">
        <f t="shared" si="105"/>
        <v>0</v>
      </c>
      <c r="BV127">
        <f t="shared" si="105"/>
        <v>0</v>
      </c>
      <c r="BW127">
        <f t="shared" si="105"/>
        <v>0</v>
      </c>
      <c r="BX127">
        <f t="shared" si="105"/>
        <v>0</v>
      </c>
      <c r="BY127">
        <f t="shared" si="105"/>
        <v>0</v>
      </c>
    </row>
    <row r="128" spans="1:77" ht="15" customHeight="1">
      <c r="A128">
        <f t="shared" si="9"/>
        <v>46</v>
      </c>
      <c r="B128" t="str">
        <f t="shared" si="101"/>
        <v>RM000183</v>
      </c>
      <c r="C128" t="str">
        <f t="shared" si="101"/>
        <v>Jaggery</v>
      </c>
      <c r="D128" t="str">
        <f t="shared" si="101"/>
        <v>C39/Pre-Production</v>
      </c>
      <c r="E128" t="str">
        <f t="shared" si="101"/>
        <v>Solid Date Palm Jaggery</v>
      </c>
      <c r="F128" s="102">
        <f t="shared" si="101"/>
        <v>0</v>
      </c>
      <c r="G128">
        <f t="shared" si="101"/>
        <v>0</v>
      </c>
      <c r="H128" s="102">
        <f t="shared" si="101"/>
        <v>0</v>
      </c>
      <c r="I128" s="101">
        <f t="shared" si="101"/>
        <v>0</v>
      </c>
      <c r="J128">
        <f t="shared" si="101"/>
        <v>0</v>
      </c>
      <c r="K128">
        <f t="shared" si="101"/>
        <v>0</v>
      </c>
      <c r="L128">
        <f t="shared" si="101"/>
        <v>0</v>
      </c>
      <c r="M128">
        <f t="shared" si="101"/>
        <v>0</v>
      </c>
      <c r="N128">
        <f t="shared" si="101"/>
        <v>0</v>
      </c>
      <c r="O128">
        <f t="shared" si="101"/>
        <v>0</v>
      </c>
      <c r="P128">
        <f t="shared" si="101"/>
        <v>0</v>
      </c>
      <c r="Q128">
        <f t="shared" si="101"/>
        <v>0</v>
      </c>
      <c r="R128">
        <f t="shared" si="101"/>
        <v>0</v>
      </c>
      <c r="S128">
        <f t="shared" si="101"/>
        <v>0</v>
      </c>
      <c r="T128">
        <f t="shared" si="101"/>
        <v>0</v>
      </c>
      <c r="U128">
        <f t="shared" si="101"/>
        <v>0</v>
      </c>
      <c r="V128">
        <f t="shared" si="101"/>
        <v>0</v>
      </c>
      <c r="W128">
        <f t="shared" si="101"/>
        <v>0</v>
      </c>
      <c r="X128">
        <f t="shared" si="101"/>
        <v>0</v>
      </c>
      <c r="Y128">
        <f t="shared" si="101"/>
        <v>0</v>
      </c>
      <c r="Z128">
        <f t="shared" si="101"/>
        <v>0</v>
      </c>
      <c r="AA128">
        <f t="shared" si="101"/>
        <v>0</v>
      </c>
      <c r="AB128">
        <f t="shared" si="101"/>
        <v>0</v>
      </c>
      <c r="AC128">
        <f t="shared" si="101"/>
        <v>0</v>
      </c>
      <c r="AD128">
        <f t="shared" si="101"/>
        <v>0</v>
      </c>
      <c r="AE128">
        <f t="shared" si="101"/>
        <v>0</v>
      </c>
      <c r="AF128">
        <f t="shared" si="101"/>
        <v>0</v>
      </c>
      <c r="AG128">
        <f t="shared" si="101"/>
        <v>0</v>
      </c>
      <c r="AH128">
        <f t="shared" si="101"/>
        <v>0</v>
      </c>
      <c r="AI128">
        <f t="shared" si="101"/>
        <v>0</v>
      </c>
      <c r="AJ128">
        <f t="shared" si="101"/>
        <v>0</v>
      </c>
      <c r="AK128">
        <f t="shared" si="101"/>
        <v>0</v>
      </c>
      <c r="AL128">
        <f t="shared" si="101"/>
        <v>0</v>
      </c>
      <c r="AM128">
        <f t="shared" si="101"/>
        <v>0</v>
      </c>
      <c r="AN128">
        <f t="shared" si="101"/>
        <v>0</v>
      </c>
      <c r="AO128">
        <f t="shared" ref="AO128:BS128" si="106">AO47</f>
        <v>0</v>
      </c>
      <c r="AP128">
        <f t="shared" si="106"/>
        <v>0</v>
      </c>
      <c r="AQ128">
        <f t="shared" si="106"/>
        <v>0</v>
      </c>
      <c r="AR128">
        <f t="shared" si="106"/>
        <v>0</v>
      </c>
      <c r="AS128">
        <f t="shared" si="106"/>
        <v>0</v>
      </c>
      <c r="AT128">
        <f t="shared" si="106"/>
        <v>0</v>
      </c>
      <c r="AU128">
        <f t="shared" si="106"/>
        <v>0</v>
      </c>
      <c r="AV128">
        <f t="shared" si="106"/>
        <v>0</v>
      </c>
      <c r="AW128">
        <f t="shared" si="106"/>
        <v>0</v>
      </c>
      <c r="AX128">
        <f t="shared" si="106"/>
        <v>0</v>
      </c>
      <c r="AY128">
        <f t="shared" si="106"/>
        <v>0</v>
      </c>
      <c r="AZ128">
        <f t="shared" si="106"/>
        <v>0</v>
      </c>
      <c r="BA128">
        <f t="shared" si="106"/>
        <v>0</v>
      </c>
      <c r="BB128">
        <f t="shared" si="106"/>
        <v>0</v>
      </c>
      <c r="BC128">
        <f t="shared" si="106"/>
        <v>0</v>
      </c>
      <c r="BD128">
        <f t="shared" si="106"/>
        <v>0</v>
      </c>
      <c r="BE128">
        <f t="shared" si="106"/>
        <v>0</v>
      </c>
      <c r="BF128">
        <f t="shared" si="106"/>
        <v>0</v>
      </c>
      <c r="BG128">
        <f t="shared" si="106"/>
        <v>0</v>
      </c>
      <c r="BH128">
        <f t="shared" si="106"/>
        <v>0</v>
      </c>
      <c r="BI128">
        <f t="shared" si="106"/>
        <v>0</v>
      </c>
      <c r="BJ128">
        <f t="shared" si="106"/>
        <v>0</v>
      </c>
      <c r="BK128">
        <f t="shared" si="106"/>
        <v>0</v>
      </c>
      <c r="BL128">
        <f t="shared" si="106"/>
        <v>0</v>
      </c>
      <c r="BM128">
        <f t="shared" si="106"/>
        <v>0</v>
      </c>
      <c r="BN128">
        <f t="shared" si="106"/>
        <v>0</v>
      </c>
      <c r="BO128">
        <f t="shared" si="106"/>
        <v>0</v>
      </c>
      <c r="BP128">
        <f t="shared" si="106"/>
        <v>0</v>
      </c>
      <c r="BQ128">
        <f t="shared" si="106"/>
        <v>0</v>
      </c>
      <c r="BR128">
        <f t="shared" si="106"/>
        <v>0</v>
      </c>
      <c r="BS128">
        <f t="shared" si="106"/>
        <v>0</v>
      </c>
      <c r="BT128">
        <f t="shared" ref="BT128:BY128" si="107">BT47</f>
        <v>0</v>
      </c>
      <c r="BU128">
        <f t="shared" si="107"/>
        <v>0</v>
      </c>
      <c r="BV128">
        <f t="shared" si="107"/>
        <v>0</v>
      </c>
      <c r="BW128">
        <f t="shared" si="107"/>
        <v>0</v>
      </c>
      <c r="BX128">
        <f t="shared" si="107"/>
        <v>0</v>
      </c>
      <c r="BY128">
        <f t="shared" si="107"/>
        <v>0</v>
      </c>
    </row>
    <row r="129" spans="1:77" ht="15" customHeight="1">
      <c r="A129">
        <f t="shared" si="9"/>
        <v>47</v>
      </c>
      <c r="B129" t="str">
        <f t="shared" si="101"/>
        <v>RM000078</v>
      </c>
      <c r="C129" t="str">
        <f t="shared" si="101"/>
        <v>Jaggery</v>
      </c>
      <c r="D129" t="str">
        <f t="shared" si="101"/>
        <v>C39/Pre-Production</v>
      </c>
      <c r="E129" t="str">
        <f t="shared" si="101"/>
        <v>Jaggery Powder gms</v>
      </c>
      <c r="F129" s="102">
        <f t="shared" si="101"/>
        <v>117200.82</v>
      </c>
      <c r="G129">
        <f t="shared" si="101"/>
        <v>53078</v>
      </c>
      <c r="H129" s="102">
        <f t="shared" si="101"/>
        <v>-64122.820000000007</v>
      </c>
      <c r="I129" s="101">
        <f t="shared" si="101"/>
        <v>0.45288079042450385</v>
      </c>
      <c r="J129">
        <f t="shared" si="101"/>
        <v>0</v>
      </c>
      <c r="K129">
        <f t="shared" si="101"/>
        <v>0</v>
      </c>
      <c r="L129">
        <f t="shared" si="101"/>
        <v>0</v>
      </c>
      <c r="M129">
        <f t="shared" si="101"/>
        <v>0</v>
      </c>
      <c r="N129">
        <f t="shared" si="101"/>
        <v>0</v>
      </c>
      <c r="O129">
        <f t="shared" si="101"/>
        <v>0</v>
      </c>
      <c r="P129">
        <f t="shared" si="101"/>
        <v>0</v>
      </c>
      <c r="Q129">
        <f t="shared" si="101"/>
        <v>0</v>
      </c>
      <c r="R129">
        <f t="shared" si="101"/>
        <v>0</v>
      </c>
      <c r="S129">
        <f t="shared" si="101"/>
        <v>0</v>
      </c>
      <c r="T129">
        <f t="shared" si="101"/>
        <v>0</v>
      </c>
      <c r="U129">
        <f t="shared" si="101"/>
        <v>5100</v>
      </c>
      <c r="V129">
        <f t="shared" si="101"/>
        <v>1975</v>
      </c>
      <c r="W129">
        <f t="shared" si="101"/>
        <v>0</v>
      </c>
      <c r="X129">
        <f t="shared" si="101"/>
        <v>3400</v>
      </c>
      <c r="Y129">
        <f t="shared" si="101"/>
        <v>5700</v>
      </c>
      <c r="Z129">
        <f t="shared" si="101"/>
        <v>0</v>
      </c>
      <c r="AA129">
        <f t="shared" si="101"/>
        <v>14631</v>
      </c>
      <c r="AB129">
        <f t="shared" si="101"/>
        <v>9810</v>
      </c>
      <c r="AC129">
        <f t="shared" si="101"/>
        <v>2214</v>
      </c>
      <c r="AD129">
        <f t="shared" si="101"/>
        <v>0</v>
      </c>
      <c r="AE129">
        <f t="shared" si="101"/>
        <v>0</v>
      </c>
      <c r="AF129">
        <f t="shared" si="101"/>
        <v>19666</v>
      </c>
      <c r="AG129">
        <f t="shared" si="101"/>
        <v>5101</v>
      </c>
      <c r="AH129">
        <f t="shared" si="101"/>
        <v>6300</v>
      </c>
      <c r="AI129">
        <f t="shared" si="101"/>
        <v>15731</v>
      </c>
      <c r="AJ129">
        <f t="shared" si="101"/>
        <v>0</v>
      </c>
      <c r="AK129">
        <f t="shared" si="101"/>
        <v>0</v>
      </c>
      <c r="AL129">
        <f t="shared" si="101"/>
        <v>20222</v>
      </c>
      <c r="AM129">
        <f t="shared" si="101"/>
        <v>0</v>
      </c>
      <c r="AN129">
        <f t="shared" si="101"/>
        <v>0</v>
      </c>
      <c r="AO129">
        <f t="shared" ref="AO129:BS129" si="108">AO48</f>
        <v>7440</v>
      </c>
      <c r="AP129">
        <f t="shared" si="108"/>
        <v>9170</v>
      </c>
      <c r="AQ129">
        <f t="shared" si="108"/>
        <v>8701</v>
      </c>
      <c r="AR129">
        <f t="shared" si="108"/>
        <v>0</v>
      </c>
      <c r="AS129">
        <f t="shared" si="108"/>
        <v>17982</v>
      </c>
      <c r="AT129">
        <f t="shared" si="108"/>
        <v>14611</v>
      </c>
      <c r="AU129">
        <f t="shared" si="108"/>
        <v>8701</v>
      </c>
      <c r="AV129">
        <f t="shared" si="108"/>
        <v>7980</v>
      </c>
      <c r="AW129">
        <f t="shared" si="108"/>
        <v>0</v>
      </c>
      <c r="AX129">
        <f t="shared" si="108"/>
        <v>11312</v>
      </c>
      <c r="AY129">
        <f t="shared" si="108"/>
        <v>0</v>
      </c>
      <c r="AZ129">
        <f t="shared" si="108"/>
        <v>14372</v>
      </c>
      <c r="BA129">
        <f t="shared" si="108"/>
        <v>2970</v>
      </c>
      <c r="BB129">
        <f t="shared" si="108"/>
        <v>5910</v>
      </c>
      <c r="BC129">
        <f t="shared" si="108"/>
        <v>5252</v>
      </c>
      <c r="BD129">
        <f t="shared" si="108"/>
        <v>5282</v>
      </c>
      <c r="BE129">
        <f t="shared" si="108"/>
        <v>0</v>
      </c>
      <c r="BF129">
        <f t="shared" si="108"/>
        <v>0</v>
      </c>
      <c r="BG129">
        <f t="shared" si="108"/>
        <v>0</v>
      </c>
      <c r="BH129">
        <f t="shared" si="108"/>
        <v>0</v>
      </c>
      <c r="BI129">
        <f t="shared" si="108"/>
        <v>0</v>
      </c>
      <c r="BJ129">
        <f t="shared" si="108"/>
        <v>0</v>
      </c>
      <c r="BK129">
        <f t="shared" si="108"/>
        <v>0</v>
      </c>
      <c r="BL129">
        <f t="shared" si="108"/>
        <v>0</v>
      </c>
      <c r="BM129">
        <f t="shared" si="108"/>
        <v>0</v>
      </c>
      <c r="BN129">
        <f t="shared" si="108"/>
        <v>0</v>
      </c>
      <c r="BO129">
        <f t="shared" si="108"/>
        <v>0</v>
      </c>
      <c r="BP129">
        <f t="shared" si="108"/>
        <v>0</v>
      </c>
      <c r="BQ129">
        <f t="shared" si="108"/>
        <v>0</v>
      </c>
      <c r="BR129">
        <f t="shared" si="108"/>
        <v>0</v>
      </c>
      <c r="BS129">
        <f t="shared" si="108"/>
        <v>0</v>
      </c>
      <c r="BT129">
        <f t="shared" ref="BT129:BY129" si="109">BT48</f>
        <v>0</v>
      </c>
      <c r="BU129">
        <f t="shared" si="109"/>
        <v>0</v>
      </c>
      <c r="BV129">
        <f t="shared" si="109"/>
        <v>0</v>
      </c>
      <c r="BW129">
        <f t="shared" si="109"/>
        <v>0</v>
      </c>
      <c r="BX129">
        <f t="shared" si="109"/>
        <v>0</v>
      </c>
      <c r="BY129">
        <f t="shared" si="109"/>
        <v>0</v>
      </c>
    </row>
    <row r="130" spans="1:77" ht="15" customHeight="1">
      <c r="A130">
        <f t="shared" si="9"/>
        <v>48</v>
      </c>
      <c r="B130" t="str">
        <f t="shared" si="101"/>
        <v>RM000151</v>
      </c>
      <c r="C130" t="str">
        <f t="shared" si="101"/>
        <v>Honey</v>
      </c>
      <c r="D130" t="str">
        <f t="shared" si="101"/>
        <v>C39/Pre-Production</v>
      </c>
      <c r="E130" t="str">
        <f t="shared" si="101"/>
        <v>Raw multiflora forest honey</v>
      </c>
      <c r="F130" s="102">
        <f t="shared" si="101"/>
        <v>2786.48</v>
      </c>
      <c r="G130">
        <f t="shared" si="101"/>
        <v>2000</v>
      </c>
      <c r="H130" s="102">
        <f t="shared" si="101"/>
        <v>-786.48</v>
      </c>
      <c r="I130" s="101">
        <f t="shared" si="101"/>
        <v>0.71775142832534233</v>
      </c>
      <c r="J130">
        <f t="shared" si="101"/>
        <v>0</v>
      </c>
      <c r="K130">
        <f t="shared" si="101"/>
        <v>0</v>
      </c>
      <c r="L130">
        <f t="shared" si="101"/>
        <v>0</v>
      </c>
      <c r="M130">
        <f t="shared" si="101"/>
        <v>600</v>
      </c>
      <c r="N130">
        <f t="shared" si="101"/>
        <v>0</v>
      </c>
      <c r="O130">
        <f t="shared" si="101"/>
        <v>0</v>
      </c>
      <c r="P130">
        <f t="shared" si="101"/>
        <v>0</v>
      </c>
      <c r="Q130">
        <f t="shared" si="101"/>
        <v>0</v>
      </c>
      <c r="R130">
        <f t="shared" si="101"/>
        <v>0</v>
      </c>
      <c r="S130">
        <f t="shared" si="101"/>
        <v>0</v>
      </c>
      <c r="T130">
        <f t="shared" si="101"/>
        <v>1000</v>
      </c>
      <c r="U130">
        <f t="shared" si="101"/>
        <v>0</v>
      </c>
      <c r="V130">
        <f t="shared" si="101"/>
        <v>0</v>
      </c>
      <c r="W130">
        <f t="shared" si="101"/>
        <v>0</v>
      </c>
      <c r="X130">
        <f t="shared" si="101"/>
        <v>0</v>
      </c>
      <c r="Y130">
        <f t="shared" si="101"/>
        <v>0</v>
      </c>
      <c r="Z130">
        <f t="shared" si="101"/>
        <v>0</v>
      </c>
      <c r="AA130">
        <f t="shared" si="101"/>
        <v>0</v>
      </c>
      <c r="AB130">
        <f t="shared" si="101"/>
        <v>0</v>
      </c>
      <c r="AC130">
        <f t="shared" si="101"/>
        <v>0</v>
      </c>
      <c r="AD130">
        <f t="shared" si="101"/>
        <v>0</v>
      </c>
      <c r="AE130">
        <f t="shared" si="101"/>
        <v>0</v>
      </c>
      <c r="AF130">
        <f t="shared" si="101"/>
        <v>0</v>
      </c>
      <c r="AG130">
        <f t="shared" si="101"/>
        <v>0</v>
      </c>
      <c r="AH130">
        <f t="shared" si="101"/>
        <v>0</v>
      </c>
      <c r="AI130">
        <f t="shared" si="101"/>
        <v>0</v>
      </c>
      <c r="AJ130">
        <f t="shared" si="101"/>
        <v>0</v>
      </c>
      <c r="AK130">
        <f t="shared" si="101"/>
        <v>0</v>
      </c>
      <c r="AL130">
        <f t="shared" si="101"/>
        <v>0</v>
      </c>
      <c r="AM130">
        <f t="shared" si="101"/>
        <v>0</v>
      </c>
      <c r="AN130">
        <f t="shared" si="101"/>
        <v>0</v>
      </c>
      <c r="AO130">
        <f t="shared" ref="AO130:BS130" si="110">AO49</f>
        <v>0</v>
      </c>
      <c r="AP130">
        <f t="shared" si="110"/>
        <v>0</v>
      </c>
      <c r="AQ130">
        <f t="shared" si="110"/>
        <v>0</v>
      </c>
      <c r="AR130">
        <f t="shared" si="110"/>
        <v>0</v>
      </c>
      <c r="AS130">
        <f t="shared" si="110"/>
        <v>1560</v>
      </c>
      <c r="AT130">
        <f t="shared" si="110"/>
        <v>0</v>
      </c>
      <c r="AU130">
        <f t="shared" si="110"/>
        <v>0</v>
      </c>
      <c r="AV130">
        <f t="shared" si="110"/>
        <v>0</v>
      </c>
      <c r="AW130">
        <f t="shared" si="110"/>
        <v>0</v>
      </c>
      <c r="AX130">
        <f t="shared" si="110"/>
        <v>0</v>
      </c>
      <c r="AY130">
        <f t="shared" si="110"/>
        <v>0</v>
      </c>
      <c r="AZ130">
        <f t="shared" si="110"/>
        <v>2000</v>
      </c>
      <c r="BA130">
        <f t="shared" si="110"/>
        <v>0</v>
      </c>
      <c r="BB130">
        <f t="shared" si="110"/>
        <v>0</v>
      </c>
      <c r="BC130">
        <f t="shared" si="110"/>
        <v>0</v>
      </c>
      <c r="BD130">
        <f t="shared" si="110"/>
        <v>0</v>
      </c>
      <c r="BE130">
        <f t="shared" si="110"/>
        <v>0</v>
      </c>
      <c r="BF130">
        <f t="shared" si="110"/>
        <v>0</v>
      </c>
      <c r="BG130">
        <f t="shared" si="110"/>
        <v>0</v>
      </c>
      <c r="BH130">
        <f t="shared" si="110"/>
        <v>0</v>
      </c>
      <c r="BI130">
        <f t="shared" si="110"/>
        <v>0</v>
      </c>
      <c r="BJ130">
        <f t="shared" si="110"/>
        <v>0</v>
      </c>
      <c r="BK130">
        <f t="shared" si="110"/>
        <v>0</v>
      </c>
      <c r="BL130">
        <f t="shared" si="110"/>
        <v>0</v>
      </c>
      <c r="BM130">
        <f t="shared" si="110"/>
        <v>0</v>
      </c>
      <c r="BN130">
        <f t="shared" si="110"/>
        <v>0</v>
      </c>
      <c r="BO130">
        <f t="shared" si="110"/>
        <v>0</v>
      </c>
      <c r="BP130">
        <f t="shared" si="110"/>
        <v>0</v>
      </c>
      <c r="BQ130">
        <f t="shared" si="110"/>
        <v>0</v>
      </c>
      <c r="BR130">
        <f t="shared" si="110"/>
        <v>0</v>
      </c>
      <c r="BS130">
        <f t="shared" si="110"/>
        <v>0</v>
      </c>
      <c r="BT130">
        <f t="shared" ref="BT130:BY130" si="111">BT49</f>
        <v>0</v>
      </c>
      <c r="BU130">
        <f t="shared" si="111"/>
        <v>0</v>
      </c>
      <c r="BV130">
        <f t="shared" si="111"/>
        <v>0</v>
      </c>
      <c r="BW130">
        <f t="shared" si="111"/>
        <v>0</v>
      </c>
      <c r="BX130">
        <f t="shared" si="111"/>
        <v>0</v>
      </c>
      <c r="BY130">
        <f t="shared" si="111"/>
        <v>0</v>
      </c>
    </row>
    <row r="131" spans="1:77" ht="15" customHeight="1">
      <c r="A131">
        <f t="shared" si="9"/>
        <v>49</v>
      </c>
      <c r="B131" t="str">
        <f t="shared" si="101"/>
        <v>RM000002</v>
      </c>
      <c r="C131" t="str">
        <f t="shared" si="101"/>
        <v>Honey</v>
      </c>
      <c r="D131" t="str">
        <f t="shared" si="101"/>
        <v>C39/Pre-Production</v>
      </c>
      <c r="E131" t="str">
        <f t="shared" si="101"/>
        <v>Acacia Raw Honey</v>
      </c>
      <c r="F131" s="102">
        <f t="shared" si="101"/>
        <v>0</v>
      </c>
      <c r="G131">
        <f t="shared" si="101"/>
        <v>0</v>
      </c>
      <c r="H131" s="102">
        <f t="shared" si="101"/>
        <v>0</v>
      </c>
      <c r="I131" s="101">
        <f t="shared" si="101"/>
        <v>0</v>
      </c>
      <c r="J131">
        <f t="shared" si="101"/>
        <v>0</v>
      </c>
      <c r="K131">
        <f t="shared" si="101"/>
        <v>0</v>
      </c>
      <c r="L131">
        <f t="shared" si="101"/>
        <v>0</v>
      </c>
      <c r="M131">
        <f t="shared" si="101"/>
        <v>0</v>
      </c>
      <c r="N131">
        <f t="shared" si="101"/>
        <v>0</v>
      </c>
      <c r="O131">
        <f t="shared" si="101"/>
        <v>0</v>
      </c>
      <c r="P131">
        <f t="shared" si="101"/>
        <v>0</v>
      </c>
      <c r="Q131">
        <f t="shared" si="101"/>
        <v>0</v>
      </c>
      <c r="R131">
        <f t="shared" si="101"/>
        <v>0</v>
      </c>
      <c r="S131">
        <f t="shared" si="101"/>
        <v>0</v>
      </c>
      <c r="T131">
        <f t="shared" si="101"/>
        <v>0</v>
      </c>
      <c r="U131">
        <f t="shared" si="101"/>
        <v>0</v>
      </c>
      <c r="V131">
        <f t="shared" si="101"/>
        <v>0</v>
      </c>
      <c r="W131">
        <f t="shared" si="101"/>
        <v>0</v>
      </c>
      <c r="X131">
        <f t="shared" si="101"/>
        <v>0</v>
      </c>
      <c r="Y131">
        <f t="shared" si="101"/>
        <v>0</v>
      </c>
      <c r="Z131">
        <f t="shared" si="101"/>
        <v>0</v>
      </c>
      <c r="AA131">
        <f t="shared" si="101"/>
        <v>0</v>
      </c>
      <c r="AB131">
        <f t="shared" si="101"/>
        <v>0</v>
      </c>
      <c r="AC131">
        <f t="shared" si="101"/>
        <v>0</v>
      </c>
      <c r="AD131">
        <f t="shared" si="101"/>
        <v>0</v>
      </c>
      <c r="AE131">
        <f t="shared" si="101"/>
        <v>0</v>
      </c>
      <c r="AF131">
        <f t="shared" si="101"/>
        <v>0</v>
      </c>
      <c r="AG131">
        <f t="shared" si="101"/>
        <v>0</v>
      </c>
      <c r="AH131">
        <f t="shared" si="101"/>
        <v>0</v>
      </c>
      <c r="AI131">
        <f t="shared" si="101"/>
        <v>0</v>
      </c>
      <c r="AJ131">
        <f t="shared" si="101"/>
        <v>0</v>
      </c>
      <c r="AK131">
        <f t="shared" si="101"/>
        <v>0</v>
      </c>
      <c r="AL131">
        <f t="shared" si="101"/>
        <v>0</v>
      </c>
      <c r="AM131">
        <f t="shared" si="101"/>
        <v>0</v>
      </c>
      <c r="AN131">
        <f t="shared" si="101"/>
        <v>0</v>
      </c>
      <c r="AO131">
        <f t="shared" ref="AO131:BS131" si="112">AO50</f>
        <v>0</v>
      </c>
      <c r="AP131">
        <f t="shared" si="112"/>
        <v>0</v>
      </c>
      <c r="AQ131">
        <f t="shared" si="112"/>
        <v>0</v>
      </c>
      <c r="AR131">
        <f t="shared" si="112"/>
        <v>0</v>
      </c>
      <c r="AS131">
        <f t="shared" si="112"/>
        <v>0</v>
      </c>
      <c r="AT131">
        <f t="shared" si="112"/>
        <v>0</v>
      </c>
      <c r="AU131">
        <f t="shared" si="112"/>
        <v>0</v>
      </c>
      <c r="AV131">
        <f t="shared" si="112"/>
        <v>0</v>
      </c>
      <c r="AW131">
        <f t="shared" si="112"/>
        <v>0</v>
      </c>
      <c r="AX131">
        <f t="shared" si="112"/>
        <v>0</v>
      </c>
      <c r="AY131">
        <f t="shared" si="112"/>
        <v>0</v>
      </c>
      <c r="AZ131">
        <f t="shared" si="112"/>
        <v>0</v>
      </c>
      <c r="BA131">
        <f t="shared" si="112"/>
        <v>0</v>
      </c>
      <c r="BB131">
        <f t="shared" si="112"/>
        <v>0</v>
      </c>
      <c r="BC131">
        <f t="shared" si="112"/>
        <v>0</v>
      </c>
      <c r="BD131">
        <f t="shared" si="112"/>
        <v>0</v>
      </c>
      <c r="BE131">
        <f t="shared" si="112"/>
        <v>0</v>
      </c>
      <c r="BF131">
        <f t="shared" si="112"/>
        <v>0</v>
      </c>
      <c r="BG131">
        <f t="shared" si="112"/>
        <v>0</v>
      </c>
      <c r="BH131">
        <f t="shared" si="112"/>
        <v>0</v>
      </c>
      <c r="BI131">
        <f t="shared" si="112"/>
        <v>0</v>
      </c>
      <c r="BJ131">
        <f t="shared" si="112"/>
        <v>0</v>
      </c>
      <c r="BK131">
        <f t="shared" si="112"/>
        <v>0</v>
      </c>
      <c r="BL131">
        <f t="shared" si="112"/>
        <v>0</v>
      </c>
      <c r="BM131">
        <f t="shared" si="112"/>
        <v>0</v>
      </c>
      <c r="BN131">
        <f t="shared" si="112"/>
        <v>0</v>
      </c>
      <c r="BO131">
        <f t="shared" si="112"/>
        <v>0</v>
      </c>
      <c r="BP131">
        <f t="shared" si="112"/>
        <v>0</v>
      </c>
      <c r="BQ131">
        <f t="shared" si="112"/>
        <v>0</v>
      </c>
      <c r="BR131">
        <f t="shared" si="112"/>
        <v>0</v>
      </c>
      <c r="BS131">
        <f t="shared" si="112"/>
        <v>0</v>
      </c>
      <c r="BT131">
        <f t="shared" ref="BT131:BY131" si="113">BT50</f>
        <v>0</v>
      </c>
      <c r="BU131">
        <f t="shared" si="113"/>
        <v>0</v>
      </c>
      <c r="BV131">
        <f t="shared" si="113"/>
        <v>0</v>
      </c>
      <c r="BW131">
        <f t="shared" si="113"/>
        <v>0</v>
      </c>
      <c r="BX131">
        <f t="shared" si="113"/>
        <v>0</v>
      </c>
      <c r="BY131">
        <f t="shared" si="113"/>
        <v>0</v>
      </c>
    </row>
    <row r="132" spans="1:77" ht="15" customHeight="1">
      <c r="A132">
        <f t="shared" si="9"/>
        <v>50</v>
      </c>
      <c r="B132" t="str">
        <f t="shared" si="101"/>
        <v>RM000220</v>
      </c>
      <c r="C132" t="str">
        <f t="shared" si="101"/>
        <v>GMP</v>
      </c>
      <c r="D132" t="str">
        <f t="shared" si="101"/>
        <v>C39/Pre-Production</v>
      </c>
      <c r="E132" t="str">
        <f t="shared" si="101"/>
        <v>Broken Saffron</v>
      </c>
      <c r="F132" s="102">
        <f t="shared" si="101"/>
        <v>0.1888</v>
      </c>
      <c r="G132">
        <f t="shared" si="101"/>
        <v>0</v>
      </c>
      <c r="H132" s="102">
        <f t="shared" si="101"/>
        <v>-0.1888</v>
      </c>
      <c r="I132" s="101">
        <f t="shared" si="101"/>
        <v>0</v>
      </c>
      <c r="J132">
        <f t="shared" si="101"/>
        <v>0</v>
      </c>
      <c r="K132">
        <f t="shared" si="101"/>
        <v>0</v>
      </c>
      <c r="L132">
        <f t="shared" ref="B132:AN137" si="114">L51</f>
        <v>0</v>
      </c>
      <c r="M132">
        <f t="shared" si="114"/>
        <v>0</v>
      </c>
      <c r="N132">
        <f t="shared" si="114"/>
        <v>0</v>
      </c>
      <c r="O132">
        <f t="shared" si="114"/>
        <v>0</v>
      </c>
      <c r="P132">
        <f t="shared" si="114"/>
        <v>0</v>
      </c>
      <c r="Q132">
        <f t="shared" si="114"/>
        <v>0</v>
      </c>
      <c r="R132">
        <f t="shared" si="114"/>
        <v>0</v>
      </c>
      <c r="S132">
        <f t="shared" si="114"/>
        <v>0</v>
      </c>
      <c r="T132">
        <f t="shared" si="114"/>
        <v>0</v>
      </c>
      <c r="U132">
        <f t="shared" si="114"/>
        <v>0</v>
      </c>
      <c r="V132">
        <f t="shared" si="114"/>
        <v>0</v>
      </c>
      <c r="W132">
        <f t="shared" si="114"/>
        <v>0</v>
      </c>
      <c r="X132">
        <f t="shared" si="114"/>
        <v>0</v>
      </c>
      <c r="Y132">
        <f t="shared" si="114"/>
        <v>0</v>
      </c>
      <c r="Z132">
        <f t="shared" si="114"/>
        <v>0</v>
      </c>
      <c r="AA132">
        <f t="shared" si="114"/>
        <v>0</v>
      </c>
      <c r="AB132">
        <f t="shared" si="114"/>
        <v>0</v>
      </c>
      <c r="AC132">
        <f t="shared" si="114"/>
        <v>0</v>
      </c>
      <c r="AD132">
        <f t="shared" si="114"/>
        <v>0</v>
      </c>
      <c r="AE132">
        <f t="shared" si="114"/>
        <v>0</v>
      </c>
      <c r="AF132">
        <f t="shared" si="114"/>
        <v>0</v>
      </c>
      <c r="AG132">
        <f t="shared" si="114"/>
        <v>0</v>
      </c>
      <c r="AH132">
        <f t="shared" si="114"/>
        <v>0</v>
      </c>
      <c r="AI132">
        <f t="shared" si="114"/>
        <v>0</v>
      </c>
      <c r="AJ132">
        <f t="shared" si="114"/>
        <v>0</v>
      </c>
      <c r="AK132">
        <f t="shared" si="114"/>
        <v>0</v>
      </c>
      <c r="AL132">
        <f t="shared" si="114"/>
        <v>0</v>
      </c>
      <c r="AM132">
        <f t="shared" si="114"/>
        <v>0</v>
      </c>
      <c r="AN132">
        <f t="shared" si="114"/>
        <v>0</v>
      </c>
      <c r="AO132">
        <f t="shared" ref="AO132:BS132" si="115">AO51</f>
        <v>0</v>
      </c>
      <c r="AP132">
        <f t="shared" si="115"/>
        <v>0</v>
      </c>
      <c r="AQ132">
        <f t="shared" si="115"/>
        <v>0</v>
      </c>
      <c r="AR132">
        <f t="shared" si="115"/>
        <v>0</v>
      </c>
      <c r="AS132">
        <f t="shared" si="115"/>
        <v>0</v>
      </c>
      <c r="AT132">
        <f t="shared" si="115"/>
        <v>0</v>
      </c>
      <c r="AU132">
        <f t="shared" si="115"/>
        <v>0</v>
      </c>
      <c r="AV132">
        <f t="shared" si="115"/>
        <v>0</v>
      </c>
      <c r="AW132">
        <f t="shared" si="115"/>
        <v>0</v>
      </c>
      <c r="AX132">
        <f t="shared" si="115"/>
        <v>0</v>
      </c>
      <c r="AY132">
        <f t="shared" si="115"/>
        <v>0</v>
      </c>
      <c r="AZ132">
        <f t="shared" si="115"/>
        <v>0</v>
      </c>
      <c r="BA132">
        <f t="shared" si="115"/>
        <v>0</v>
      </c>
      <c r="BB132">
        <f t="shared" si="115"/>
        <v>0</v>
      </c>
      <c r="BC132">
        <f t="shared" si="115"/>
        <v>0</v>
      </c>
      <c r="BD132">
        <f t="shared" si="115"/>
        <v>0</v>
      </c>
      <c r="BE132">
        <f t="shared" si="115"/>
        <v>0</v>
      </c>
      <c r="BF132">
        <f t="shared" si="115"/>
        <v>0</v>
      </c>
      <c r="BG132">
        <f t="shared" si="115"/>
        <v>0</v>
      </c>
      <c r="BH132">
        <f t="shared" si="115"/>
        <v>0</v>
      </c>
      <c r="BI132">
        <f t="shared" si="115"/>
        <v>0</v>
      </c>
      <c r="BJ132">
        <f t="shared" si="115"/>
        <v>0</v>
      </c>
      <c r="BK132">
        <f t="shared" si="115"/>
        <v>0</v>
      </c>
      <c r="BL132">
        <f t="shared" si="115"/>
        <v>0</v>
      </c>
      <c r="BM132">
        <f t="shared" si="115"/>
        <v>0</v>
      </c>
      <c r="BN132">
        <f t="shared" si="115"/>
        <v>0</v>
      </c>
      <c r="BO132">
        <f t="shared" si="115"/>
        <v>0</v>
      </c>
      <c r="BP132">
        <f t="shared" si="115"/>
        <v>0</v>
      </c>
      <c r="BQ132">
        <f t="shared" si="115"/>
        <v>0</v>
      </c>
      <c r="BR132">
        <f t="shared" si="115"/>
        <v>0</v>
      </c>
      <c r="BS132">
        <f t="shared" si="115"/>
        <v>0</v>
      </c>
      <c r="BT132">
        <f t="shared" ref="BT132:BY132" si="116">BT51</f>
        <v>0</v>
      </c>
      <c r="BU132">
        <f t="shared" si="116"/>
        <v>0</v>
      </c>
      <c r="BV132">
        <f t="shared" si="116"/>
        <v>0</v>
      </c>
      <c r="BW132">
        <f t="shared" si="116"/>
        <v>0</v>
      </c>
      <c r="BX132">
        <f t="shared" si="116"/>
        <v>0</v>
      </c>
      <c r="BY132">
        <f t="shared" si="116"/>
        <v>0</v>
      </c>
    </row>
    <row r="133" spans="1:77" ht="15" customHeight="1">
      <c r="A133">
        <f t="shared" si="9"/>
        <v>51</v>
      </c>
      <c r="B133" t="str">
        <f t="shared" si="114"/>
        <v>RM000149</v>
      </c>
      <c r="C133" t="str">
        <f t="shared" si="114"/>
        <v>GMP</v>
      </c>
      <c r="D133" t="str">
        <f t="shared" si="114"/>
        <v>C39/Pre-Production</v>
      </c>
      <c r="E133" t="str">
        <f t="shared" si="114"/>
        <v>Raw lakadong turmeric</v>
      </c>
      <c r="F133" s="102">
        <f t="shared" si="114"/>
        <v>2215.2446</v>
      </c>
      <c r="G133">
        <f t="shared" si="114"/>
        <v>0</v>
      </c>
      <c r="H133" s="102">
        <f t="shared" si="114"/>
        <v>-2215.2446</v>
      </c>
      <c r="I133" s="101">
        <f t="shared" si="114"/>
        <v>0</v>
      </c>
      <c r="J133">
        <f t="shared" si="114"/>
        <v>0</v>
      </c>
      <c r="K133">
        <f t="shared" si="114"/>
        <v>0</v>
      </c>
      <c r="L133">
        <f t="shared" si="114"/>
        <v>0</v>
      </c>
      <c r="M133">
        <f t="shared" si="114"/>
        <v>0</v>
      </c>
      <c r="N133">
        <f t="shared" si="114"/>
        <v>0</v>
      </c>
      <c r="O133">
        <f t="shared" si="114"/>
        <v>0</v>
      </c>
      <c r="P133">
        <f t="shared" si="114"/>
        <v>0</v>
      </c>
      <c r="Q133">
        <f t="shared" si="114"/>
        <v>0</v>
      </c>
      <c r="R133">
        <f t="shared" si="114"/>
        <v>0</v>
      </c>
      <c r="S133">
        <f t="shared" si="114"/>
        <v>0</v>
      </c>
      <c r="T133">
        <f t="shared" si="114"/>
        <v>0</v>
      </c>
      <c r="U133">
        <f t="shared" si="114"/>
        <v>0</v>
      </c>
      <c r="V133">
        <f t="shared" si="114"/>
        <v>0</v>
      </c>
      <c r="W133">
        <f t="shared" si="114"/>
        <v>0</v>
      </c>
      <c r="X133">
        <f t="shared" si="114"/>
        <v>0</v>
      </c>
      <c r="Y133">
        <f t="shared" si="114"/>
        <v>0</v>
      </c>
      <c r="Z133">
        <f t="shared" si="114"/>
        <v>0</v>
      </c>
      <c r="AA133">
        <f t="shared" si="114"/>
        <v>0</v>
      </c>
      <c r="AB133">
        <f t="shared" si="114"/>
        <v>0</v>
      </c>
      <c r="AC133">
        <f t="shared" si="114"/>
        <v>0</v>
      </c>
      <c r="AD133">
        <f t="shared" si="114"/>
        <v>0</v>
      </c>
      <c r="AE133">
        <f t="shared" si="114"/>
        <v>0</v>
      </c>
      <c r="AF133">
        <f t="shared" si="114"/>
        <v>0</v>
      </c>
      <c r="AG133">
        <f t="shared" si="114"/>
        <v>0</v>
      </c>
      <c r="AH133">
        <f t="shared" si="114"/>
        <v>0</v>
      </c>
      <c r="AI133">
        <f t="shared" si="114"/>
        <v>0</v>
      </c>
      <c r="AJ133">
        <f t="shared" si="114"/>
        <v>0</v>
      </c>
      <c r="AK133">
        <f t="shared" si="114"/>
        <v>0</v>
      </c>
      <c r="AL133">
        <f t="shared" si="114"/>
        <v>0</v>
      </c>
      <c r="AM133">
        <f t="shared" si="114"/>
        <v>0</v>
      </c>
      <c r="AN133">
        <f t="shared" si="114"/>
        <v>0</v>
      </c>
      <c r="AO133">
        <f t="shared" ref="AO133:BS133" si="117">AO52</f>
        <v>0</v>
      </c>
      <c r="AP133">
        <f t="shared" si="117"/>
        <v>0</v>
      </c>
      <c r="AQ133">
        <f t="shared" si="117"/>
        <v>0</v>
      </c>
      <c r="AR133">
        <f t="shared" si="117"/>
        <v>0</v>
      </c>
      <c r="AS133">
        <f t="shared" si="117"/>
        <v>0</v>
      </c>
      <c r="AT133">
        <f t="shared" si="117"/>
        <v>0</v>
      </c>
      <c r="AU133">
        <f t="shared" si="117"/>
        <v>0</v>
      </c>
      <c r="AV133">
        <f t="shared" si="117"/>
        <v>0</v>
      </c>
      <c r="AW133">
        <f t="shared" si="117"/>
        <v>0</v>
      </c>
      <c r="AX133">
        <f t="shared" si="117"/>
        <v>0</v>
      </c>
      <c r="AY133">
        <f t="shared" si="117"/>
        <v>0</v>
      </c>
      <c r="AZ133">
        <f t="shared" si="117"/>
        <v>0</v>
      </c>
      <c r="BA133">
        <f t="shared" si="117"/>
        <v>0</v>
      </c>
      <c r="BB133">
        <f t="shared" si="117"/>
        <v>0</v>
      </c>
      <c r="BC133">
        <f t="shared" si="117"/>
        <v>0</v>
      </c>
      <c r="BD133">
        <f t="shared" si="117"/>
        <v>0</v>
      </c>
      <c r="BE133">
        <f t="shared" si="117"/>
        <v>0</v>
      </c>
      <c r="BF133">
        <f t="shared" si="117"/>
        <v>0</v>
      </c>
      <c r="BG133">
        <f t="shared" si="117"/>
        <v>0</v>
      </c>
      <c r="BH133">
        <f t="shared" si="117"/>
        <v>0</v>
      </c>
      <c r="BI133">
        <f t="shared" si="117"/>
        <v>0</v>
      </c>
      <c r="BJ133">
        <f t="shared" si="117"/>
        <v>0</v>
      </c>
      <c r="BK133">
        <f t="shared" si="117"/>
        <v>0</v>
      </c>
      <c r="BL133">
        <f t="shared" si="117"/>
        <v>0</v>
      </c>
      <c r="BM133">
        <f t="shared" si="117"/>
        <v>0</v>
      </c>
      <c r="BN133">
        <f t="shared" si="117"/>
        <v>0</v>
      </c>
      <c r="BO133">
        <f t="shared" si="117"/>
        <v>0</v>
      </c>
      <c r="BP133">
        <f t="shared" si="117"/>
        <v>0</v>
      </c>
      <c r="BQ133">
        <f t="shared" si="117"/>
        <v>0</v>
      </c>
      <c r="BR133">
        <f t="shared" si="117"/>
        <v>0</v>
      </c>
      <c r="BS133">
        <f t="shared" si="117"/>
        <v>0</v>
      </c>
      <c r="BT133">
        <f t="shared" ref="BT133:BY133" si="118">BT52</f>
        <v>0</v>
      </c>
      <c r="BU133">
        <f t="shared" si="118"/>
        <v>0</v>
      </c>
      <c r="BV133">
        <f t="shared" si="118"/>
        <v>0</v>
      </c>
      <c r="BW133">
        <f t="shared" si="118"/>
        <v>0</v>
      </c>
      <c r="BX133">
        <f t="shared" si="118"/>
        <v>0</v>
      </c>
      <c r="BY133">
        <f t="shared" si="118"/>
        <v>0</v>
      </c>
    </row>
    <row r="134" spans="1:77" ht="15" customHeight="1">
      <c r="A134">
        <f t="shared" si="9"/>
        <v>52</v>
      </c>
      <c r="B134" t="str">
        <f t="shared" si="114"/>
        <v>RM000122</v>
      </c>
      <c r="C134" t="str">
        <f t="shared" si="114"/>
        <v>GMP</v>
      </c>
      <c r="D134" t="str">
        <f t="shared" si="114"/>
        <v>C39/Pre-Production</v>
      </c>
      <c r="E134" t="str">
        <f t="shared" si="114"/>
        <v>Nutmeg( jayfal)</v>
      </c>
      <c r="F134" s="102">
        <f t="shared" si="114"/>
        <v>7.1767192118226566</v>
      </c>
      <c r="G134">
        <f t="shared" si="114"/>
        <v>0</v>
      </c>
      <c r="H134" s="102">
        <f t="shared" si="114"/>
        <v>-7.1767192118226566</v>
      </c>
      <c r="I134" s="101">
        <f t="shared" si="114"/>
        <v>0</v>
      </c>
      <c r="J134">
        <f t="shared" si="114"/>
        <v>0</v>
      </c>
      <c r="K134">
        <f t="shared" si="114"/>
        <v>0</v>
      </c>
      <c r="L134">
        <f t="shared" si="114"/>
        <v>0</v>
      </c>
      <c r="M134">
        <f t="shared" si="114"/>
        <v>0</v>
      </c>
      <c r="N134">
        <f t="shared" si="114"/>
        <v>0</v>
      </c>
      <c r="O134">
        <f t="shared" si="114"/>
        <v>0</v>
      </c>
      <c r="P134">
        <f t="shared" si="114"/>
        <v>0</v>
      </c>
      <c r="Q134">
        <f t="shared" si="114"/>
        <v>0</v>
      </c>
      <c r="R134">
        <f t="shared" si="114"/>
        <v>0</v>
      </c>
      <c r="S134">
        <f t="shared" si="114"/>
        <v>0</v>
      </c>
      <c r="T134">
        <f t="shared" si="114"/>
        <v>0</v>
      </c>
      <c r="U134">
        <f t="shared" si="114"/>
        <v>0</v>
      </c>
      <c r="V134">
        <f t="shared" si="114"/>
        <v>0</v>
      </c>
      <c r="W134">
        <f t="shared" si="114"/>
        <v>0</v>
      </c>
      <c r="X134">
        <f t="shared" si="114"/>
        <v>0</v>
      </c>
      <c r="Y134">
        <f t="shared" si="114"/>
        <v>0</v>
      </c>
      <c r="Z134">
        <f t="shared" si="114"/>
        <v>0</v>
      </c>
      <c r="AA134">
        <f t="shared" si="114"/>
        <v>0</v>
      </c>
      <c r="AB134">
        <f t="shared" si="114"/>
        <v>0</v>
      </c>
      <c r="AC134">
        <f t="shared" si="114"/>
        <v>0</v>
      </c>
      <c r="AD134">
        <f t="shared" si="114"/>
        <v>0</v>
      </c>
      <c r="AE134">
        <f t="shared" si="114"/>
        <v>0</v>
      </c>
      <c r="AF134">
        <f t="shared" si="114"/>
        <v>0</v>
      </c>
      <c r="AG134">
        <f t="shared" si="114"/>
        <v>0</v>
      </c>
      <c r="AH134">
        <f t="shared" si="114"/>
        <v>0</v>
      </c>
      <c r="AI134">
        <f t="shared" si="114"/>
        <v>0</v>
      </c>
      <c r="AJ134">
        <f t="shared" si="114"/>
        <v>0</v>
      </c>
      <c r="AK134">
        <f t="shared" si="114"/>
        <v>0</v>
      </c>
      <c r="AL134">
        <f t="shared" si="114"/>
        <v>0</v>
      </c>
      <c r="AM134">
        <f t="shared" si="114"/>
        <v>0</v>
      </c>
      <c r="AN134">
        <f t="shared" si="114"/>
        <v>0</v>
      </c>
      <c r="AO134">
        <f t="shared" ref="AO134:BS134" si="119">AO53</f>
        <v>0</v>
      </c>
      <c r="AP134">
        <f t="shared" si="119"/>
        <v>0</v>
      </c>
      <c r="AQ134">
        <f t="shared" si="119"/>
        <v>0</v>
      </c>
      <c r="AR134">
        <f t="shared" si="119"/>
        <v>0</v>
      </c>
      <c r="AS134">
        <f t="shared" si="119"/>
        <v>0</v>
      </c>
      <c r="AT134">
        <f t="shared" si="119"/>
        <v>0</v>
      </c>
      <c r="AU134">
        <f t="shared" si="119"/>
        <v>0</v>
      </c>
      <c r="AV134">
        <f t="shared" si="119"/>
        <v>0</v>
      </c>
      <c r="AW134">
        <f t="shared" si="119"/>
        <v>0</v>
      </c>
      <c r="AX134">
        <f t="shared" si="119"/>
        <v>0</v>
      </c>
      <c r="AY134">
        <f t="shared" si="119"/>
        <v>0</v>
      </c>
      <c r="AZ134">
        <f t="shared" si="119"/>
        <v>0</v>
      </c>
      <c r="BA134">
        <f t="shared" si="119"/>
        <v>0</v>
      </c>
      <c r="BB134">
        <f t="shared" si="119"/>
        <v>0</v>
      </c>
      <c r="BC134">
        <f t="shared" si="119"/>
        <v>0</v>
      </c>
      <c r="BD134">
        <f t="shared" si="119"/>
        <v>0</v>
      </c>
      <c r="BE134">
        <f t="shared" si="119"/>
        <v>0</v>
      </c>
      <c r="BF134">
        <f t="shared" si="119"/>
        <v>0</v>
      </c>
      <c r="BG134">
        <f t="shared" si="119"/>
        <v>0</v>
      </c>
      <c r="BH134">
        <f t="shared" si="119"/>
        <v>0</v>
      </c>
      <c r="BI134">
        <f t="shared" si="119"/>
        <v>0</v>
      </c>
      <c r="BJ134">
        <f t="shared" si="119"/>
        <v>0</v>
      </c>
      <c r="BK134">
        <f t="shared" si="119"/>
        <v>0</v>
      </c>
      <c r="BL134">
        <f t="shared" si="119"/>
        <v>0</v>
      </c>
      <c r="BM134">
        <f t="shared" si="119"/>
        <v>0</v>
      </c>
      <c r="BN134">
        <f t="shared" si="119"/>
        <v>0</v>
      </c>
      <c r="BO134">
        <f t="shared" si="119"/>
        <v>0</v>
      </c>
      <c r="BP134">
        <f t="shared" si="119"/>
        <v>0</v>
      </c>
      <c r="BQ134">
        <f t="shared" si="119"/>
        <v>0</v>
      </c>
      <c r="BR134">
        <f t="shared" si="119"/>
        <v>0</v>
      </c>
      <c r="BS134">
        <f t="shared" si="119"/>
        <v>0</v>
      </c>
      <c r="BT134">
        <f t="shared" ref="BT134:BY134" si="120">BT53</f>
        <v>0</v>
      </c>
      <c r="BU134">
        <f t="shared" si="120"/>
        <v>0</v>
      </c>
      <c r="BV134">
        <f t="shared" si="120"/>
        <v>0</v>
      </c>
      <c r="BW134">
        <f t="shared" si="120"/>
        <v>0</v>
      </c>
      <c r="BX134">
        <f t="shared" si="120"/>
        <v>0</v>
      </c>
      <c r="BY134">
        <f t="shared" si="120"/>
        <v>0</v>
      </c>
    </row>
    <row r="135" spans="1:77" ht="15" customHeight="1">
      <c r="A135">
        <f t="shared" si="9"/>
        <v>53</v>
      </c>
      <c r="B135" t="str">
        <f t="shared" si="114"/>
        <v>RM000071</v>
      </c>
      <c r="C135" t="str">
        <f t="shared" si="114"/>
        <v>GMP</v>
      </c>
      <c r="D135" t="str">
        <f t="shared" si="114"/>
        <v>C39/Pre-Production</v>
      </c>
      <c r="E135" t="str">
        <f t="shared" si="114"/>
        <v>Haldi-Turmeric Powder</v>
      </c>
      <c r="F135" s="102">
        <f t="shared" si="114"/>
        <v>0</v>
      </c>
      <c r="G135">
        <f t="shared" si="114"/>
        <v>0</v>
      </c>
      <c r="H135" s="102">
        <f t="shared" si="114"/>
        <v>0</v>
      </c>
      <c r="I135" s="101">
        <f t="shared" si="114"/>
        <v>0</v>
      </c>
      <c r="J135">
        <f t="shared" si="114"/>
        <v>0</v>
      </c>
      <c r="K135">
        <f t="shared" si="114"/>
        <v>0</v>
      </c>
      <c r="L135">
        <f t="shared" si="114"/>
        <v>0</v>
      </c>
      <c r="M135">
        <f t="shared" si="114"/>
        <v>0</v>
      </c>
      <c r="N135">
        <f t="shared" si="114"/>
        <v>0</v>
      </c>
      <c r="O135">
        <f t="shared" si="114"/>
        <v>0</v>
      </c>
      <c r="P135">
        <f t="shared" si="114"/>
        <v>0</v>
      </c>
      <c r="Q135">
        <f t="shared" si="114"/>
        <v>0</v>
      </c>
      <c r="R135">
        <f t="shared" si="114"/>
        <v>0</v>
      </c>
      <c r="S135">
        <f t="shared" si="114"/>
        <v>0</v>
      </c>
      <c r="T135">
        <f t="shared" si="114"/>
        <v>0</v>
      </c>
      <c r="U135">
        <f t="shared" si="114"/>
        <v>0</v>
      </c>
      <c r="V135">
        <f t="shared" si="114"/>
        <v>0</v>
      </c>
      <c r="W135">
        <f t="shared" si="114"/>
        <v>0</v>
      </c>
      <c r="X135">
        <f t="shared" si="114"/>
        <v>0</v>
      </c>
      <c r="Y135">
        <f t="shared" si="114"/>
        <v>0</v>
      </c>
      <c r="Z135">
        <f t="shared" si="114"/>
        <v>0</v>
      </c>
      <c r="AA135">
        <f t="shared" si="114"/>
        <v>0</v>
      </c>
      <c r="AB135">
        <f t="shared" si="114"/>
        <v>0</v>
      </c>
      <c r="AC135">
        <f t="shared" si="114"/>
        <v>0</v>
      </c>
      <c r="AD135">
        <f t="shared" si="114"/>
        <v>0</v>
      </c>
      <c r="AE135">
        <f t="shared" si="114"/>
        <v>0</v>
      </c>
      <c r="AF135">
        <f t="shared" si="114"/>
        <v>0</v>
      </c>
      <c r="AG135">
        <f t="shared" si="114"/>
        <v>0</v>
      </c>
      <c r="AH135">
        <f t="shared" si="114"/>
        <v>0</v>
      </c>
      <c r="AI135">
        <f t="shared" si="114"/>
        <v>0</v>
      </c>
      <c r="AJ135">
        <f t="shared" si="114"/>
        <v>0</v>
      </c>
      <c r="AK135">
        <f t="shared" si="114"/>
        <v>0</v>
      </c>
      <c r="AL135">
        <f t="shared" si="114"/>
        <v>0</v>
      </c>
      <c r="AM135">
        <f t="shared" si="114"/>
        <v>0</v>
      </c>
      <c r="AN135">
        <f t="shared" si="114"/>
        <v>0</v>
      </c>
      <c r="AO135">
        <f t="shared" ref="AO135:BS135" si="121">AO54</f>
        <v>0</v>
      </c>
      <c r="AP135">
        <f t="shared" si="121"/>
        <v>0</v>
      </c>
      <c r="AQ135">
        <f t="shared" si="121"/>
        <v>0</v>
      </c>
      <c r="AR135">
        <f t="shared" si="121"/>
        <v>0</v>
      </c>
      <c r="AS135">
        <f t="shared" si="121"/>
        <v>0</v>
      </c>
      <c r="AT135">
        <f t="shared" si="121"/>
        <v>0</v>
      </c>
      <c r="AU135">
        <f t="shared" si="121"/>
        <v>0</v>
      </c>
      <c r="AV135">
        <f t="shared" si="121"/>
        <v>0</v>
      </c>
      <c r="AW135">
        <f t="shared" si="121"/>
        <v>0</v>
      </c>
      <c r="AX135">
        <f t="shared" si="121"/>
        <v>0</v>
      </c>
      <c r="AY135">
        <f t="shared" si="121"/>
        <v>0</v>
      </c>
      <c r="AZ135">
        <f t="shared" si="121"/>
        <v>0</v>
      </c>
      <c r="BA135">
        <f t="shared" si="121"/>
        <v>0</v>
      </c>
      <c r="BB135">
        <f t="shared" si="121"/>
        <v>0</v>
      </c>
      <c r="BC135">
        <f t="shared" si="121"/>
        <v>0</v>
      </c>
      <c r="BD135">
        <f t="shared" si="121"/>
        <v>0</v>
      </c>
      <c r="BE135">
        <f t="shared" si="121"/>
        <v>0</v>
      </c>
      <c r="BF135">
        <f t="shared" si="121"/>
        <v>0</v>
      </c>
      <c r="BG135">
        <f t="shared" si="121"/>
        <v>0</v>
      </c>
      <c r="BH135">
        <f t="shared" si="121"/>
        <v>0</v>
      </c>
      <c r="BI135">
        <f t="shared" si="121"/>
        <v>0</v>
      </c>
      <c r="BJ135">
        <f t="shared" si="121"/>
        <v>0</v>
      </c>
      <c r="BK135">
        <f t="shared" si="121"/>
        <v>0</v>
      </c>
      <c r="BL135">
        <f t="shared" si="121"/>
        <v>0</v>
      </c>
      <c r="BM135">
        <f t="shared" si="121"/>
        <v>0</v>
      </c>
      <c r="BN135">
        <f t="shared" si="121"/>
        <v>0</v>
      </c>
      <c r="BO135">
        <f t="shared" si="121"/>
        <v>0</v>
      </c>
      <c r="BP135">
        <f t="shared" si="121"/>
        <v>0</v>
      </c>
      <c r="BQ135">
        <f t="shared" si="121"/>
        <v>0</v>
      </c>
      <c r="BR135">
        <f t="shared" si="121"/>
        <v>0</v>
      </c>
      <c r="BS135">
        <f t="shared" si="121"/>
        <v>0</v>
      </c>
      <c r="BT135">
        <f t="shared" ref="BT135:BY135" si="122">BT54</f>
        <v>0</v>
      </c>
      <c r="BU135">
        <f t="shared" si="122"/>
        <v>0</v>
      </c>
      <c r="BV135">
        <f t="shared" si="122"/>
        <v>0</v>
      </c>
      <c r="BW135">
        <f t="shared" si="122"/>
        <v>0</v>
      </c>
      <c r="BX135">
        <f t="shared" si="122"/>
        <v>0</v>
      </c>
      <c r="BY135">
        <f t="shared" si="122"/>
        <v>0</v>
      </c>
    </row>
    <row r="136" spans="1:77" ht="15" customHeight="1">
      <c r="A136">
        <f t="shared" si="9"/>
        <v>54</v>
      </c>
      <c r="B136" t="str">
        <f t="shared" si="114"/>
        <v>RM000062</v>
      </c>
      <c r="C136" t="str">
        <f t="shared" si="114"/>
        <v>GMP</v>
      </c>
      <c r="D136" t="str">
        <f t="shared" si="114"/>
        <v>C39/Pre-Production</v>
      </c>
      <c r="E136" t="str">
        <f t="shared" si="114"/>
        <v>Ginger Powder</v>
      </c>
      <c r="F136" s="102">
        <f t="shared" si="114"/>
        <v>0</v>
      </c>
      <c r="G136">
        <f t="shared" si="114"/>
        <v>0</v>
      </c>
      <c r="H136" s="102">
        <f t="shared" si="114"/>
        <v>0</v>
      </c>
      <c r="I136" s="101">
        <f t="shared" si="114"/>
        <v>0</v>
      </c>
      <c r="J136">
        <f t="shared" si="114"/>
        <v>0</v>
      </c>
      <c r="K136">
        <f t="shared" si="114"/>
        <v>0</v>
      </c>
      <c r="L136">
        <f t="shared" si="114"/>
        <v>0</v>
      </c>
      <c r="M136">
        <f t="shared" si="114"/>
        <v>0</v>
      </c>
      <c r="N136">
        <f t="shared" si="114"/>
        <v>0</v>
      </c>
      <c r="O136">
        <f t="shared" si="114"/>
        <v>0</v>
      </c>
      <c r="P136">
        <f t="shared" si="114"/>
        <v>0</v>
      </c>
      <c r="Q136">
        <f t="shared" si="114"/>
        <v>0</v>
      </c>
      <c r="R136">
        <f t="shared" si="114"/>
        <v>0</v>
      </c>
      <c r="S136">
        <f t="shared" si="114"/>
        <v>0</v>
      </c>
      <c r="T136">
        <f t="shared" si="114"/>
        <v>0</v>
      </c>
      <c r="U136">
        <f t="shared" si="114"/>
        <v>0</v>
      </c>
      <c r="V136">
        <f t="shared" si="114"/>
        <v>0</v>
      </c>
      <c r="W136">
        <f t="shared" si="114"/>
        <v>0</v>
      </c>
      <c r="X136">
        <f t="shared" si="114"/>
        <v>0</v>
      </c>
      <c r="Y136">
        <f t="shared" si="114"/>
        <v>0</v>
      </c>
      <c r="Z136">
        <f t="shared" si="114"/>
        <v>0</v>
      </c>
      <c r="AA136">
        <f t="shared" si="114"/>
        <v>0</v>
      </c>
      <c r="AB136">
        <f t="shared" si="114"/>
        <v>0</v>
      </c>
      <c r="AC136">
        <f t="shared" si="114"/>
        <v>0</v>
      </c>
      <c r="AD136">
        <f t="shared" si="114"/>
        <v>0</v>
      </c>
      <c r="AE136">
        <f t="shared" si="114"/>
        <v>0</v>
      </c>
      <c r="AF136">
        <f t="shared" si="114"/>
        <v>0</v>
      </c>
      <c r="AG136">
        <f t="shared" si="114"/>
        <v>0</v>
      </c>
      <c r="AH136">
        <f t="shared" si="114"/>
        <v>0</v>
      </c>
      <c r="AI136">
        <f t="shared" si="114"/>
        <v>0</v>
      </c>
      <c r="AJ136">
        <f t="shared" si="114"/>
        <v>70</v>
      </c>
      <c r="AK136">
        <f t="shared" si="114"/>
        <v>0</v>
      </c>
      <c r="AL136">
        <f t="shared" si="114"/>
        <v>0</v>
      </c>
      <c r="AM136">
        <f t="shared" si="114"/>
        <v>0</v>
      </c>
      <c r="AN136">
        <f t="shared" si="114"/>
        <v>0</v>
      </c>
      <c r="AO136">
        <f t="shared" ref="AO136:BS136" si="123">AO55</f>
        <v>0</v>
      </c>
      <c r="AP136">
        <f t="shared" si="123"/>
        <v>0</v>
      </c>
      <c r="AQ136">
        <f t="shared" si="123"/>
        <v>0</v>
      </c>
      <c r="AR136">
        <f t="shared" si="123"/>
        <v>0</v>
      </c>
      <c r="AS136">
        <f t="shared" si="123"/>
        <v>0</v>
      </c>
      <c r="AT136">
        <f t="shared" si="123"/>
        <v>0</v>
      </c>
      <c r="AU136">
        <f t="shared" si="123"/>
        <v>0</v>
      </c>
      <c r="AV136">
        <f t="shared" si="123"/>
        <v>0</v>
      </c>
      <c r="AW136">
        <f t="shared" si="123"/>
        <v>0</v>
      </c>
      <c r="AX136">
        <f t="shared" si="123"/>
        <v>0</v>
      </c>
      <c r="AY136">
        <f t="shared" si="123"/>
        <v>0</v>
      </c>
      <c r="AZ136">
        <f t="shared" si="123"/>
        <v>0</v>
      </c>
      <c r="BA136">
        <f t="shared" si="123"/>
        <v>0</v>
      </c>
      <c r="BB136">
        <f t="shared" si="123"/>
        <v>0</v>
      </c>
      <c r="BC136">
        <f t="shared" si="123"/>
        <v>0</v>
      </c>
      <c r="BD136">
        <f t="shared" si="123"/>
        <v>0</v>
      </c>
      <c r="BE136">
        <f t="shared" si="123"/>
        <v>0</v>
      </c>
      <c r="BF136">
        <f t="shared" si="123"/>
        <v>0</v>
      </c>
      <c r="BG136">
        <f t="shared" si="123"/>
        <v>0</v>
      </c>
      <c r="BH136">
        <f t="shared" si="123"/>
        <v>0</v>
      </c>
      <c r="BI136">
        <f t="shared" si="123"/>
        <v>0</v>
      </c>
      <c r="BJ136">
        <f t="shared" si="123"/>
        <v>0</v>
      </c>
      <c r="BK136">
        <f t="shared" si="123"/>
        <v>0</v>
      </c>
      <c r="BL136">
        <f t="shared" si="123"/>
        <v>0</v>
      </c>
      <c r="BM136">
        <f t="shared" si="123"/>
        <v>0</v>
      </c>
      <c r="BN136">
        <f t="shared" si="123"/>
        <v>0</v>
      </c>
      <c r="BO136">
        <f t="shared" si="123"/>
        <v>0</v>
      </c>
      <c r="BP136">
        <f t="shared" si="123"/>
        <v>0</v>
      </c>
      <c r="BQ136">
        <f t="shared" si="123"/>
        <v>0</v>
      </c>
      <c r="BR136">
        <f t="shared" si="123"/>
        <v>0</v>
      </c>
      <c r="BS136">
        <f t="shared" si="123"/>
        <v>0</v>
      </c>
      <c r="BT136">
        <f t="shared" ref="BT136:BY136" si="124">BT55</f>
        <v>0</v>
      </c>
      <c r="BU136">
        <f t="shared" si="124"/>
        <v>0</v>
      </c>
      <c r="BV136">
        <f t="shared" si="124"/>
        <v>0</v>
      </c>
      <c r="BW136">
        <f t="shared" si="124"/>
        <v>0</v>
      </c>
      <c r="BX136">
        <f t="shared" si="124"/>
        <v>0</v>
      </c>
      <c r="BY136">
        <f t="shared" si="124"/>
        <v>0</v>
      </c>
    </row>
    <row r="137" spans="1:77" ht="15" customHeight="1">
      <c r="A137">
        <f t="shared" si="9"/>
        <v>55</v>
      </c>
      <c r="B137" t="str">
        <f t="shared" si="114"/>
        <v>RM000056</v>
      </c>
      <c r="C137" t="str">
        <f t="shared" si="114"/>
        <v>GMP</v>
      </c>
      <c r="D137" t="str">
        <f t="shared" si="114"/>
        <v>C39/Pre-Production</v>
      </c>
      <c r="E137" t="str">
        <f t="shared" si="114"/>
        <v>Fennel Seeds</v>
      </c>
      <c r="F137" s="102">
        <f t="shared" si="114"/>
        <v>45.699757635467968</v>
      </c>
      <c r="G137">
        <f t="shared" si="114"/>
        <v>0</v>
      </c>
      <c r="H137" s="102">
        <f t="shared" si="114"/>
        <v>-45.699757635467968</v>
      </c>
      <c r="I137" s="101">
        <f t="shared" si="114"/>
        <v>0</v>
      </c>
      <c r="J137">
        <f t="shared" si="114"/>
        <v>0</v>
      </c>
      <c r="K137">
        <f t="shared" si="114"/>
        <v>0</v>
      </c>
      <c r="L137">
        <f t="shared" si="114"/>
        <v>0</v>
      </c>
      <c r="M137">
        <f t="shared" si="114"/>
        <v>0</v>
      </c>
      <c r="N137">
        <f t="shared" si="114"/>
        <v>0</v>
      </c>
      <c r="O137">
        <f t="shared" si="114"/>
        <v>0</v>
      </c>
      <c r="P137">
        <f t="shared" si="114"/>
        <v>0</v>
      </c>
      <c r="Q137">
        <f t="shared" si="114"/>
        <v>0</v>
      </c>
      <c r="R137">
        <f t="shared" si="114"/>
        <v>0</v>
      </c>
      <c r="S137">
        <f t="shared" si="114"/>
        <v>0</v>
      </c>
      <c r="T137">
        <f t="shared" si="114"/>
        <v>0</v>
      </c>
      <c r="U137">
        <f t="shared" si="114"/>
        <v>0</v>
      </c>
      <c r="V137">
        <f t="shared" si="114"/>
        <v>0</v>
      </c>
      <c r="W137">
        <f t="shared" si="114"/>
        <v>0</v>
      </c>
      <c r="X137">
        <f t="shared" si="114"/>
        <v>0</v>
      </c>
      <c r="Y137">
        <f t="shared" si="114"/>
        <v>0</v>
      </c>
      <c r="Z137">
        <f t="shared" si="114"/>
        <v>0</v>
      </c>
      <c r="AA137">
        <f t="shared" si="114"/>
        <v>0</v>
      </c>
      <c r="AB137">
        <f t="shared" ref="B137:AN142" si="125">AB56</f>
        <v>0</v>
      </c>
      <c r="AC137">
        <f t="shared" si="125"/>
        <v>0</v>
      </c>
      <c r="AD137">
        <f t="shared" si="125"/>
        <v>0</v>
      </c>
      <c r="AE137">
        <f t="shared" si="125"/>
        <v>0</v>
      </c>
      <c r="AF137">
        <f t="shared" si="125"/>
        <v>0</v>
      </c>
      <c r="AG137">
        <f t="shared" si="125"/>
        <v>0</v>
      </c>
      <c r="AH137">
        <f t="shared" si="125"/>
        <v>0</v>
      </c>
      <c r="AI137">
        <f t="shared" si="125"/>
        <v>0</v>
      </c>
      <c r="AJ137">
        <f t="shared" si="125"/>
        <v>0</v>
      </c>
      <c r="AK137">
        <f t="shared" si="125"/>
        <v>0</v>
      </c>
      <c r="AL137">
        <f t="shared" si="125"/>
        <v>0</v>
      </c>
      <c r="AM137">
        <f t="shared" si="125"/>
        <v>0</v>
      </c>
      <c r="AN137">
        <f t="shared" si="125"/>
        <v>0</v>
      </c>
      <c r="AO137">
        <f t="shared" ref="AO137:BS137" si="126">AO56</f>
        <v>0</v>
      </c>
      <c r="AP137">
        <f t="shared" si="126"/>
        <v>0</v>
      </c>
      <c r="AQ137">
        <f t="shared" si="126"/>
        <v>0</v>
      </c>
      <c r="AR137">
        <f t="shared" si="126"/>
        <v>0</v>
      </c>
      <c r="AS137">
        <f t="shared" si="126"/>
        <v>0</v>
      </c>
      <c r="AT137">
        <f t="shared" si="126"/>
        <v>0</v>
      </c>
      <c r="AU137">
        <f t="shared" si="126"/>
        <v>0</v>
      </c>
      <c r="AV137">
        <f t="shared" si="126"/>
        <v>0</v>
      </c>
      <c r="AW137">
        <f t="shared" si="126"/>
        <v>0</v>
      </c>
      <c r="AX137">
        <f t="shared" si="126"/>
        <v>0</v>
      </c>
      <c r="AY137">
        <f t="shared" si="126"/>
        <v>0</v>
      </c>
      <c r="AZ137">
        <f t="shared" si="126"/>
        <v>0</v>
      </c>
      <c r="BA137">
        <f t="shared" si="126"/>
        <v>0</v>
      </c>
      <c r="BB137">
        <f t="shared" si="126"/>
        <v>0</v>
      </c>
      <c r="BC137">
        <f t="shared" si="126"/>
        <v>0</v>
      </c>
      <c r="BD137">
        <f t="shared" si="126"/>
        <v>0</v>
      </c>
      <c r="BE137">
        <f t="shared" si="126"/>
        <v>0</v>
      </c>
      <c r="BF137">
        <f t="shared" si="126"/>
        <v>0</v>
      </c>
      <c r="BG137">
        <f t="shared" si="126"/>
        <v>0</v>
      </c>
      <c r="BH137">
        <f t="shared" si="126"/>
        <v>0</v>
      </c>
      <c r="BI137">
        <f t="shared" si="126"/>
        <v>0</v>
      </c>
      <c r="BJ137">
        <f t="shared" si="126"/>
        <v>0</v>
      </c>
      <c r="BK137">
        <f t="shared" si="126"/>
        <v>0</v>
      </c>
      <c r="BL137">
        <f t="shared" si="126"/>
        <v>0</v>
      </c>
      <c r="BM137">
        <f t="shared" si="126"/>
        <v>0</v>
      </c>
      <c r="BN137">
        <f t="shared" si="126"/>
        <v>0</v>
      </c>
      <c r="BO137">
        <f t="shared" si="126"/>
        <v>0</v>
      </c>
      <c r="BP137">
        <f t="shared" si="126"/>
        <v>0</v>
      </c>
      <c r="BQ137">
        <f t="shared" si="126"/>
        <v>0</v>
      </c>
      <c r="BR137">
        <f t="shared" si="126"/>
        <v>0</v>
      </c>
      <c r="BS137">
        <f t="shared" si="126"/>
        <v>0</v>
      </c>
      <c r="BT137">
        <f t="shared" ref="BT137:BY137" si="127">BT56</f>
        <v>0</v>
      </c>
      <c r="BU137">
        <f t="shared" si="127"/>
        <v>0</v>
      </c>
      <c r="BV137">
        <f t="shared" si="127"/>
        <v>0</v>
      </c>
      <c r="BW137">
        <f t="shared" si="127"/>
        <v>0</v>
      </c>
      <c r="BX137">
        <f t="shared" si="127"/>
        <v>0</v>
      </c>
      <c r="BY137">
        <f t="shared" si="127"/>
        <v>0</v>
      </c>
    </row>
    <row r="138" spans="1:77" ht="15" customHeight="1">
      <c r="A138">
        <f t="shared" si="9"/>
        <v>56</v>
      </c>
      <c r="B138" t="str">
        <f t="shared" si="125"/>
        <v>RM000051</v>
      </c>
      <c r="C138" t="str">
        <f t="shared" si="125"/>
        <v>GMP</v>
      </c>
      <c r="D138" t="str">
        <f t="shared" si="125"/>
        <v>C39/Pre-Production</v>
      </c>
      <c r="E138" t="str">
        <f t="shared" si="125"/>
        <v>Dalchini/cinnamon</v>
      </c>
      <c r="F138" s="102">
        <f t="shared" si="125"/>
        <v>4.9800000000000004</v>
      </c>
      <c r="G138">
        <f t="shared" si="125"/>
        <v>0</v>
      </c>
      <c r="H138" s="102">
        <f t="shared" si="125"/>
        <v>-4.9800000000000004</v>
      </c>
      <c r="I138" s="101">
        <f t="shared" si="125"/>
        <v>0</v>
      </c>
      <c r="J138">
        <f t="shared" si="125"/>
        <v>0</v>
      </c>
      <c r="K138">
        <f t="shared" si="125"/>
        <v>0</v>
      </c>
      <c r="L138">
        <f t="shared" si="125"/>
        <v>0</v>
      </c>
      <c r="M138">
        <f t="shared" si="125"/>
        <v>0</v>
      </c>
      <c r="N138">
        <f t="shared" si="125"/>
        <v>0</v>
      </c>
      <c r="O138">
        <f t="shared" si="125"/>
        <v>0</v>
      </c>
      <c r="P138">
        <f t="shared" si="125"/>
        <v>0</v>
      </c>
      <c r="Q138">
        <f t="shared" si="125"/>
        <v>0</v>
      </c>
      <c r="R138">
        <f t="shared" si="125"/>
        <v>0</v>
      </c>
      <c r="S138">
        <f t="shared" si="125"/>
        <v>0</v>
      </c>
      <c r="T138">
        <f t="shared" si="125"/>
        <v>0</v>
      </c>
      <c r="U138">
        <f t="shared" si="125"/>
        <v>0</v>
      </c>
      <c r="V138">
        <f t="shared" si="125"/>
        <v>0</v>
      </c>
      <c r="W138">
        <f t="shared" si="125"/>
        <v>0</v>
      </c>
      <c r="X138">
        <f t="shared" si="125"/>
        <v>0</v>
      </c>
      <c r="Y138">
        <f t="shared" si="125"/>
        <v>0</v>
      </c>
      <c r="Z138">
        <f t="shared" si="125"/>
        <v>0</v>
      </c>
      <c r="AA138">
        <f t="shared" si="125"/>
        <v>0</v>
      </c>
      <c r="AB138">
        <f t="shared" si="125"/>
        <v>0</v>
      </c>
      <c r="AC138">
        <f t="shared" si="125"/>
        <v>0</v>
      </c>
      <c r="AD138">
        <f t="shared" si="125"/>
        <v>0</v>
      </c>
      <c r="AE138">
        <f t="shared" si="125"/>
        <v>0</v>
      </c>
      <c r="AF138">
        <f t="shared" si="125"/>
        <v>0</v>
      </c>
      <c r="AG138">
        <f t="shared" si="125"/>
        <v>0</v>
      </c>
      <c r="AH138">
        <f t="shared" si="125"/>
        <v>0</v>
      </c>
      <c r="AI138">
        <f t="shared" si="125"/>
        <v>0</v>
      </c>
      <c r="AJ138">
        <f t="shared" si="125"/>
        <v>16</v>
      </c>
      <c r="AK138">
        <f t="shared" si="125"/>
        <v>0</v>
      </c>
      <c r="AL138">
        <f t="shared" si="125"/>
        <v>0</v>
      </c>
      <c r="AM138">
        <f t="shared" si="125"/>
        <v>0</v>
      </c>
      <c r="AN138">
        <f t="shared" si="125"/>
        <v>0</v>
      </c>
      <c r="AO138">
        <f t="shared" ref="AO138:BS138" si="128">AO57</f>
        <v>0</v>
      </c>
      <c r="AP138">
        <f t="shared" si="128"/>
        <v>0</v>
      </c>
      <c r="AQ138">
        <f t="shared" si="128"/>
        <v>0</v>
      </c>
      <c r="AR138">
        <f t="shared" si="128"/>
        <v>0</v>
      </c>
      <c r="AS138">
        <f t="shared" si="128"/>
        <v>0</v>
      </c>
      <c r="AT138">
        <f t="shared" si="128"/>
        <v>0</v>
      </c>
      <c r="AU138">
        <f t="shared" si="128"/>
        <v>0</v>
      </c>
      <c r="AV138">
        <f t="shared" si="128"/>
        <v>0</v>
      </c>
      <c r="AW138">
        <f t="shared" si="128"/>
        <v>0</v>
      </c>
      <c r="AX138">
        <f t="shared" si="128"/>
        <v>0</v>
      </c>
      <c r="AY138">
        <f t="shared" si="128"/>
        <v>0</v>
      </c>
      <c r="AZ138">
        <f t="shared" si="128"/>
        <v>0</v>
      </c>
      <c r="BA138">
        <f t="shared" si="128"/>
        <v>0</v>
      </c>
      <c r="BB138">
        <f t="shared" si="128"/>
        <v>0</v>
      </c>
      <c r="BC138">
        <f t="shared" si="128"/>
        <v>0</v>
      </c>
      <c r="BD138">
        <f t="shared" si="128"/>
        <v>0</v>
      </c>
      <c r="BE138">
        <f t="shared" si="128"/>
        <v>0</v>
      </c>
      <c r="BF138">
        <f t="shared" si="128"/>
        <v>0</v>
      </c>
      <c r="BG138">
        <f t="shared" si="128"/>
        <v>0</v>
      </c>
      <c r="BH138">
        <f t="shared" si="128"/>
        <v>0</v>
      </c>
      <c r="BI138">
        <f t="shared" si="128"/>
        <v>0</v>
      </c>
      <c r="BJ138">
        <f t="shared" si="128"/>
        <v>0</v>
      </c>
      <c r="BK138">
        <f t="shared" si="128"/>
        <v>0</v>
      </c>
      <c r="BL138">
        <f t="shared" si="128"/>
        <v>0</v>
      </c>
      <c r="BM138">
        <f t="shared" si="128"/>
        <v>0</v>
      </c>
      <c r="BN138">
        <f t="shared" si="128"/>
        <v>0</v>
      </c>
      <c r="BO138">
        <f t="shared" si="128"/>
        <v>0</v>
      </c>
      <c r="BP138">
        <f t="shared" si="128"/>
        <v>0</v>
      </c>
      <c r="BQ138">
        <f t="shared" si="128"/>
        <v>0</v>
      </c>
      <c r="BR138">
        <f t="shared" si="128"/>
        <v>0</v>
      </c>
      <c r="BS138">
        <f t="shared" si="128"/>
        <v>0</v>
      </c>
      <c r="BT138">
        <f t="shared" ref="BT138:BY138" si="129">BT57</f>
        <v>0</v>
      </c>
      <c r="BU138">
        <f t="shared" si="129"/>
        <v>0</v>
      </c>
      <c r="BV138">
        <f t="shared" si="129"/>
        <v>0</v>
      </c>
      <c r="BW138">
        <f t="shared" si="129"/>
        <v>0</v>
      </c>
      <c r="BX138">
        <f t="shared" si="129"/>
        <v>0</v>
      </c>
      <c r="BY138">
        <f t="shared" si="129"/>
        <v>0</v>
      </c>
    </row>
    <row r="139" spans="1:77" ht="15" customHeight="1">
      <c r="A139">
        <f t="shared" si="9"/>
        <v>57</v>
      </c>
      <c r="B139" t="str">
        <f t="shared" si="125"/>
        <v>RM000031</v>
      </c>
      <c r="C139" t="str">
        <f t="shared" si="125"/>
        <v>GMP</v>
      </c>
      <c r="D139" t="str">
        <f t="shared" si="125"/>
        <v>C39/Pre-Production</v>
      </c>
      <c r="E139" t="str">
        <f t="shared" si="125"/>
        <v>Cardamom</v>
      </c>
      <c r="F139" s="102">
        <f t="shared" si="125"/>
        <v>36.748798029556667</v>
      </c>
      <c r="G139">
        <f t="shared" si="125"/>
        <v>0</v>
      </c>
      <c r="H139" s="102">
        <f t="shared" si="125"/>
        <v>-36.748798029556667</v>
      </c>
      <c r="I139" s="101">
        <f t="shared" si="125"/>
        <v>0</v>
      </c>
      <c r="J139">
        <f t="shared" si="125"/>
        <v>0</v>
      </c>
      <c r="K139">
        <f t="shared" si="125"/>
        <v>0</v>
      </c>
      <c r="L139">
        <f t="shared" si="125"/>
        <v>0</v>
      </c>
      <c r="M139">
        <f t="shared" si="125"/>
        <v>0</v>
      </c>
      <c r="N139">
        <f t="shared" si="125"/>
        <v>0</v>
      </c>
      <c r="O139">
        <f t="shared" si="125"/>
        <v>0</v>
      </c>
      <c r="P139">
        <f t="shared" si="125"/>
        <v>0</v>
      </c>
      <c r="Q139">
        <f t="shared" si="125"/>
        <v>0</v>
      </c>
      <c r="R139">
        <f t="shared" si="125"/>
        <v>0</v>
      </c>
      <c r="S139">
        <f t="shared" si="125"/>
        <v>0</v>
      </c>
      <c r="T139">
        <f t="shared" si="125"/>
        <v>0</v>
      </c>
      <c r="U139">
        <f t="shared" si="125"/>
        <v>0</v>
      </c>
      <c r="V139">
        <f t="shared" si="125"/>
        <v>0</v>
      </c>
      <c r="W139">
        <f t="shared" si="125"/>
        <v>0</v>
      </c>
      <c r="X139">
        <f t="shared" si="125"/>
        <v>0</v>
      </c>
      <c r="Y139">
        <f t="shared" si="125"/>
        <v>0</v>
      </c>
      <c r="Z139">
        <f t="shared" si="125"/>
        <v>0</v>
      </c>
      <c r="AA139">
        <f t="shared" si="125"/>
        <v>0</v>
      </c>
      <c r="AB139">
        <f t="shared" si="125"/>
        <v>0</v>
      </c>
      <c r="AC139">
        <f t="shared" si="125"/>
        <v>0</v>
      </c>
      <c r="AD139">
        <f t="shared" si="125"/>
        <v>0</v>
      </c>
      <c r="AE139">
        <f t="shared" si="125"/>
        <v>0</v>
      </c>
      <c r="AF139">
        <f t="shared" si="125"/>
        <v>0</v>
      </c>
      <c r="AG139">
        <f t="shared" si="125"/>
        <v>0</v>
      </c>
      <c r="AH139">
        <f t="shared" si="125"/>
        <v>0</v>
      </c>
      <c r="AI139">
        <f t="shared" si="125"/>
        <v>0</v>
      </c>
      <c r="AJ139">
        <f t="shared" si="125"/>
        <v>17</v>
      </c>
      <c r="AK139">
        <f t="shared" si="125"/>
        <v>0</v>
      </c>
      <c r="AL139">
        <f t="shared" si="125"/>
        <v>0</v>
      </c>
      <c r="AM139">
        <f t="shared" si="125"/>
        <v>0</v>
      </c>
      <c r="AN139">
        <f t="shared" si="125"/>
        <v>0</v>
      </c>
      <c r="AO139">
        <f t="shared" ref="AO139:BS139" si="130">AO58</f>
        <v>0</v>
      </c>
      <c r="AP139">
        <f t="shared" si="130"/>
        <v>0</v>
      </c>
      <c r="AQ139">
        <f t="shared" si="130"/>
        <v>0</v>
      </c>
      <c r="AR139">
        <f t="shared" si="130"/>
        <v>0</v>
      </c>
      <c r="AS139">
        <f t="shared" si="130"/>
        <v>0</v>
      </c>
      <c r="AT139">
        <f t="shared" si="130"/>
        <v>0</v>
      </c>
      <c r="AU139">
        <f t="shared" si="130"/>
        <v>0</v>
      </c>
      <c r="AV139">
        <f t="shared" si="130"/>
        <v>0</v>
      </c>
      <c r="AW139">
        <f t="shared" si="130"/>
        <v>0</v>
      </c>
      <c r="AX139">
        <f t="shared" si="130"/>
        <v>0</v>
      </c>
      <c r="AY139">
        <f t="shared" si="130"/>
        <v>0</v>
      </c>
      <c r="AZ139">
        <f t="shared" si="130"/>
        <v>0</v>
      </c>
      <c r="BA139">
        <f t="shared" si="130"/>
        <v>0</v>
      </c>
      <c r="BB139">
        <f t="shared" si="130"/>
        <v>0</v>
      </c>
      <c r="BC139">
        <f t="shared" si="130"/>
        <v>0</v>
      </c>
      <c r="BD139">
        <f t="shared" si="130"/>
        <v>0</v>
      </c>
      <c r="BE139">
        <f t="shared" si="130"/>
        <v>0</v>
      </c>
      <c r="BF139">
        <f t="shared" si="130"/>
        <v>0</v>
      </c>
      <c r="BG139">
        <f t="shared" si="130"/>
        <v>0</v>
      </c>
      <c r="BH139">
        <f t="shared" si="130"/>
        <v>0</v>
      </c>
      <c r="BI139">
        <f t="shared" si="130"/>
        <v>0</v>
      </c>
      <c r="BJ139">
        <f t="shared" si="130"/>
        <v>0</v>
      </c>
      <c r="BK139">
        <f t="shared" si="130"/>
        <v>0</v>
      </c>
      <c r="BL139">
        <f t="shared" si="130"/>
        <v>0</v>
      </c>
      <c r="BM139">
        <f t="shared" si="130"/>
        <v>0</v>
      </c>
      <c r="BN139">
        <f t="shared" si="130"/>
        <v>0</v>
      </c>
      <c r="BO139">
        <f t="shared" si="130"/>
        <v>0</v>
      </c>
      <c r="BP139">
        <f t="shared" si="130"/>
        <v>0</v>
      </c>
      <c r="BQ139">
        <f t="shared" si="130"/>
        <v>0</v>
      </c>
      <c r="BR139">
        <f t="shared" si="130"/>
        <v>0</v>
      </c>
      <c r="BS139">
        <f t="shared" si="130"/>
        <v>0</v>
      </c>
      <c r="BT139">
        <f t="shared" ref="BT139:BY139" si="131">BT58</f>
        <v>0</v>
      </c>
      <c r="BU139">
        <f t="shared" si="131"/>
        <v>0</v>
      </c>
      <c r="BV139">
        <f t="shared" si="131"/>
        <v>0</v>
      </c>
      <c r="BW139">
        <f t="shared" si="131"/>
        <v>0</v>
      </c>
      <c r="BX139">
        <f t="shared" si="131"/>
        <v>0</v>
      </c>
      <c r="BY139">
        <f t="shared" si="131"/>
        <v>0</v>
      </c>
    </row>
    <row r="140" spans="1:77" ht="15" customHeight="1">
      <c r="A140">
        <f t="shared" si="9"/>
        <v>58</v>
      </c>
      <c r="B140" t="str">
        <f t="shared" si="125"/>
        <v>RM000018</v>
      </c>
      <c r="C140" t="str">
        <f t="shared" si="125"/>
        <v>GMP</v>
      </c>
      <c r="D140" t="str">
        <f t="shared" si="125"/>
        <v>C39/Pre-Production</v>
      </c>
      <c r="E140" t="str">
        <f t="shared" si="125"/>
        <v>Black Pepper (Kali Miri)</v>
      </c>
      <c r="F140" s="102">
        <f t="shared" si="125"/>
        <v>0</v>
      </c>
      <c r="G140">
        <f t="shared" si="125"/>
        <v>0</v>
      </c>
      <c r="H140" s="102">
        <f t="shared" si="125"/>
        <v>0</v>
      </c>
      <c r="I140" s="101">
        <f t="shared" si="125"/>
        <v>0</v>
      </c>
      <c r="J140">
        <f t="shared" si="125"/>
        <v>0</v>
      </c>
      <c r="K140">
        <f t="shared" si="125"/>
        <v>0</v>
      </c>
      <c r="L140">
        <f t="shared" si="125"/>
        <v>0</v>
      </c>
      <c r="M140">
        <f t="shared" si="125"/>
        <v>0</v>
      </c>
      <c r="N140">
        <f t="shared" si="125"/>
        <v>0</v>
      </c>
      <c r="O140">
        <f t="shared" si="125"/>
        <v>0</v>
      </c>
      <c r="P140">
        <f t="shared" si="125"/>
        <v>0</v>
      </c>
      <c r="Q140">
        <f t="shared" si="125"/>
        <v>0</v>
      </c>
      <c r="R140">
        <f t="shared" si="125"/>
        <v>0</v>
      </c>
      <c r="S140">
        <f t="shared" si="125"/>
        <v>0</v>
      </c>
      <c r="T140">
        <f t="shared" si="125"/>
        <v>0</v>
      </c>
      <c r="U140">
        <f t="shared" si="125"/>
        <v>0</v>
      </c>
      <c r="V140">
        <f t="shared" si="125"/>
        <v>0</v>
      </c>
      <c r="W140">
        <f t="shared" si="125"/>
        <v>0</v>
      </c>
      <c r="X140">
        <f t="shared" si="125"/>
        <v>0</v>
      </c>
      <c r="Y140">
        <f t="shared" si="125"/>
        <v>0</v>
      </c>
      <c r="Z140">
        <f t="shared" si="125"/>
        <v>0</v>
      </c>
      <c r="AA140">
        <f t="shared" si="125"/>
        <v>0</v>
      </c>
      <c r="AB140">
        <f t="shared" si="125"/>
        <v>0</v>
      </c>
      <c r="AC140">
        <f t="shared" si="125"/>
        <v>0</v>
      </c>
      <c r="AD140">
        <f t="shared" si="125"/>
        <v>0</v>
      </c>
      <c r="AE140">
        <f t="shared" si="125"/>
        <v>0</v>
      </c>
      <c r="AF140">
        <f t="shared" si="125"/>
        <v>0</v>
      </c>
      <c r="AG140">
        <f t="shared" si="125"/>
        <v>0</v>
      </c>
      <c r="AH140">
        <f t="shared" si="125"/>
        <v>0</v>
      </c>
      <c r="AI140">
        <f t="shared" si="125"/>
        <v>0</v>
      </c>
      <c r="AJ140">
        <f t="shared" si="125"/>
        <v>20</v>
      </c>
      <c r="AK140">
        <f t="shared" si="125"/>
        <v>0</v>
      </c>
      <c r="AL140">
        <f t="shared" si="125"/>
        <v>0</v>
      </c>
      <c r="AM140">
        <f t="shared" si="125"/>
        <v>0</v>
      </c>
      <c r="AN140">
        <f t="shared" si="125"/>
        <v>0</v>
      </c>
      <c r="AO140">
        <f t="shared" ref="AO140:BS140" si="132">AO59</f>
        <v>0</v>
      </c>
      <c r="AP140">
        <f t="shared" si="132"/>
        <v>0</v>
      </c>
      <c r="AQ140">
        <f t="shared" si="132"/>
        <v>0</v>
      </c>
      <c r="AR140">
        <f t="shared" si="132"/>
        <v>0</v>
      </c>
      <c r="AS140">
        <f t="shared" si="132"/>
        <v>0</v>
      </c>
      <c r="AT140">
        <f t="shared" si="132"/>
        <v>0</v>
      </c>
      <c r="AU140">
        <f t="shared" si="132"/>
        <v>0</v>
      </c>
      <c r="AV140">
        <f t="shared" si="132"/>
        <v>0</v>
      </c>
      <c r="AW140">
        <f t="shared" si="132"/>
        <v>0</v>
      </c>
      <c r="AX140">
        <f t="shared" si="132"/>
        <v>0</v>
      </c>
      <c r="AY140">
        <f t="shared" si="132"/>
        <v>0</v>
      </c>
      <c r="AZ140">
        <f t="shared" si="132"/>
        <v>0</v>
      </c>
      <c r="BA140">
        <f t="shared" si="132"/>
        <v>0</v>
      </c>
      <c r="BB140">
        <f t="shared" si="132"/>
        <v>0</v>
      </c>
      <c r="BC140">
        <f t="shared" si="132"/>
        <v>0</v>
      </c>
      <c r="BD140">
        <f t="shared" si="132"/>
        <v>0</v>
      </c>
      <c r="BE140">
        <f t="shared" si="132"/>
        <v>0</v>
      </c>
      <c r="BF140">
        <f t="shared" si="132"/>
        <v>0</v>
      </c>
      <c r="BG140">
        <f t="shared" si="132"/>
        <v>0</v>
      </c>
      <c r="BH140">
        <f t="shared" si="132"/>
        <v>0</v>
      </c>
      <c r="BI140">
        <f t="shared" si="132"/>
        <v>0</v>
      </c>
      <c r="BJ140">
        <f t="shared" si="132"/>
        <v>0</v>
      </c>
      <c r="BK140">
        <f t="shared" si="132"/>
        <v>0</v>
      </c>
      <c r="BL140">
        <f t="shared" si="132"/>
        <v>0</v>
      </c>
      <c r="BM140">
        <f t="shared" si="132"/>
        <v>0</v>
      </c>
      <c r="BN140">
        <f t="shared" si="132"/>
        <v>0</v>
      </c>
      <c r="BO140">
        <f t="shared" si="132"/>
        <v>0</v>
      </c>
      <c r="BP140">
        <f t="shared" si="132"/>
        <v>0</v>
      </c>
      <c r="BQ140">
        <f t="shared" si="132"/>
        <v>0</v>
      </c>
      <c r="BR140">
        <f t="shared" si="132"/>
        <v>0</v>
      </c>
      <c r="BS140">
        <f t="shared" si="132"/>
        <v>0</v>
      </c>
      <c r="BT140">
        <f t="shared" ref="BT140:BY140" si="133">BT59</f>
        <v>0</v>
      </c>
      <c r="BU140">
        <f t="shared" si="133"/>
        <v>0</v>
      </c>
      <c r="BV140">
        <f t="shared" si="133"/>
        <v>0</v>
      </c>
      <c r="BW140">
        <f t="shared" si="133"/>
        <v>0</v>
      </c>
      <c r="BX140">
        <f t="shared" si="133"/>
        <v>0</v>
      </c>
      <c r="BY140">
        <f t="shared" si="133"/>
        <v>0</v>
      </c>
    </row>
    <row r="141" spans="1:77" ht="15" customHeight="1">
      <c r="A141">
        <f t="shared" si="9"/>
        <v>59</v>
      </c>
      <c r="B141" t="str">
        <f t="shared" si="125"/>
        <v>RM000015</v>
      </c>
      <c r="C141" t="str">
        <f t="shared" si="125"/>
        <v>GMP</v>
      </c>
      <c r="D141" t="str">
        <f t="shared" si="125"/>
        <v>C39/Pre-Production</v>
      </c>
      <c r="E141" t="str">
        <f t="shared" si="125"/>
        <v>Black cardamom</v>
      </c>
      <c r="F141" s="102">
        <f t="shared" si="125"/>
        <v>16.838000000000001</v>
      </c>
      <c r="G141">
        <f t="shared" si="125"/>
        <v>0</v>
      </c>
      <c r="H141" s="102">
        <f t="shared" si="125"/>
        <v>-16.838000000000001</v>
      </c>
      <c r="I141" s="101">
        <f t="shared" si="125"/>
        <v>0</v>
      </c>
      <c r="J141">
        <f t="shared" si="125"/>
        <v>0</v>
      </c>
      <c r="K141">
        <f t="shared" si="125"/>
        <v>0</v>
      </c>
      <c r="L141">
        <f t="shared" si="125"/>
        <v>0</v>
      </c>
      <c r="M141">
        <f t="shared" si="125"/>
        <v>0</v>
      </c>
      <c r="N141">
        <f t="shared" si="125"/>
        <v>0</v>
      </c>
      <c r="O141">
        <f t="shared" si="125"/>
        <v>0</v>
      </c>
      <c r="P141">
        <f t="shared" si="125"/>
        <v>0</v>
      </c>
      <c r="Q141">
        <f t="shared" si="125"/>
        <v>0</v>
      </c>
      <c r="R141">
        <f t="shared" si="125"/>
        <v>0</v>
      </c>
      <c r="S141">
        <f t="shared" si="125"/>
        <v>0</v>
      </c>
      <c r="T141">
        <f t="shared" si="125"/>
        <v>0</v>
      </c>
      <c r="U141">
        <f t="shared" si="125"/>
        <v>0</v>
      </c>
      <c r="V141">
        <f t="shared" si="125"/>
        <v>0</v>
      </c>
      <c r="W141">
        <f t="shared" si="125"/>
        <v>0</v>
      </c>
      <c r="X141">
        <f t="shared" si="125"/>
        <v>0</v>
      </c>
      <c r="Y141">
        <f t="shared" si="125"/>
        <v>0</v>
      </c>
      <c r="Z141">
        <f t="shared" si="125"/>
        <v>0</v>
      </c>
      <c r="AA141">
        <f t="shared" si="125"/>
        <v>0</v>
      </c>
      <c r="AB141">
        <f t="shared" si="125"/>
        <v>0</v>
      </c>
      <c r="AC141">
        <f t="shared" si="125"/>
        <v>0</v>
      </c>
      <c r="AD141">
        <f t="shared" si="125"/>
        <v>0</v>
      </c>
      <c r="AE141">
        <f t="shared" si="125"/>
        <v>0</v>
      </c>
      <c r="AF141">
        <f t="shared" si="125"/>
        <v>0</v>
      </c>
      <c r="AG141">
        <f t="shared" si="125"/>
        <v>0</v>
      </c>
      <c r="AH141">
        <f t="shared" si="125"/>
        <v>0</v>
      </c>
      <c r="AI141">
        <f t="shared" si="125"/>
        <v>0</v>
      </c>
      <c r="AJ141">
        <f t="shared" si="125"/>
        <v>0</v>
      </c>
      <c r="AK141">
        <f t="shared" si="125"/>
        <v>0</v>
      </c>
      <c r="AL141">
        <f t="shared" si="125"/>
        <v>0</v>
      </c>
      <c r="AM141">
        <f t="shared" si="125"/>
        <v>0</v>
      </c>
      <c r="AN141">
        <f t="shared" si="125"/>
        <v>0</v>
      </c>
      <c r="AO141">
        <f t="shared" ref="AO141:BS141" si="134">AO60</f>
        <v>0</v>
      </c>
      <c r="AP141">
        <f t="shared" si="134"/>
        <v>0</v>
      </c>
      <c r="AQ141">
        <f t="shared" si="134"/>
        <v>0</v>
      </c>
      <c r="AR141">
        <f t="shared" si="134"/>
        <v>0</v>
      </c>
      <c r="AS141">
        <f t="shared" si="134"/>
        <v>0</v>
      </c>
      <c r="AT141">
        <f t="shared" si="134"/>
        <v>0</v>
      </c>
      <c r="AU141">
        <f t="shared" si="134"/>
        <v>0</v>
      </c>
      <c r="AV141">
        <f t="shared" si="134"/>
        <v>0</v>
      </c>
      <c r="AW141">
        <f t="shared" si="134"/>
        <v>0</v>
      </c>
      <c r="AX141">
        <f t="shared" si="134"/>
        <v>0</v>
      </c>
      <c r="AY141">
        <f t="shared" si="134"/>
        <v>0</v>
      </c>
      <c r="AZ141">
        <f t="shared" si="134"/>
        <v>0</v>
      </c>
      <c r="BA141">
        <f t="shared" si="134"/>
        <v>0</v>
      </c>
      <c r="BB141">
        <f t="shared" si="134"/>
        <v>0</v>
      </c>
      <c r="BC141">
        <f t="shared" si="134"/>
        <v>0</v>
      </c>
      <c r="BD141">
        <f t="shared" si="134"/>
        <v>0</v>
      </c>
      <c r="BE141">
        <f t="shared" si="134"/>
        <v>0</v>
      </c>
      <c r="BF141">
        <f t="shared" si="134"/>
        <v>0</v>
      </c>
      <c r="BG141">
        <f t="shared" si="134"/>
        <v>0</v>
      </c>
      <c r="BH141">
        <f t="shared" si="134"/>
        <v>0</v>
      </c>
      <c r="BI141">
        <f t="shared" si="134"/>
        <v>0</v>
      </c>
      <c r="BJ141">
        <f t="shared" si="134"/>
        <v>0</v>
      </c>
      <c r="BK141">
        <f t="shared" si="134"/>
        <v>0</v>
      </c>
      <c r="BL141">
        <f t="shared" si="134"/>
        <v>0</v>
      </c>
      <c r="BM141">
        <f t="shared" si="134"/>
        <v>0</v>
      </c>
      <c r="BN141">
        <f t="shared" si="134"/>
        <v>0</v>
      </c>
      <c r="BO141">
        <f t="shared" si="134"/>
        <v>0</v>
      </c>
      <c r="BP141">
        <f t="shared" si="134"/>
        <v>0</v>
      </c>
      <c r="BQ141">
        <f t="shared" si="134"/>
        <v>0</v>
      </c>
      <c r="BR141">
        <f t="shared" si="134"/>
        <v>0</v>
      </c>
      <c r="BS141">
        <f t="shared" si="134"/>
        <v>0</v>
      </c>
      <c r="BT141">
        <f t="shared" ref="BT141:BY141" si="135">BT60</f>
        <v>0</v>
      </c>
      <c r="BU141">
        <f t="shared" si="135"/>
        <v>0</v>
      </c>
      <c r="BV141">
        <f t="shared" si="135"/>
        <v>0</v>
      </c>
      <c r="BW141">
        <f t="shared" si="135"/>
        <v>0</v>
      </c>
      <c r="BX141">
        <f t="shared" si="135"/>
        <v>0</v>
      </c>
      <c r="BY141">
        <f t="shared" si="135"/>
        <v>0</v>
      </c>
    </row>
    <row r="142" spans="1:77" ht="15" customHeight="1">
      <c r="A142">
        <f t="shared" si="9"/>
        <v>0</v>
      </c>
      <c r="B142">
        <f t="shared" si="125"/>
        <v>0</v>
      </c>
      <c r="C142">
        <f t="shared" si="125"/>
        <v>0</v>
      </c>
      <c r="D142">
        <f t="shared" si="125"/>
        <v>0</v>
      </c>
      <c r="E142">
        <f t="shared" si="125"/>
        <v>0</v>
      </c>
      <c r="F142" s="102">
        <f t="shared" si="125"/>
        <v>488181.8961168768</v>
      </c>
      <c r="G142">
        <f t="shared" si="125"/>
        <v>167513</v>
      </c>
      <c r="H142" s="102">
        <f t="shared" si="125"/>
        <v>-320668.89611687674</v>
      </c>
      <c r="I142" s="92">
        <f t="shared" si="125"/>
        <v>0.34313644428939516</v>
      </c>
      <c r="J142">
        <f t="shared" si="125"/>
        <v>0</v>
      </c>
      <c r="K142">
        <f t="shared" si="125"/>
        <v>0</v>
      </c>
      <c r="L142">
        <f t="shared" si="125"/>
        <v>0</v>
      </c>
      <c r="M142">
        <f t="shared" si="125"/>
        <v>0</v>
      </c>
      <c r="N142">
        <f t="shared" si="125"/>
        <v>0</v>
      </c>
      <c r="O142">
        <f t="shared" si="125"/>
        <v>0</v>
      </c>
      <c r="P142">
        <f t="shared" si="125"/>
        <v>0</v>
      </c>
      <c r="Q142">
        <f t="shared" si="125"/>
        <v>0</v>
      </c>
      <c r="R142">
        <f t="shared" si="125"/>
        <v>0</v>
      </c>
      <c r="S142">
        <f t="shared" si="125"/>
        <v>0</v>
      </c>
      <c r="T142">
        <f t="shared" si="125"/>
        <v>0</v>
      </c>
      <c r="U142">
        <f t="shared" si="125"/>
        <v>0</v>
      </c>
      <c r="V142">
        <f t="shared" si="125"/>
        <v>0</v>
      </c>
      <c r="W142">
        <f t="shared" si="125"/>
        <v>0</v>
      </c>
      <c r="X142">
        <f t="shared" si="125"/>
        <v>0</v>
      </c>
      <c r="Y142">
        <f t="shared" si="125"/>
        <v>0</v>
      </c>
      <c r="Z142">
        <f t="shared" si="125"/>
        <v>0</v>
      </c>
      <c r="AA142">
        <f t="shared" si="125"/>
        <v>0</v>
      </c>
      <c r="AB142">
        <f t="shared" si="125"/>
        <v>0</v>
      </c>
      <c r="AC142">
        <f t="shared" si="125"/>
        <v>0</v>
      </c>
      <c r="AD142">
        <f t="shared" si="125"/>
        <v>0</v>
      </c>
      <c r="AE142">
        <f t="shared" si="125"/>
        <v>0</v>
      </c>
      <c r="AF142">
        <f t="shared" si="125"/>
        <v>0</v>
      </c>
      <c r="AG142">
        <f t="shared" si="125"/>
        <v>0</v>
      </c>
      <c r="AH142">
        <f t="shared" si="125"/>
        <v>0</v>
      </c>
      <c r="AI142">
        <f t="shared" si="125"/>
        <v>0</v>
      </c>
      <c r="AJ142">
        <f t="shared" si="125"/>
        <v>0</v>
      </c>
      <c r="AK142">
        <f t="shared" si="125"/>
        <v>0</v>
      </c>
      <c r="AL142">
        <f t="shared" si="125"/>
        <v>0</v>
      </c>
      <c r="AM142">
        <f t="shared" si="125"/>
        <v>0</v>
      </c>
      <c r="AN142">
        <f t="shared" si="125"/>
        <v>0</v>
      </c>
      <c r="AO142">
        <f t="shared" ref="AO142:BS142" si="136">AO61</f>
        <v>0</v>
      </c>
      <c r="AP142">
        <f t="shared" si="136"/>
        <v>0</v>
      </c>
      <c r="AQ142">
        <f t="shared" si="136"/>
        <v>0</v>
      </c>
      <c r="AR142">
        <f t="shared" si="136"/>
        <v>0</v>
      </c>
      <c r="AS142">
        <f t="shared" si="136"/>
        <v>0</v>
      </c>
      <c r="AT142">
        <f t="shared" si="136"/>
        <v>0</v>
      </c>
      <c r="AU142">
        <f t="shared" si="136"/>
        <v>0</v>
      </c>
      <c r="AV142">
        <f t="shared" si="136"/>
        <v>0</v>
      </c>
      <c r="AW142">
        <f t="shared" si="136"/>
        <v>0</v>
      </c>
      <c r="AX142">
        <f t="shared" si="136"/>
        <v>0</v>
      </c>
      <c r="AY142">
        <f t="shared" si="136"/>
        <v>0</v>
      </c>
      <c r="AZ142">
        <f t="shared" si="136"/>
        <v>0</v>
      </c>
      <c r="BA142">
        <f t="shared" si="136"/>
        <v>0</v>
      </c>
      <c r="BB142">
        <f t="shared" si="136"/>
        <v>0</v>
      </c>
      <c r="BC142">
        <f t="shared" si="136"/>
        <v>0</v>
      </c>
      <c r="BD142">
        <f t="shared" si="136"/>
        <v>0</v>
      </c>
      <c r="BE142">
        <f t="shared" si="136"/>
        <v>0</v>
      </c>
      <c r="BF142">
        <f t="shared" si="136"/>
        <v>0</v>
      </c>
      <c r="BG142">
        <f t="shared" si="136"/>
        <v>0</v>
      </c>
      <c r="BH142">
        <f t="shared" si="136"/>
        <v>0</v>
      </c>
      <c r="BI142">
        <f t="shared" si="136"/>
        <v>0</v>
      </c>
      <c r="BJ142">
        <f t="shared" si="136"/>
        <v>0</v>
      </c>
      <c r="BK142">
        <f t="shared" si="136"/>
        <v>0</v>
      </c>
      <c r="BL142">
        <f t="shared" si="136"/>
        <v>0</v>
      </c>
      <c r="BM142">
        <f t="shared" si="136"/>
        <v>0</v>
      </c>
      <c r="BN142">
        <f t="shared" si="136"/>
        <v>0</v>
      </c>
      <c r="BO142">
        <f t="shared" si="136"/>
        <v>0</v>
      </c>
      <c r="BP142">
        <f t="shared" si="136"/>
        <v>0</v>
      </c>
      <c r="BQ142">
        <f t="shared" si="136"/>
        <v>0</v>
      </c>
      <c r="BR142">
        <f t="shared" si="136"/>
        <v>0</v>
      </c>
      <c r="BS142">
        <f t="shared" si="136"/>
        <v>0</v>
      </c>
      <c r="BT142">
        <f t="shared" ref="BT142:BY142" si="137">BT61</f>
        <v>0</v>
      </c>
      <c r="BU142">
        <f t="shared" si="137"/>
        <v>0</v>
      </c>
      <c r="BV142">
        <f t="shared" si="137"/>
        <v>0</v>
      </c>
      <c r="BW142">
        <f t="shared" si="137"/>
        <v>0</v>
      </c>
      <c r="BX142">
        <f t="shared" si="137"/>
        <v>0</v>
      </c>
      <c r="BY142">
        <f t="shared" si="137"/>
        <v>0</v>
      </c>
    </row>
    <row r="143" spans="1:77" ht="15" customHeight="1">
      <c r="AQ143" s="92"/>
    </row>
  </sheetData>
  <conditionalFormatting sqref="I2:I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formula" val="30%"/>
        <cfvo type="formula" val="60%"/>
        <cfvo type="formula" val="90%"/>
        <color rgb="FFFF0000"/>
        <color rgb="FFFF9900"/>
        <color rgb="FF00FF00"/>
      </colorScale>
    </cfRule>
  </conditionalFormatting>
  <conditionalFormatting sqref="J2:BY60">
    <cfRule type="cellIs" dxfId="7" priority="1" operator="lessThanOrEqual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5B44-93A9-461C-B463-7952FD176016}">
  <sheetPr>
    <tabColor rgb="FF00B0F0"/>
  </sheetPr>
  <dimension ref="A1:AV82"/>
  <sheetViews>
    <sheetView zoomScale="70" zoomScaleNormal="70" workbookViewId="0">
      <pane xSplit="5" ySplit="1" topLeftCell="O2" activePane="bottomRight" state="frozen"/>
      <selection pane="bottomRight" activeCell="O3" sqref="O3"/>
      <selection pane="bottomLeft"/>
      <selection pane="topRight"/>
    </sheetView>
  </sheetViews>
  <sheetFormatPr defaultRowHeight="14.45"/>
  <cols>
    <col min="2" max="2" width="14.5703125" bestFit="1" customWidth="1"/>
    <col min="3" max="3" width="33.85546875" bestFit="1" customWidth="1"/>
    <col min="4" max="4" width="73.5703125" customWidth="1"/>
    <col min="5" max="5" width="18.140625" customWidth="1"/>
    <col min="6" max="6" width="9.42578125" bestFit="1" customWidth="1"/>
    <col min="7" max="7" width="12.28515625" customWidth="1"/>
    <col min="8" max="8" width="11.140625" customWidth="1"/>
    <col min="9" max="9" width="12.140625" customWidth="1"/>
    <col min="10" max="10" width="12.7109375" customWidth="1"/>
    <col min="11" max="11" width="12.42578125" customWidth="1"/>
    <col min="12" max="13" width="13.140625" customWidth="1"/>
    <col min="14" max="14" width="14.42578125" bestFit="1" customWidth="1"/>
    <col min="15" max="15" width="17.42578125" customWidth="1"/>
    <col min="16" max="16" width="11.5703125" customWidth="1"/>
    <col min="17" max="17" width="10.42578125" customWidth="1"/>
    <col min="18" max="18" width="13.140625" customWidth="1"/>
    <col min="19" max="19" width="10.28515625" customWidth="1"/>
    <col min="20" max="20" width="12.28515625" customWidth="1"/>
    <col min="21" max="22" width="11" customWidth="1"/>
    <col min="23" max="23" width="19" customWidth="1"/>
    <col min="24" max="24" width="17.28515625" customWidth="1"/>
    <col min="25" max="25" width="11.42578125" customWidth="1"/>
    <col min="26" max="26" width="11.7109375" customWidth="1"/>
    <col min="27" max="27" width="13.140625" customWidth="1"/>
    <col min="28" max="28" width="12.140625" customWidth="1"/>
    <col min="29" max="29" width="11.5703125" customWidth="1"/>
    <col min="30" max="30" width="11.7109375" customWidth="1"/>
    <col min="31" max="31" width="12" customWidth="1"/>
    <col min="32" max="32" width="18.7109375" customWidth="1"/>
    <col min="33" max="33" width="17.28515625" customWidth="1"/>
    <col min="34" max="34" width="13.140625" customWidth="1"/>
    <col min="35" max="35" width="12.28515625" customWidth="1"/>
    <col min="36" max="36" width="11.28515625" customWidth="1"/>
    <col min="37" max="37" width="12" customWidth="1"/>
    <col min="38" max="38" width="12.85546875" customWidth="1"/>
    <col min="39" max="39" width="12.42578125" customWidth="1"/>
    <col min="40" max="40" width="11" customWidth="1"/>
    <col min="41" max="41" width="12.85546875" customWidth="1"/>
    <col min="42" max="42" width="10.7109375" bestFit="1" customWidth="1"/>
    <col min="43" max="43" width="17.28515625" customWidth="1"/>
    <col min="44" max="44" width="17.42578125" customWidth="1"/>
    <col min="45" max="45" width="22.42578125" customWidth="1"/>
    <col min="46" max="46" width="19.42578125" customWidth="1"/>
    <col min="47" max="47" width="19" customWidth="1"/>
    <col min="48" max="48" width="11.42578125" bestFit="1" customWidth="1"/>
  </cols>
  <sheetData>
    <row r="1" spans="1:48" ht="57">
      <c r="A1" s="23" t="s">
        <v>47</v>
      </c>
      <c r="B1" s="23" t="s">
        <v>8</v>
      </c>
      <c r="C1" s="23" t="s">
        <v>230</v>
      </c>
      <c r="D1" s="24" t="s">
        <v>231</v>
      </c>
      <c r="E1" s="25" t="s">
        <v>232</v>
      </c>
      <c r="F1" s="26">
        <v>46227</v>
      </c>
      <c r="G1" s="23">
        <v>25</v>
      </c>
      <c r="H1" s="23">
        <v>26</v>
      </c>
      <c r="I1" s="23">
        <v>27</v>
      </c>
      <c r="J1" s="23">
        <v>28</v>
      </c>
      <c r="K1" s="23">
        <v>29</v>
      </c>
      <c r="L1" s="23">
        <v>30</v>
      </c>
      <c r="M1" s="23">
        <v>31</v>
      </c>
      <c r="N1" s="23" t="s">
        <v>233</v>
      </c>
      <c r="O1" s="23" t="s">
        <v>234</v>
      </c>
      <c r="P1" s="23">
        <v>1</v>
      </c>
      <c r="Q1" s="23">
        <v>2</v>
      </c>
      <c r="R1" s="23">
        <v>3</v>
      </c>
      <c r="S1" s="23">
        <v>4</v>
      </c>
      <c r="T1" s="23">
        <v>5</v>
      </c>
      <c r="U1" s="23">
        <v>6</v>
      </c>
      <c r="V1" s="23">
        <v>7</v>
      </c>
      <c r="W1" s="23" t="s">
        <v>235</v>
      </c>
      <c r="X1" s="23" t="s">
        <v>236</v>
      </c>
      <c r="Y1" s="23">
        <v>8</v>
      </c>
      <c r="Z1" s="23">
        <v>9</v>
      </c>
      <c r="AA1" s="23">
        <v>10</v>
      </c>
      <c r="AB1" s="23">
        <v>11</v>
      </c>
      <c r="AC1" s="23">
        <v>12</v>
      </c>
      <c r="AD1" s="23">
        <v>13</v>
      </c>
      <c r="AE1" s="23">
        <v>14</v>
      </c>
      <c r="AF1" s="23" t="s">
        <v>237</v>
      </c>
      <c r="AG1" s="23" t="s">
        <v>238</v>
      </c>
      <c r="AH1" s="23">
        <v>15</v>
      </c>
      <c r="AI1" s="23">
        <v>16</v>
      </c>
      <c r="AJ1" s="23">
        <v>17</v>
      </c>
      <c r="AK1" s="23">
        <v>18</v>
      </c>
      <c r="AL1" s="23">
        <v>19</v>
      </c>
      <c r="AM1" s="23">
        <v>20</v>
      </c>
      <c r="AN1" s="23">
        <v>21</v>
      </c>
      <c r="AO1" s="23">
        <v>22</v>
      </c>
      <c r="AP1" s="26">
        <v>46257</v>
      </c>
      <c r="AQ1" s="23" t="s">
        <v>239</v>
      </c>
      <c r="AR1" s="23" t="s">
        <v>240</v>
      </c>
      <c r="AS1" s="50" t="s">
        <v>241</v>
      </c>
      <c r="AT1" s="51" t="s">
        <v>242</v>
      </c>
      <c r="AU1" s="27" t="s">
        <v>51</v>
      </c>
      <c r="AV1" s="28" t="s">
        <v>243</v>
      </c>
    </row>
    <row r="2" spans="1:48" ht="18.95">
      <c r="A2" s="1">
        <v>1</v>
      </c>
      <c r="B2" s="2" t="s">
        <v>125</v>
      </c>
      <c r="C2" s="3" t="s">
        <v>244</v>
      </c>
      <c r="D2" s="4" t="s">
        <v>245</v>
      </c>
      <c r="E2" s="5">
        <v>0</v>
      </c>
      <c r="F2" s="6"/>
      <c r="G2" s="6"/>
      <c r="H2" s="6"/>
      <c r="I2" s="6"/>
      <c r="J2" s="6"/>
      <c r="K2" s="6"/>
      <c r="L2" s="6"/>
      <c r="M2" s="6"/>
      <c r="N2" s="7">
        <f t="shared" ref="N2" si="0">SUM(F2:L2)</f>
        <v>0</v>
      </c>
      <c r="O2" s="8">
        <f t="shared" ref="O2" si="1">E2*40%</f>
        <v>0</v>
      </c>
      <c r="P2" s="6"/>
      <c r="Q2" s="6"/>
      <c r="R2" s="6"/>
      <c r="S2" s="6"/>
      <c r="T2" s="6"/>
      <c r="U2" s="6"/>
      <c r="V2" s="6"/>
      <c r="W2" s="7">
        <f t="shared" ref="W2" si="2">SUM(P2:V2)</f>
        <v>0</v>
      </c>
      <c r="X2" s="8">
        <f t="shared" ref="X2" si="3">E2*30%</f>
        <v>0</v>
      </c>
      <c r="Y2" s="6"/>
      <c r="Z2" s="6"/>
      <c r="AA2" s="6"/>
      <c r="AB2" s="6"/>
      <c r="AC2" s="6"/>
      <c r="AD2" s="6"/>
      <c r="AE2" s="6"/>
      <c r="AF2" s="7">
        <f t="shared" ref="AF2" si="4">SUM(Y2:AE2)</f>
        <v>0</v>
      </c>
      <c r="AG2" s="8">
        <f t="shared" ref="AG2" si="5">E2*15%</f>
        <v>0</v>
      </c>
      <c r="AH2" s="6"/>
      <c r="AI2" s="6"/>
      <c r="AJ2" s="6"/>
      <c r="AK2" s="6"/>
      <c r="AL2" s="6"/>
      <c r="AM2" s="6"/>
      <c r="AN2" s="6"/>
      <c r="AO2" s="6"/>
      <c r="AP2" s="6"/>
      <c r="AQ2" s="7">
        <f t="shared" ref="AQ2" si="6">SUM(AH2:AP2)</f>
        <v>0</v>
      </c>
      <c r="AR2" s="8">
        <f t="shared" ref="AR2" si="7">E2*15%</f>
        <v>0</v>
      </c>
      <c r="AS2" s="7">
        <f t="shared" ref="AS2" si="8">N2+W2+AF2+AQ2</f>
        <v>0</v>
      </c>
      <c r="AT2" s="8">
        <f t="shared" ref="AT2" si="9">AS2-E2</f>
        <v>0</v>
      </c>
      <c r="AU2" s="21" t="e">
        <f t="shared" ref="AU2" si="10">AS2/E2</f>
        <v>#DIV/0!</v>
      </c>
      <c r="AV2" s="22"/>
    </row>
    <row r="3" spans="1:48" ht="18.95">
      <c r="A3" s="1">
        <v>2</v>
      </c>
      <c r="B3" s="2" t="s">
        <v>125</v>
      </c>
      <c r="C3" s="3" t="s">
        <v>244</v>
      </c>
      <c r="D3" s="4" t="s">
        <v>246</v>
      </c>
      <c r="E3" s="5">
        <v>0</v>
      </c>
      <c r="F3" s="6"/>
      <c r="G3" s="6"/>
      <c r="H3" s="6"/>
      <c r="I3" s="6"/>
      <c r="J3" s="6"/>
      <c r="K3" s="6"/>
      <c r="L3" s="6"/>
      <c r="M3" s="6"/>
      <c r="N3" s="7">
        <f t="shared" ref="N3:N67" si="11">SUM(F3:L3)</f>
        <v>0</v>
      </c>
      <c r="O3" s="8">
        <f t="shared" ref="O3:O67" si="12">E3*40%</f>
        <v>0</v>
      </c>
      <c r="P3" s="6"/>
      <c r="Q3" s="6"/>
      <c r="R3" s="6"/>
      <c r="S3" s="6"/>
      <c r="T3" s="6"/>
      <c r="U3" s="6"/>
      <c r="V3" s="6"/>
      <c r="W3" s="7">
        <f t="shared" ref="W3:W67" si="13">SUM(P3:V3)</f>
        <v>0</v>
      </c>
      <c r="X3" s="8">
        <f t="shared" ref="X3:X67" si="14">E3*30%</f>
        <v>0</v>
      </c>
      <c r="Y3" s="6"/>
      <c r="Z3" s="6"/>
      <c r="AA3" s="6"/>
      <c r="AB3" s="6"/>
      <c r="AC3" s="6"/>
      <c r="AD3" s="6"/>
      <c r="AE3" s="6"/>
      <c r="AF3" s="7">
        <f t="shared" ref="AF3:AF67" si="15">SUM(Y3:AE3)</f>
        <v>0</v>
      </c>
      <c r="AG3" s="8">
        <f t="shared" ref="AG3:AG67" si="16">E3*15%</f>
        <v>0</v>
      </c>
      <c r="AH3" s="6"/>
      <c r="AI3" s="6"/>
      <c r="AJ3" s="6"/>
      <c r="AK3" s="6"/>
      <c r="AL3" s="6"/>
      <c r="AM3" s="6"/>
      <c r="AN3" s="6"/>
      <c r="AO3" s="6"/>
      <c r="AP3" s="6"/>
      <c r="AQ3" s="7">
        <f t="shared" ref="AQ3:AQ67" si="17">SUM(AH3:AP3)</f>
        <v>0</v>
      </c>
      <c r="AR3" s="8">
        <f t="shared" ref="AR3:AR67" si="18">E3*15%</f>
        <v>0</v>
      </c>
      <c r="AS3" s="7">
        <f t="shared" ref="AS3:AS67" si="19">N3+W3+AF3+AQ3</f>
        <v>0</v>
      </c>
      <c r="AT3" s="8">
        <f t="shared" ref="AT3:AT67" si="20">AS3-E3</f>
        <v>0</v>
      </c>
      <c r="AU3" s="21" t="e">
        <f t="shared" ref="AU3:AU67" si="21">AS3/E3</f>
        <v>#DIV/0!</v>
      </c>
      <c r="AV3" s="22"/>
    </row>
    <row r="4" spans="1:48" ht="18.95">
      <c r="A4" s="1">
        <v>3</v>
      </c>
      <c r="B4" s="2" t="s">
        <v>125</v>
      </c>
      <c r="C4" s="9" t="s">
        <v>244</v>
      </c>
      <c r="D4" s="4" t="s">
        <v>247</v>
      </c>
      <c r="E4" s="5">
        <v>0</v>
      </c>
      <c r="F4" s="6"/>
      <c r="G4" s="6"/>
      <c r="H4" s="6"/>
      <c r="I4" s="6"/>
      <c r="J4" s="6"/>
      <c r="K4" s="6"/>
      <c r="L4" s="6"/>
      <c r="M4" s="6"/>
      <c r="N4" s="7">
        <f t="shared" si="11"/>
        <v>0</v>
      </c>
      <c r="O4" s="8">
        <f t="shared" si="12"/>
        <v>0</v>
      </c>
      <c r="P4" s="6"/>
      <c r="Q4" s="6"/>
      <c r="R4" s="6"/>
      <c r="S4" s="6"/>
      <c r="T4" s="6"/>
      <c r="U4" s="6"/>
      <c r="V4" s="6"/>
      <c r="W4" s="7">
        <f t="shared" si="13"/>
        <v>0</v>
      </c>
      <c r="X4" s="8">
        <f t="shared" si="14"/>
        <v>0</v>
      </c>
      <c r="Y4" s="6"/>
      <c r="Z4" s="6"/>
      <c r="AA4" s="6"/>
      <c r="AB4" s="6"/>
      <c r="AC4" s="6"/>
      <c r="AD4" s="6"/>
      <c r="AE4" s="6"/>
      <c r="AF4" s="7">
        <f t="shared" si="15"/>
        <v>0</v>
      </c>
      <c r="AG4" s="8">
        <f t="shared" si="16"/>
        <v>0</v>
      </c>
      <c r="AH4" s="6"/>
      <c r="AI4" s="6"/>
      <c r="AJ4" s="6"/>
      <c r="AK4" s="6"/>
      <c r="AL4" s="6"/>
      <c r="AM4" s="6"/>
      <c r="AN4" s="6"/>
      <c r="AO4" s="6"/>
      <c r="AP4" s="6"/>
      <c r="AQ4" s="7">
        <f t="shared" si="17"/>
        <v>0</v>
      </c>
      <c r="AR4" s="8">
        <f t="shared" si="18"/>
        <v>0</v>
      </c>
      <c r="AS4" s="7">
        <f t="shared" si="19"/>
        <v>0</v>
      </c>
      <c r="AT4" s="8">
        <f t="shared" si="20"/>
        <v>0</v>
      </c>
      <c r="AU4" s="21" t="e">
        <f t="shared" si="21"/>
        <v>#DIV/0!</v>
      </c>
      <c r="AV4" s="22"/>
    </row>
    <row r="5" spans="1:48" ht="18.95">
      <c r="A5" s="1">
        <v>4</v>
      </c>
      <c r="B5" s="2" t="s">
        <v>141</v>
      </c>
      <c r="C5" s="10" t="s">
        <v>244</v>
      </c>
      <c r="D5" s="11" t="s">
        <v>248</v>
      </c>
      <c r="E5" s="5">
        <v>13500</v>
      </c>
      <c r="F5" s="6"/>
      <c r="G5" s="6"/>
      <c r="H5" s="6"/>
      <c r="I5" s="6"/>
      <c r="J5" s="6"/>
      <c r="K5" s="6"/>
      <c r="L5" s="6"/>
      <c r="M5" s="6"/>
      <c r="N5" s="7">
        <f t="shared" si="11"/>
        <v>0</v>
      </c>
      <c r="O5" s="8">
        <f t="shared" si="12"/>
        <v>5400</v>
      </c>
      <c r="P5" s="6"/>
      <c r="Q5" s="6"/>
      <c r="R5" s="6"/>
      <c r="S5" s="6"/>
      <c r="T5" s="6"/>
      <c r="U5" s="6"/>
      <c r="V5" s="6"/>
      <c r="W5" s="7">
        <f t="shared" si="13"/>
        <v>0</v>
      </c>
      <c r="X5" s="8">
        <f t="shared" si="14"/>
        <v>4050</v>
      </c>
      <c r="Y5" s="6"/>
      <c r="Z5" s="6"/>
      <c r="AA5" s="6"/>
      <c r="AB5" s="6"/>
      <c r="AC5" s="6"/>
      <c r="AD5" s="6"/>
      <c r="AE5" s="6"/>
      <c r="AF5" s="7">
        <f t="shared" si="15"/>
        <v>0</v>
      </c>
      <c r="AG5" s="8">
        <f t="shared" si="16"/>
        <v>2025</v>
      </c>
      <c r="AH5" s="6"/>
      <c r="AI5" s="6"/>
      <c r="AJ5" s="6"/>
      <c r="AK5" s="6"/>
      <c r="AL5" s="6"/>
      <c r="AM5" s="6"/>
      <c r="AN5" s="6"/>
      <c r="AO5" s="6"/>
      <c r="AP5" s="6"/>
      <c r="AQ5" s="7">
        <f t="shared" si="17"/>
        <v>0</v>
      </c>
      <c r="AR5" s="8">
        <f t="shared" si="18"/>
        <v>2025</v>
      </c>
      <c r="AS5" s="7">
        <f t="shared" si="19"/>
        <v>0</v>
      </c>
      <c r="AT5" s="8">
        <f t="shared" si="20"/>
        <v>-13500</v>
      </c>
      <c r="AU5" s="21">
        <f t="shared" si="21"/>
        <v>0</v>
      </c>
      <c r="AV5" s="22"/>
    </row>
    <row r="6" spans="1:48" ht="18.95">
      <c r="A6" s="1">
        <v>5</v>
      </c>
      <c r="B6" s="2" t="s">
        <v>141</v>
      </c>
      <c r="C6" s="10" t="s">
        <v>244</v>
      </c>
      <c r="D6" s="11" t="s">
        <v>249</v>
      </c>
      <c r="E6" s="5">
        <v>16000</v>
      </c>
      <c r="F6" s="6"/>
      <c r="G6" s="6"/>
      <c r="H6" s="6"/>
      <c r="I6" s="6"/>
      <c r="J6" s="6"/>
      <c r="K6" s="6"/>
      <c r="L6" s="6"/>
      <c r="M6" s="6"/>
      <c r="N6" s="7">
        <f t="shared" si="11"/>
        <v>0</v>
      </c>
      <c r="O6" s="8">
        <f t="shared" si="12"/>
        <v>6400</v>
      </c>
      <c r="P6" s="6"/>
      <c r="Q6" s="6"/>
      <c r="R6" s="6"/>
      <c r="S6" s="6"/>
      <c r="T6" s="6"/>
      <c r="U6" s="6"/>
      <c r="V6" s="6"/>
      <c r="W6" s="7">
        <f t="shared" si="13"/>
        <v>0</v>
      </c>
      <c r="X6" s="8">
        <f t="shared" si="14"/>
        <v>4800</v>
      </c>
      <c r="Y6" s="6"/>
      <c r="Z6" s="6"/>
      <c r="AA6" s="6"/>
      <c r="AB6" s="6"/>
      <c r="AC6" s="6"/>
      <c r="AD6" s="6"/>
      <c r="AE6" s="6"/>
      <c r="AF6" s="7">
        <f t="shared" si="15"/>
        <v>0</v>
      </c>
      <c r="AG6" s="8">
        <f t="shared" si="16"/>
        <v>2400</v>
      </c>
      <c r="AH6" s="6"/>
      <c r="AI6" s="6"/>
      <c r="AJ6" s="6"/>
      <c r="AK6" s="6"/>
      <c r="AL6" s="6"/>
      <c r="AM6" s="6"/>
      <c r="AN6" s="6"/>
      <c r="AO6" s="6"/>
      <c r="AP6" s="6"/>
      <c r="AQ6" s="7">
        <f t="shared" si="17"/>
        <v>0</v>
      </c>
      <c r="AR6" s="8">
        <f t="shared" si="18"/>
        <v>2400</v>
      </c>
      <c r="AS6" s="7">
        <f t="shared" si="19"/>
        <v>0</v>
      </c>
      <c r="AT6" s="8">
        <f t="shared" si="20"/>
        <v>-16000</v>
      </c>
      <c r="AU6" s="21">
        <f t="shared" si="21"/>
        <v>0</v>
      </c>
      <c r="AV6" s="22"/>
    </row>
    <row r="7" spans="1:48" ht="18.95">
      <c r="A7" s="1">
        <v>6</v>
      </c>
      <c r="B7" s="2" t="s">
        <v>141</v>
      </c>
      <c r="C7" s="10" t="s">
        <v>244</v>
      </c>
      <c r="D7" s="11" t="s">
        <v>250</v>
      </c>
      <c r="E7" s="5">
        <v>16000</v>
      </c>
      <c r="F7" s="6"/>
      <c r="G7" s="6"/>
      <c r="H7" s="6"/>
      <c r="I7" s="6"/>
      <c r="J7" s="6"/>
      <c r="K7" s="6"/>
      <c r="L7" s="6"/>
      <c r="M7" s="6"/>
      <c r="N7" s="7">
        <f t="shared" si="11"/>
        <v>0</v>
      </c>
      <c r="O7" s="8">
        <f t="shared" si="12"/>
        <v>6400</v>
      </c>
      <c r="P7" s="6"/>
      <c r="Q7" s="6"/>
      <c r="R7" s="6"/>
      <c r="S7" s="6"/>
      <c r="T7" s="6"/>
      <c r="U7" s="6"/>
      <c r="V7" s="6"/>
      <c r="W7" s="7">
        <f t="shared" si="13"/>
        <v>0</v>
      </c>
      <c r="X7" s="8">
        <f t="shared" si="14"/>
        <v>4800</v>
      </c>
      <c r="Y7" s="6"/>
      <c r="Z7" s="6"/>
      <c r="AA7" s="6"/>
      <c r="AB7" s="6"/>
      <c r="AC7" s="6"/>
      <c r="AD7" s="6"/>
      <c r="AE7" s="6"/>
      <c r="AF7" s="7">
        <f t="shared" si="15"/>
        <v>0</v>
      </c>
      <c r="AG7" s="8">
        <f t="shared" si="16"/>
        <v>2400</v>
      </c>
      <c r="AH7" s="6"/>
      <c r="AI7" s="6"/>
      <c r="AJ7" s="6"/>
      <c r="AK7" s="6"/>
      <c r="AL7" s="6"/>
      <c r="AM7" s="6"/>
      <c r="AN7" s="6"/>
      <c r="AO7" s="6"/>
      <c r="AP7" s="6"/>
      <c r="AQ7" s="7">
        <f t="shared" si="17"/>
        <v>0</v>
      </c>
      <c r="AR7" s="8">
        <f t="shared" si="18"/>
        <v>2400</v>
      </c>
      <c r="AS7" s="7">
        <f t="shared" si="19"/>
        <v>0</v>
      </c>
      <c r="AT7" s="8">
        <f t="shared" si="20"/>
        <v>-16000</v>
      </c>
      <c r="AU7" s="21">
        <f t="shared" si="21"/>
        <v>0</v>
      </c>
      <c r="AV7" s="22"/>
    </row>
    <row r="8" spans="1:48" ht="18.95">
      <c r="A8" s="1">
        <v>7</v>
      </c>
      <c r="B8" s="2" t="s">
        <v>141</v>
      </c>
      <c r="C8" s="10" t="s">
        <v>244</v>
      </c>
      <c r="D8" s="11" t="s">
        <v>251</v>
      </c>
      <c r="E8" s="5">
        <v>18000</v>
      </c>
      <c r="F8" s="6"/>
      <c r="G8" s="6"/>
      <c r="H8" s="6"/>
      <c r="I8" s="6"/>
      <c r="J8" s="6"/>
      <c r="K8" s="6"/>
      <c r="L8" s="6"/>
      <c r="M8" s="6"/>
      <c r="N8" s="7">
        <f t="shared" si="11"/>
        <v>0</v>
      </c>
      <c r="O8" s="8">
        <f t="shared" si="12"/>
        <v>7200</v>
      </c>
      <c r="P8" s="6"/>
      <c r="Q8" s="6"/>
      <c r="R8" s="6"/>
      <c r="S8" s="6"/>
      <c r="T8" s="6"/>
      <c r="U8" s="6"/>
      <c r="V8" s="6"/>
      <c r="W8" s="7">
        <f t="shared" si="13"/>
        <v>0</v>
      </c>
      <c r="X8" s="8">
        <f t="shared" si="14"/>
        <v>5400</v>
      </c>
      <c r="Y8" s="6"/>
      <c r="Z8" s="6"/>
      <c r="AA8" s="6"/>
      <c r="AB8" s="6"/>
      <c r="AC8" s="6"/>
      <c r="AD8" s="6"/>
      <c r="AE8" s="6"/>
      <c r="AF8" s="7">
        <f t="shared" si="15"/>
        <v>0</v>
      </c>
      <c r="AG8" s="8">
        <f t="shared" si="16"/>
        <v>2700</v>
      </c>
      <c r="AH8" s="6"/>
      <c r="AI8" s="6"/>
      <c r="AJ8" s="6"/>
      <c r="AK8" s="6"/>
      <c r="AL8" s="6"/>
      <c r="AM8" s="6"/>
      <c r="AN8" s="6"/>
      <c r="AO8" s="6"/>
      <c r="AP8" s="6"/>
      <c r="AQ8" s="7">
        <f t="shared" si="17"/>
        <v>0</v>
      </c>
      <c r="AR8" s="8">
        <f t="shared" si="18"/>
        <v>2700</v>
      </c>
      <c r="AS8" s="7">
        <f t="shared" si="19"/>
        <v>0</v>
      </c>
      <c r="AT8" s="8">
        <f t="shared" si="20"/>
        <v>-18000</v>
      </c>
      <c r="AU8" s="21">
        <f t="shared" si="21"/>
        <v>0</v>
      </c>
      <c r="AV8" s="22"/>
    </row>
    <row r="9" spans="1:48" ht="18.95">
      <c r="A9" s="1">
        <v>8</v>
      </c>
      <c r="B9" s="2" t="s">
        <v>141</v>
      </c>
      <c r="C9" s="10" t="s">
        <v>244</v>
      </c>
      <c r="D9" s="11" t="s">
        <v>252</v>
      </c>
      <c r="E9" s="5">
        <v>1200</v>
      </c>
      <c r="F9" s="6"/>
      <c r="G9" s="6"/>
      <c r="H9" s="6"/>
      <c r="I9" s="6"/>
      <c r="J9" s="6"/>
      <c r="K9" s="6"/>
      <c r="L9" s="6"/>
      <c r="M9" s="6"/>
      <c r="N9" s="7">
        <f t="shared" si="11"/>
        <v>0</v>
      </c>
      <c r="O9" s="8">
        <f t="shared" si="12"/>
        <v>480</v>
      </c>
      <c r="P9" s="6"/>
      <c r="Q9" s="6"/>
      <c r="R9" s="6"/>
      <c r="S9" s="6"/>
      <c r="T9" s="6"/>
      <c r="U9" s="6"/>
      <c r="V9" s="6"/>
      <c r="W9" s="7">
        <f t="shared" si="13"/>
        <v>0</v>
      </c>
      <c r="X9" s="8">
        <f t="shared" si="14"/>
        <v>360</v>
      </c>
      <c r="Y9" s="6"/>
      <c r="Z9" s="6"/>
      <c r="AA9" s="6"/>
      <c r="AB9" s="6"/>
      <c r="AC9" s="6"/>
      <c r="AD9" s="6"/>
      <c r="AE9" s="6"/>
      <c r="AF9" s="7">
        <f t="shared" si="15"/>
        <v>0</v>
      </c>
      <c r="AG9" s="8">
        <f t="shared" si="16"/>
        <v>180</v>
      </c>
      <c r="AH9" s="6"/>
      <c r="AI9" s="6"/>
      <c r="AJ9" s="6"/>
      <c r="AK9" s="6"/>
      <c r="AL9" s="6"/>
      <c r="AM9" s="6"/>
      <c r="AN9" s="6"/>
      <c r="AO9" s="6"/>
      <c r="AP9" s="6"/>
      <c r="AQ9" s="7">
        <f t="shared" si="17"/>
        <v>0</v>
      </c>
      <c r="AR9" s="8">
        <f t="shared" si="18"/>
        <v>180</v>
      </c>
      <c r="AS9" s="7">
        <f t="shared" si="19"/>
        <v>0</v>
      </c>
      <c r="AT9" s="8">
        <f t="shared" si="20"/>
        <v>-1200</v>
      </c>
      <c r="AU9" s="21">
        <f t="shared" si="21"/>
        <v>0</v>
      </c>
      <c r="AV9" s="22"/>
    </row>
    <row r="10" spans="1:48" ht="18.95">
      <c r="A10" s="1">
        <v>9</v>
      </c>
      <c r="B10" s="2" t="s">
        <v>141</v>
      </c>
      <c r="C10" s="10" t="s">
        <v>244</v>
      </c>
      <c r="D10" s="11" t="s">
        <v>253</v>
      </c>
      <c r="E10" s="5">
        <v>1200</v>
      </c>
      <c r="F10" s="6"/>
      <c r="G10" s="6"/>
      <c r="H10" s="6"/>
      <c r="I10" s="6"/>
      <c r="J10" s="6"/>
      <c r="K10" s="6"/>
      <c r="L10" s="6"/>
      <c r="M10" s="6"/>
      <c r="N10" s="7">
        <f t="shared" si="11"/>
        <v>0</v>
      </c>
      <c r="O10" s="8">
        <f t="shared" si="12"/>
        <v>480</v>
      </c>
      <c r="P10" s="6"/>
      <c r="Q10" s="6"/>
      <c r="R10" s="6"/>
      <c r="S10" s="6"/>
      <c r="T10" s="6"/>
      <c r="U10" s="6"/>
      <c r="V10" s="6"/>
      <c r="W10" s="7">
        <f t="shared" si="13"/>
        <v>0</v>
      </c>
      <c r="X10" s="8">
        <f t="shared" si="14"/>
        <v>360</v>
      </c>
      <c r="Y10" s="6"/>
      <c r="Z10" s="6"/>
      <c r="AA10" s="6"/>
      <c r="AB10" s="6"/>
      <c r="AC10" s="6"/>
      <c r="AD10" s="6"/>
      <c r="AE10" s="6"/>
      <c r="AF10" s="7">
        <f t="shared" si="15"/>
        <v>0</v>
      </c>
      <c r="AG10" s="8">
        <f t="shared" si="16"/>
        <v>180</v>
      </c>
      <c r="AH10" s="6"/>
      <c r="AI10" s="6"/>
      <c r="AJ10" s="6"/>
      <c r="AK10" s="6"/>
      <c r="AL10" s="6"/>
      <c r="AM10" s="6"/>
      <c r="AN10" s="6"/>
      <c r="AO10" s="6"/>
      <c r="AP10" s="6"/>
      <c r="AQ10" s="7">
        <f t="shared" si="17"/>
        <v>0</v>
      </c>
      <c r="AR10" s="8">
        <f t="shared" si="18"/>
        <v>180</v>
      </c>
      <c r="AS10" s="7">
        <f t="shared" si="19"/>
        <v>0</v>
      </c>
      <c r="AT10" s="8">
        <f t="shared" si="20"/>
        <v>-1200</v>
      </c>
      <c r="AU10" s="21">
        <f t="shared" si="21"/>
        <v>0</v>
      </c>
      <c r="AV10" s="22"/>
    </row>
    <row r="11" spans="1:48" ht="18.95">
      <c r="A11" s="1">
        <v>10</v>
      </c>
      <c r="B11" s="2" t="s">
        <v>141</v>
      </c>
      <c r="C11" s="10" t="s">
        <v>244</v>
      </c>
      <c r="D11" s="11" t="s">
        <v>254</v>
      </c>
      <c r="E11" s="5">
        <v>2600</v>
      </c>
      <c r="F11" s="6"/>
      <c r="G11" s="6"/>
      <c r="H11" s="6"/>
      <c r="I11" s="6"/>
      <c r="J11" s="6"/>
      <c r="K11" s="6"/>
      <c r="L11" s="6"/>
      <c r="M11" s="6"/>
      <c r="N11" s="7">
        <f t="shared" si="11"/>
        <v>0</v>
      </c>
      <c r="O11" s="8">
        <f t="shared" si="12"/>
        <v>1040</v>
      </c>
      <c r="P11" s="6"/>
      <c r="Q11" s="6"/>
      <c r="R11" s="6"/>
      <c r="S11" s="6"/>
      <c r="T11" s="6"/>
      <c r="U11" s="6"/>
      <c r="V11" s="6"/>
      <c r="W11" s="7">
        <f t="shared" si="13"/>
        <v>0</v>
      </c>
      <c r="X11" s="8">
        <f t="shared" si="14"/>
        <v>780</v>
      </c>
      <c r="Y11" s="6"/>
      <c r="Z11" s="6"/>
      <c r="AA11" s="6"/>
      <c r="AB11" s="6"/>
      <c r="AC11" s="6"/>
      <c r="AD11" s="6"/>
      <c r="AE11" s="6"/>
      <c r="AF11" s="7">
        <f t="shared" si="15"/>
        <v>0</v>
      </c>
      <c r="AG11" s="8">
        <f t="shared" si="16"/>
        <v>390</v>
      </c>
      <c r="AH11" s="6"/>
      <c r="AI11" s="6"/>
      <c r="AJ11" s="6"/>
      <c r="AK11" s="6"/>
      <c r="AL11" s="6"/>
      <c r="AM11" s="6"/>
      <c r="AN11" s="6"/>
      <c r="AO11" s="6"/>
      <c r="AP11" s="6"/>
      <c r="AQ11" s="7">
        <f t="shared" si="17"/>
        <v>0</v>
      </c>
      <c r="AR11" s="8">
        <f t="shared" si="18"/>
        <v>390</v>
      </c>
      <c r="AS11" s="7">
        <f t="shared" si="19"/>
        <v>0</v>
      </c>
      <c r="AT11" s="8">
        <f t="shared" si="20"/>
        <v>-2600</v>
      </c>
      <c r="AU11" s="21">
        <f t="shared" si="21"/>
        <v>0</v>
      </c>
      <c r="AV11" s="22"/>
    </row>
    <row r="12" spans="1:48" ht="18.95">
      <c r="A12" s="1">
        <v>11</v>
      </c>
      <c r="B12" s="2" t="s">
        <v>132</v>
      </c>
      <c r="C12" s="10" t="s">
        <v>244</v>
      </c>
      <c r="D12" s="11" t="s">
        <v>255</v>
      </c>
      <c r="E12" s="5">
        <v>120000</v>
      </c>
      <c r="F12" s="6"/>
      <c r="G12" s="6"/>
      <c r="H12" s="6"/>
      <c r="I12" s="6"/>
      <c r="J12" s="6"/>
      <c r="K12" s="6"/>
      <c r="L12" s="6"/>
      <c r="M12" s="6"/>
      <c r="N12" s="7">
        <f t="shared" si="11"/>
        <v>0</v>
      </c>
      <c r="O12" s="8">
        <f t="shared" si="12"/>
        <v>48000</v>
      </c>
      <c r="P12" s="6"/>
      <c r="Q12" s="6"/>
      <c r="R12" s="6"/>
      <c r="S12" s="6"/>
      <c r="T12" s="6"/>
      <c r="U12" s="6"/>
      <c r="V12" s="6"/>
      <c r="W12" s="7">
        <f t="shared" si="13"/>
        <v>0</v>
      </c>
      <c r="X12" s="8">
        <f t="shared" si="14"/>
        <v>36000</v>
      </c>
      <c r="Y12" s="6"/>
      <c r="Z12" s="6"/>
      <c r="AA12" s="6"/>
      <c r="AB12" s="6"/>
      <c r="AC12" s="6"/>
      <c r="AD12" s="6"/>
      <c r="AE12" s="6"/>
      <c r="AF12" s="7">
        <f t="shared" si="15"/>
        <v>0</v>
      </c>
      <c r="AG12" s="8">
        <f t="shared" si="16"/>
        <v>18000</v>
      </c>
      <c r="AH12" s="6"/>
      <c r="AI12" s="6"/>
      <c r="AJ12" s="6"/>
      <c r="AK12" s="6"/>
      <c r="AL12" s="6"/>
      <c r="AM12" s="6"/>
      <c r="AN12" s="6"/>
      <c r="AO12" s="6"/>
      <c r="AP12" s="6"/>
      <c r="AQ12" s="7">
        <f t="shared" si="17"/>
        <v>0</v>
      </c>
      <c r="AR12" s="8">
        <f t="shared" si="18"/>
        <v>18000</v>
      </c>
      <c r="AS12" s="7">
        <f t="shared" si="19"/>
        <v>0</v>
      </c>
      <c r="AT12" s="8">
        <f t="shared" si="20"/>
        <v>-120000</v>
      </c>
      <c r="AU12" s="21">
        <f t="shared" si="21"/>
        <v>0</v>
      </c>
      <c r="AV12" s="22"/>
    </row>
    <row r="13" spans="1:48" ht="18.95">
      <c r="A13" s="1">
        <v>12</v>
      </c>
      <c r="B13" s="2" t="s">
        <v>132</v>
      </c>
      <c r="C13" s="10" t="s">
        <v>244</v>
      </c>
      <c r="D13" s="11" t="s">
        <v>256</v>
      </c>
      <c r="E13" s="5">
        <v>120000</v>
      </c>
      <c r="F13" s="6"/>
      <c r="G13" s="6"/>
      <c r="H13" s="6"/>
      <c r="I13" s="6"/>
      <c r="J13" s="6"/>
      <c r="K13" s="6"/>
      <c r="L13" s="6"/>
      <c r="M13" s="6"/>
      <c r="N13" s="7">
        <f t="shared" si="11"/>
        <v>0</v>
      </c>
      <c r="O13" s="8">
        <f t="shared" si="12"/>
        <v>48000</v>
      </c>
      <c r="P13" s="6"/>
      <c r="Q13" s="6"/>
      <c r="R13" s="6"/>
      <c r="S13" s="6"/>
      <c r="T13" s="6"/>
      <c r="U13" s="6"/>
      <c r="V13" s="6"/>
      <c r="W13" s="7">
        <f t="shared" si="13"/>
        <v>0</v>
      </c>
      <c r="X13" s="8">
        <f t="shared" si="14"/>
        <v>36000</v>
      </c>
      <c r="Y13" s="6"/>
      <c r="Z13" s="6"/>
      <c r="AA13" s="6"/>
      <c r="AB13" s="6"/>
      <c r="AC13" s="6"/>
      <c r="AD13" s="6"/>
      <c r="AE13" s="6"/>
      <c r="AF13" s="7">
        <f t="shared" si="15"/>
        <v>0</v>
      </c>
      <c r="AG13" s="8">
        <f t="shared" si="16"/>
        <v>18000</v>
      </c>
      <c r="AH13" s="6"/>
      <c r="AI13" s="6"/>
      <c r="AJ13" s="6"/>
      <c r="AK13" s="6"/>
      <c r="AL13" s="6"/>
      <c r="AM13" s="6"/>
      <c r="AN13" s="6"/>
      <c r="AO13" s="6"/>
      <c r="AP13" s="6"/>
      <c r="AQ13" s="7">
        <f t="shared" si="17"/>
        <v>0</v>
      </c>
      <c r="AR13" s="8">
        <f t="shared" si="18"/>
        <v>18000</v>
      </c>
      <c r="AS13" s="7">
        <f t="shared" si="19"/>
        <v>0</v>
      </c>
      <c r="AT13" s="8">
        <f t="shared" si="20"/>
        <v>-120000</v>
      </c>
      <c r="AU13" s="21">
        <f t="shared" si="21"/>
        <v>0</v>
      </c>
      <c r="AV13" s="22"/>
    </row>
    <row r="14" spans="1:48" ht="18.95">
      <c r="A14" s="1">
        <v>13</v>
      </c>
      <c r="B14" s="2" t="s">
        <v>132</v>
      </c>
      <c r="C14" s="10" t="s">
        <v>244</v>
      </c>
      <c r="D14" s="11" t="s">
        <v>257</v>
      </c>
      <c r="E14" s="5">
        <v>120000</v>
      </c>
      <c r="F14" s="6"/>
      <c r="G14" s="6"/>
      <c r="H14" s="6"/>
      <c r="I14" s="6"/>
      <c r="J14" s="6"/>
      <c r="K14" s="6"/>
      <c r="L14" s="6"/>
      <c r="M14" s="6"/>
      <c r="N14" s="7">
        <f t="shared" si="11"/>
        <v>0</v>
      </c>
      <c r="O14" s="8">
        <f t="shared" si="12"/>
        <v>48000</v>
      </c>
      <c r="P14" s="6"/>
      <c r="Q14" s="6"/>
      <c r="R14" s="6"/>
      <c r="S14" s="6"/>
      <c r="T14" s="6"/>
      <c r="U14" s="6"/>
      <c r="V14" s="6"/>
      <c r="W14" s="7">
        <f t="shared" si="13"/>
        <v>0</v>
      </c>
      <c r="X14" s="8">
        <f t="shared" si="14"/>
        <v>36000</v>
      </c>
      <c r="Y14" s="6"/>
      <c r="Z14" s="6"/>
      <c r="AA14" s="6"/>
      <c r="AB14" s="6"/>
      <c r="AC14" s="6"/>
      <c r="AD14" s="6"/>
      <c r="AE14" s="6"/>
      <c r="AF14" s="7">
        <f t="shared" si="15"/>
        <v>0</v>
      </c>
      <c r="AG14" s="8">
        <f t="shared" si="16"/>
        <v>18000</v>
      </c>
      <c r="AH14" s="6"/>
      <c r="AI14" s="6"/>
      <c r="AJ14" s="6"/>
      <c r="AK14" s="6"/>
      <c r="AL14" s="6"/>
      <c r="AM14" s="6"/>
      <c r="AN14" s="6"/>
      <c r="AO14" s="6"/>
      <c r="AP14" s="6"/>
      <c r="AQ14" s="7">
        <f t="shared" si="17"/>
        <v>0</v>
      </c>
      <c r="AR14" s="8">
        <f t="shared" si="18"/>
        <v>18000</v>
      </c>
      <c r="AS14" s="7">
        <f t="shared" si="19"/>
        <v>0</v>
      </c>
      <c r="AT14" s="8">
        <f t="shared" si="20"/>
        <v>-120000</v>
      </c>
      <c r="AU14" s="21">
        <f t="shared" si="21"/>
        <v>0</v>
      </c>
      <c r="AV14" s="22"/>
    </row>
    <row r="15" spans="1:48" ht="18.95">
      <c r="A15" s="1">
        <v>14</v>
      </c>
      <c r="B15" s="2" t="s">
        <v>132</v>
      </c>
      <c r="C15" s="3" t="s">
        <v>244</v>
      </c>
      <c r="D15" s="4" t="s">
        <v>258</v>
      </c>
      <c r="E15" s="5">
        <v>10000</v>
      </c>
      <c r="F15" s="6"/>
      <c r="G15" s="6"/>
      <c r="H15" s="6"/>
      <c r="I15" s="6"/>
      <c r="J15" s="6"/>
      <c r="K15" s="6"/>
      <c r="L15" s="6"/>
      <c r="M15" s="6"/>
      <c r="N15" s="7">
        <f t="shared" si="11"/>
        <v>0</v>
      </c>
      <c r="O15" s="8">
        <f t="shared" si="12"/>
        <v>4000</v>
      </c>
      <c r="P15" s="6"/>
      <c r="Q15" s="6"/>
      <c r="R15" s="6"/>
      <c r="S15" s="6"/>
      <c r="T15" s="6"/>
      <c r="U15" s="6"/>
      <c r="V15" s="6"/>
      <c r="W15" s="7">
        <f t="shared" si="13"/>
        <v>0</v>
      </c>
      <c r="X15" s="8">
        <f t="shared" si="14"/>
        <v>3000</v>
      </c>
      <c r="Y15" s="6"/>
      <c r="Z15" s="6"/>
      <c r="AA15" s="6"/>
      <c r="AB15" s="6"/>
      <c r="AC15" s="6"/>
      <c r="AD15" s="6"/>
      <c r="AE15" s="6"/>
      <c r="AF15" s="7">
        <f t="shared" si="15"/>
        <v>0</v>
      </c>
      <c r="AG15" s="8">
        <f t="shared" si="16"/>
        <v>1500</v>
      </c>
      <c r="AH15" s="6"/>
      <c r="AI15" s="6"/>
      <c r="AJ15" s="6"/>
      <c r="AK15" s="6"/>
      <c r="AL15" s="6"/>
      <c r="AM15" s="6"/>
      <c r="AN15" s="6"/>
      <c r="AO15" s="6"/>
      <c r="AP15" s="6"/>
      <c r="AQ15" s="7">
        <f t="shared" si="17"/>
        <v>0</v>
      </c>
      <c r="AR15" s="8">
        <f t="shared" si="18"/>
        <v>1500</v>
      </c>
      <c r="AS15" s="7">
        <f t="shared" si="19"/>
        <v>0</v>
      </c>
      <c r="AT15" s="8">
        <f t="shared" si="20"/>
        <v>-10000</v>
      </c>
      <c r="AU15" s="21">
        <f t="shared" si="21"/>
        <v>0</v>
      </c>
      <c r="AV15" s="22"/>
    </row>
    <row r="16" spans="1:48" ht="18.95">
      <c r="A16" s="1">
        <v>15</v>
      </c>
      <c r="B16" s="2" t="s">
        <v>132</v>
      </c>
      <c r="C16" s="3" t="s">
        <v>244</v>
      </c>
      <c r="D16" s="4" t="s">
        <v>259</v>
      </c>
      <c r="E16" s="5">
        <v>177000</v>
      </c>
      <c r="F16" s="6"/>
      <c r="G16" s="6"/>
      <c r="H16" s="6"/>
      <c r="I16" s="6"/>
      <c r="J16" s="6"/>
      <c r="K16" s="6"/>
      <c r="L16" s="6"/>
      <c r="M16" s="6"/>
      <c r="N16" s="7">
        <f t="shared" si="11"/>
        <v>0</v>
      </c>
      <c r="O16" s="8">
        <f t="shared" si="12"/>
        <v>70800</v>
      </c>
      <c r="P16" s="6"/>
      <c r="Q16" s="6"/>
      <c r="R16" s="6"/>
      <c r="S16" s="6"/>
      <c r="T16" s="6"/>
      <c r="U16" s="6"/>
      <c r="V16" s="6"/>
      <c r="W16" s="7">
        <f t="shared" si="13"/>
        <v>0</v>
      </c>
      <c r="X16" s="8">
        <f t="shared" si="14"/>
        <v>53100</v>
      </c>
      <c r="Y16" s="6"/>
      <c r="Z16" s="6"/>
      <c r="AA16" s="6"/>
      <c r="AB16" s="6"/>
      <c r="AC16" s="6"/>
      <c r="AD16" s="6"/>
      <c r="AE16" s="6"/>
      <c r="AF16" s="7">
        <f t="shared" si="15"/>
        <v>0</v>
      </c>
      <c r="AG16" s="8">
        <f t="shared" si="16"/>
        <v>26550</v>
      </c>
      <c r="AH16" s="6"/>
      <c r="AI16" s="6"/>
      <c r="AJ16" s="6"/>
      <c r="AK16" s="6"/>
      <c r="AL16" s="6"/>
      <c r="AM16" s="6"/>
      <c r="AN16" s="6"/>
      <c r="AO16" s="6"/>
      <c r="AP16" s="6"/>
      <c r="AQ16" s="7">
        <f t="shared" si="17"/>
        <v>0</v>
      </c>
      <c r="AR16" s="8">
        <f t="shared" si="18"/>
        <v>26550</v>
      </c>
      <c r="AS16" s="7">
        <f t="shared" si="19"/>
        <v>0</v>
      </c>
      <c r="AT16" s="8">
        <f t="shared" si="20"/>
        <v>-177000</v>
      </c>
      <c r="AU16" s="21">
        <f t="shared" si="21"/>
        <v>0</v>
      </c>
      <c r="AV16" s="22"/>
    </row>
    <row r="17" spans="1:48" ht="18.95">
      <c r="A17" s="1">
        <v>16</v>
      </c>
      <c r="B17" s="2" t="s">
        <v>53</v>
      </c>
      <c r="C17" s="3" t="s">
        <v>244</v>
      </c>
      <c r="D17" s="4" t="s">
        <v>260</v>
      </c>
      <c r="E17" s="5">
        <v>15000</v>
      </c>
      <c r="F17" s="6"/>
      <c r="G17" s="6"/>
      <c r="H17" s="6"/>
      <c r="I17" s="6"/>
      <c r="J17" s="6"/>
      <c r="K17" s="6"/>
      <c r="L17" s="6"/>
      <c r="M17" s="6"/>
      <c r="N17" s="7">
        <f t="shared" si="11"/>
        <v>0</v>
      </c>
      <c r="O17" s="8">
        <f t="shared" si="12"/>
        <v>6000</v>
      </c>
      <c r="P17" s="6"/>
      <c r="Q17" s="6"/>
      <c r="R17" s="6"/>
      <c r="S17" s="6"/>
      <c r="T17" s="6"/>
      <c r="U17" s="6"/>
      <c r="V17" s="6"/>
      <c r="W17" s="7">
        <f t="shared" si="13"/>
        <v>0</v>
      </c>
      <c r="X17" s="8">
        <f t="shared" si="14"/>
        <v>4500</v>
      </c>
      <c r="Y17" s="6"/>
      <c r="Z17" s="6"/>
      <c r="AA17" s="6"/>
      <c r="AB17" s="6"/>
      <c r="AC17" s="6"/>
      <c r="AD17" s="6"/>
      <c r="AE17" s="6"/>
      <c r="AF17" s="7">
        <f t="shared" si="15"/>
        <v>0</v>
      </c>
      <c r="AG17" s="8">
        <f t="shared" si="16"/>
        <v>2250</v>
      </c>
      <c r="AH17" s="6"/>
      <c r="AI17" s="6"/>
      <c r="AJ17" s="6"/>
      <c r="AK17" s="6"/>
      <c r="AL17" s="6"/>
      <c r="AM17" s="6"/>
      <c r="AN17" s="6"/>
      <c r="AO17" s="6"/>
      <c r="AP17" s="6"/>
      <c r="AQ17" s="7">
        <f t="shared" si="17"/>
        <v>0</v>
      </c>
      <c r="AR17" s="8">
        <f t="shared" si="18"/>
        <v>2250</v>
      </c>
      <c r="AS17" s="7">
        <f t="shared" si="19"/>
        <v>0</v>
      </c>
      <c r="AT17" s="8">
        <f t="shared" si="20"/>
        <v>-15000</v>
      </c>
      <c r="AU17" s="21">
        <f t="shared" si="21"/>
        <v>0</v>
      </c>
      <c r="AV17" s="22"/>
    </row>
    <row r="18" spans="1:48" ht="18.95">
      <c r="A18" s="1">
        <v>17</v>
      </c>
      <c r="B18" s="2" t="s">
        <v>132</v>
      </c>
      <c r="C18" s="3" t="s">
        <v>244</v>
      </c>
      <c r="D18" s="4" t="s">
        <v>261</v>
      </c>
      <c r="E18" s="5">
        <v>1000</v>
      </c>
      <c r="F18" s="6"/>
      <c r="G18" s="6"/>
      <c r="H18" s="6"/>
      <c r="I18" s="6"/>
      <c r="J18" s="6"/>
      <c r="K18" s="6"/>
      <c r="L18" s="6"/>
      <c r="M18" s="6"/>
      <c r="N18" s="7">
        <f t="shared" si="11"/>
        <v>0</v>
      </c>
      <c r="O18" s="8">
        <f t="shared" si="12"/>
        <v>400</v>
      </c>
      <c r="P18" s="6"/>
      <c r="Q18" s="6"/>
      <c r="R18" s="6"/>
      <c r="S18" s="6"/>
      <c r="T18" s="6"/>
      <c r="U18" s="6"/>
      <c r="V18" s="6"/>
      <c r="W18" s="7">
        <f t="shared" si="13"/>
        <v>0</v>
      </c>
      <c r="X18" s="8">
        <f t="shared" si="14"/>
        <v>300</v>
      </c>
      <c r="Y18" s="6"/>
      <c r="Z18" s="6"/>
      <c r="AA18" s="6"/>
      <c r="AB18" s="6"/>
      <c r="AC18" s="6"/>
      <c r="AD18" s="6"/>
      <c r="AE18" s="6"/>
      <c r="AF18" s="7">
        <f t="shared" si="15"/>
        <v>0</v>
      </c>
      <c r="AG18" s="8">
        <f t="shared" si="16"/>
        <v>150</v>
      </c>
      <c r="AH18" s="6"/>
      <c r="AI18" s="6"/>
      <c r="AJ18" s="6"/>
      <c r="AK18" s="6"/>
      <c r="AL18" s="6"/>
      <c r="AM18" s="6"/>
      <c r="AN18" s="6"/>
      <c r="AO18" s="6"/>
      <c r="AP18" s="6"/>
      <c r="AQ18" s="7">
        <f t="shared" si="17"/>
        <v>0</v>
      </c>
      <c r="AR18" s="8">
        <f t="shared" si="18"/>
        <v>150</v>
      </c>
      <c r="AS18" s="7">
        <f t="shared" si="19"/>
        <v>0</v>
      </c>
      <c r="AT18" s="8">
        <f t="shared" si="20"/>
        <v>-1000</v>
      </c>
      <c r="AU18" s="21">
        <f t="shared" si="21"/>
        <v>0</v>
      </c>
      <c r="AV18" s="22"/>
    </row>
    <row r="19" spans="1:48" ht="18.95">
      <c r="A19" s="1">
        <v>18</v>
      </c>
      <c r="B19" s="2" t="s">
        <v>53</v>
      </c>
      <c r="C19" s="3" t="s">
        <v>244</v>
      </c>
      <c r="D19" s="4" t="s">
        <v>262</v>
      </c>
      <c r="E19" s="5">
        <v>4200</v>
      </c>
      <c r="F19" s="6"/>
      <c r="G19" s="6"/>
      <c r="H19" s="6"/>
      <c r="I19" s="6"/>
      <c r="J19" s="6"/>
      <c r="K19" s="6"/>
      <c r="L19" s="6"/>
      <c r="M19" s="6"/>
      <c r="N19" s="7">
        <f t="shared" si="11"/>
        <v>0</v>
      </c>
      <c r="O19" s="8">
        <f t="shared" si="12"/>
        <v>1680</v>
      </c>
      <c r="P19" s="6"/>
      <c r="Q19" s="6"/>
      <c r="R19" s="6"/>
      <c r="S19" s="6"/>
      <c r="T19" s="6"/>
      <c r="U19" s="6"/>
      <c r="V19" s="6"/>
      <c r="W19" s="7">
        <f t="shared" si="13"/>
        <v>0</v>
      </c>
      <c r="X19" s="8">
        <f t="shared" si="14"/>
        <v>1260</v>
      </c>
      <c r="Y19" s="6"/>
      <c r="Z19" s="6"/>
      <c r="AA19" s="6"/>
      <c r="AB19" s="6"/>
      <c r="AC19" s="6"/>
      <c r="AD19" s="6"/>
      <c r="AE19" s="6"/>
      <c r="AF19" s="7">
        <f t="shared" si="15"/>
        <v>0</v>
      </c>
      <c r="AG19" s="8">
        <f t="shared" si="16"/>
        <v>630</v>
      </c>
      <c r="AH19" s="6"/>
      <c r="AI19" s="6"/>
      <c r="AJ19" s="6"/>
      <c r="AK19" s="6"/>
      <c r="AL19" s="6"/>
      <c r="AM19" s="6"/>
      <c r="AN19" s="6"/>
      <c r="AO19" s="6"/>
      <c r="AP19" s="6"/>
      <c r="AQ19" s="7">
        <f t="shared" si="17"/>
        <v>0</v>
      </c>
      <c r="AR19" s="8">
        <f t="shared" si="18"/>
        <v>630</v>
      </c>
      <c r="AS19" s="7">
        <f t="shared" si="19"/>
        <v>0</v>
      </c>
      <c r="AT19" s="8">
        <f t="shared" si="20"/>
        <v>-4200</v>
      </c>
      <c r="AU19" s="21">
        <f t="shared" si="21"/>
        <v>0</v>
      </c>
      <c r="AV19" s="22"/>
    </row>
    <row r="20" spans="1:48" ht="18.95">
      <c r="A20" s="1">
        <v>19</v>
      </c>
      <c r="B20" s="2" t="s">
        <v>53</v>
      </c>
      <c r="C20" s="3" t="s">
        <v>244</v>
      </c>
      <c r="D20" s="4" t="s">
        <v>263</v>
      </c>
      <c r="E20" s="5">
        <v>15600</v>
      </c>
      <c r="F20" s="6"/>
      <c r="G20" s="6"/>
      <c r="H20" s="6"/>
      <c r="I20" s="6"/>
      <c r="J20" s="6"/>
      <c r="K20" s="6"/>
      <c r="L20" s="6"/>
      <c r="M20" s="6"/>
      <c r="N20" s="7">
        <f t="shared" si="11"/>
        <v>0</v>
      </c>
      <c r="O20" s="8">
        <f t="shared" si="12"/>
        <v>6240</v>
      </c>
      <c r="P20" s="6"/>
      <c r="Q20" s="6"/>
      <c r="R20" s="6"/>
      <c r="S20" s="6"/>
      <c r="T20" s="6"/>
      <c r="U20" s="6"/>
      <c r="V20" s="6"/>
      <c r="W20" s="7">
        <f t="shared" si="13"/>
        <v>0</v>
      </c>
      <c r="X20" s="8">
        <f t="shared" si="14"/>
        <v>4680</v>
      </c>
      <c r="Y20" s="6"/>
      <c r="Z20" s="6"/>
      <c r="AA20" s="6"/>
      <c r="AB20" s="6"/>
      <c r="AC20" s="6"/>
      <c r="AD20" s="6"/>
      <c r="AE20" s="6"/>
      <c r="AF20" s="7">
        <f t="shared" si="15"/>
        <v>0</v>
      </c>
      <c r="AG20" s="8">
        <f t="shared" si="16"/>
        <v>2340</v>
      </c>
      <c r="AH20" s="6"/>
      <c r="AI20" s="6"/>
      <c r="AJ20" s="6"/>
      <c r="AK20" s="6"/>
      <c r="AL20" s="6"/>
      <c r="AM20" s="6"/>
      <c r="AN20" s="6"/>
      <c r="AO20" s="6"/>
      <c r="AP20" s="6"/>
      <c r="AQ20" s="7">
        <f t="shared" si="17"/>
        <v>0</v>
      </c>
      <c r="AR20" s="8">
        <f t="shared" si="18"/>
        <v>2340</v>
      </c>
      <c r="AS20" s="7">
        <f t="shared" si="19"/>
        <v>0</v>
      </c>
      <c r="AT20" s="8">
        <f t="shared" si="20"/>
        <v>-15600</v>
      </c>
      <c r="AU20" s="21">
        <f t="shared" si="21"/>
        <v>0</v>
      </c>
      <c r="AV20" s="22"/>
    </row>
    <row r="21" spans="1:48" ht="18.95">
      <c r="A21" s="1">
        <v>20</v>
      </c>
      <c r="B21" s="2" t="s">
        <v>53</v>
      </c>
      <c r="C21" s="3" t="s">
        <v>244</v>
      </c>
      <c r="D21" s="4" t="s">
        <v>264</v>
      </c>
      <c r="E21" s="5">
        <v>3200</v>
      </c>
      <c r="F21" s="6"/>
      <c r="G21" s="6"/>
      <c r="H21" s="6"/>
      <c r="I21" s="6"/>
      <c r="J21" s="6"/>
      <c r="K21" s="6"/>
      <c r="L21" s="6"/>
      <c r="M21" s="6"/>
      <c r="N21" s="7">
        <f t="shared" si="11"/>
        <v>0</v>
      </c>
      <c r="O21" s="8">
        <f t="shared" si="12"/>
        <v>1280</v>
      </c>
      <c r="P21" s="6"/>
      <c r="Q21" s="6"/>
      <c r="R21" s="6"/>
      <c r="S21" s="6"/>
      <c r="T21" s="6"/>
      <c r="U21" s="6"/>
      <c r="V21" s="6"/>
      <c r="W21" s="7">
        <f t="shared" si="13"/>
        <v>0</v>
      </c>
      <c r="X21" s="8">
        <f t="shared" si="14"/>
        <v>960</v>
      </c>
      <c r="Y21" s="6"/>
      <c r="Z21" s="6"/>
      <c r="AA21" s="6"/>
      <c r="AB21" s="6"/>
      <c r="AC21" s="6"/>
      <c r="AD21" s="6"/>
      <c r="AE21" s="6"/>
      <c r="AF21" s="7">
        <f t="shared" si="15"/>
        <v>0</v>
      </c>
      <c r="AG21" s="8">
        <f t="shared" si="16"/>
        <v>480</v>
      </c>
      <c r="AH21" s="6"/>
      <c r="AI21" s="6"/>
      <c r="AJ21" s="6"/>
      <c r="AK21" s="6"/>
      <c r="AL21" s="6"/>
      <c r="AM21" s="6"/>
      <c r="AN21" s="6"/>
      <c r="AO21" s="6"/>
      <c r="AP21" s="6"/>
      <c r="AQ21" s="7">
        <f t="shared" si="17"/>
        <v>0</v>
      </c>
      <c r="AR21" s="8">
        <f t="shared" si="18"/>
        <v>480</v>
      </c>
      <c r="AS21" s="7">
        <f t="shared" si="19"/>
        <v>0</v>
      </c>
      <c r="AT21" s="8">
        <f t="shared" si="20"/>
        <v>-3200</v>
      </c>
      <c r="AU21" s="21">
        <f t="shared" si="21"/>
        <v>0</v>
      </c>
      <c r="AV21" s="22"/>
    </row>
    <row r="22" spans="1:48" ht="18.95">
      <c r="A22" s="1">
        <v>21</v>
      </c>
      <c r="B22" s="2" t="s">
        <v>53</v>
      </c>
      <c r="C22" s="3" t="s">
        <v>244</v>
      </c>
      <c r="D22" s="4" t="s">
        <v>265</v>
      </c>
      <c r="E22" s="5">
        <v>1200</v>
      </c>
      <c r="F22" s="6"/>
      <c r="G22" s="6"/>
      <c r="H22" s="6"/>
      <c r="I22" s="6"/>
      <c r="J22" s="6"/>
      <c r="K22" s="6"/>
      <c r="L22" s="6"/>
      <c r="M22" s="6"/>
      <c r="N22" s="7">
        <f t="shared" si="11"/>
        <v>0</v>
      </c>
      <c r="O22" s="8">
        <f t="shared" si="12"/>
        <v>480</v>
      </c>
      <c r="P22" s="6"/>
      <c r="Q22" s="6"/>
      <c r="R22" s="6"/>
      <c r="S22" s="6"/>
      <c r="T22" s="6"/>
      <c r="U22" s="6"/>
      <c r="V22" s="6"/>
      <c r="W22" s="7">
        <f t="shared" si="13"/>
        <v>0</v>
      </c>
      <c r="X22" s="8">
        <f t="shared" si="14"/>
        <v>360</v>
      </c>
      <c r="Y22" s="6"/>
      <c r="Z22" s="6"/>
      <c r="AA22" s="6"/>
      <c r="AB22" s="6"/>
      <c r="AC22" s="6"/>
      <c r="AD22" s="6"/>
      <c r="AE22" s="6"/>
      <c r="AF22" s="7">
        <f t="shared" si="15"/>
        <v>0</v>
      </c>
      <c r="AG22" s="8">
        <f t="shared" si="16"/>
        <v>180</v>
      </c>
      <c r="AH22" s="6"/>
      <c r="AI22" s="6"/>
      <c r="AJ22" s="6"/>
      <c r="AK22" s="6"/>
      <c r="AL22" s="6"/>
      <c r="AM22" s="6"/>
      <c r="AN22" s="6"/>
      <c r="AO22" s="6"/>
      <c r="AP22" s="6"/>
      <c r="AQ22" s="7">
        <f t="shared" si="17"/>
        <v>0</v>
      </c>
      <c r="AR22" s="8">
        <f t="shared" si="18"/>
        <v>180</v>
      </c>
      <c r="AS22" s="7">
        <f t="shared" si="19"/>
        <v>0</v>
      </c>
      <c r="AT22" s="8">
        <f t="shared" si="20"/>
        <v>-1200</v>
      </c>
      <c r="AU22" s="21">
        <f t="shared" si="21"/>
        <v>0</v>
      </c>
      <c r="AV22" s="22"/>
    </row>
    <row r="23" spans="1:48" ht="18.95">
      <c r="A23" s="1">
        <v>22</v>
      </c>
      <c r="B23" s="2" t="s">
        <v>132</v>
      </c>
      <c r="C23" s="12" t="s">
        <v>244</v>
      </c>
      <c r="D23" s="11" t="s">
        <v>266</v>
      </c>
      <c r="E23" s="5">
        <v>8200</v>
      </c>
      <c r="F23" s="6"/>
      <c r="G23" s="6"/>
      <c r="H23" s="6"/>
      <c r="I23" s="6"/>
      <c r="J23" s="6"/>
      <c r="K23" s="6"/>
      <c r="L23" s="6"/>
      <c r="M23" s="6"/>
      <c r="N23" s="7">
        <f t="shared" si="11"/>
        <v>0</v>
      </c>
      <c r="O23" s="8">
        <f t="shared" si="12"/>
        <v>3280</v>
      </c>
      <c r="P23" s="6"/>
      <c r="Q23" s="6"/>
      <c r="R23" s="6"/>
      <c r="S23" s="6"/>
      <c r="T23" s="6"/>
      <c r="U23" s="6"/>
      <c r="V23" s="6"/>
      <c r="W23" s="7">
        <f t="shared" si="13"/>
        <v>0</v>
      </c>
      <c r="X23" s="8">
        <f t="shared" si="14"/>
        <v>2460</v>
      </c>
      <c r="Y23" s="6"/>
      <c r="Z23" s="6"/>
      <c r="AA23" s="6"/>
      <c r="AB23" s="6"/>
      <c r="AC23" s="6"/>
      <c r="AD23" s="6"/>
      <c r="AE23" s="6"/>
      <c r="AF23" s="7">
        <f t="shared" si="15"/>
        <v>0</v>
      </c>
      <c r="AG23" s="8">
        <f t="shared" si="16"/>
        <v>1230</v>
      </c>
      <c r="AH23" s="6"/>
      <c r="AI23" s="6"/>
      <c r="AJ23" s="6"/>
      <c r="AK23" s="6"/>
      <c r="AL23" s="6"/>
      <c r="AM23" s="6"/>
      <c r="AN23" s="6"/>
      <c r="AO23" s="6"/>
      <c r="AP23" s="6"/>
      <c r="AQ23" s="7">
        <f t="shared" si="17"/>
        <v>0</v>
      </c>
      <c r="AR23" s="8">
        <f t="shared" si="18"/>
        <v>1230</v>
      </c>
      <c r="AS23" s="7">
        <f t="shared" si="19"/>
        <v>0</v>
      </c>
      <c r="AT23" s="8">
        <f t="shared" si="20"/>
        <v>-8200</v>
      </c>
      <c r="AU23" s="21">
        <f t="shared" si="21"/>
        <v>0</v>
      </c>
      <c r="AV23" s="22"/>
    </row>
    <row r="24" spans="1:48" ht="18.95">
      <c r="A24" s="1">
        <v>23</v>
      </c>
      <c r="B24" s="2" t="s">
        <v>132</v>
      </c>
      <c r="C24" s="10" t="s">
        <v>244</v>
      </c>
      <c r="D24" s="11" t="s">
        <v>267</v>
      </c>
      <c r="E24" s="5">
        <v>8200</v>
      </c>
      <c r="F24" s="6"/>
      <c r="G24" s="6"/>
      <c r="H24" s="6"/>
      <c r="I24" s="6"/>
      <c r="J24" s="6"/>
      <c r="K24" s="6"/>
      <c r="L24" s="6"/>
      <c r="M24" s="6"/>
      <c r="N24" s="7">
        <f t="shared" si="11"/>
        <v>0</v>
      </c>
      <c r="O24" s="8">
        <f t="shared" si="12"/>
        <v>3280</v>
      </c>
      <c r="P24" s="6"/>
      <c r="Q24" s="6"/>
      <c r="R24" s="6"/>
      <c r="S24" s="6"/>
      <c r="T24" s="6"/>
      <c r="U24" s="6"/>
      <c r="V24" s="6"/>
      <c r="W24" s="7">
        <f t="shared" si="13"/>
        <v>0</v>
      </c>
      <c r="X24" s="8">
        <f t="shared" si="14"/>
        <v>2460</v>
      </c>
      <c r="Y24" s="6"/>
      <c r="Z24" s="6"/>
      <c r="AA24" s="6"/>
      <c r="AB24" s="6"/>
      <c r="AC24" s="6"/>
      <c r="AD24" s="6"/>
      <c r="AE24" s="6"/>
      <c r="AF24" s="7">
        <f t="shared" si="15"/>
        <v>0</v>
      </c>
      <c r="AG24" s="8">
        <f t="shared" si="16"/>
        <v>1230</v>
      </c>
      <c r="AH24" s="6"/>
      <c r="AI24" s="6"/>
      <c r="AJ24" s="6"/>
      <c r="AK24" s="6"/>
      <c r="AL24" s="6"/>
      <c r="AM24" s="6"/>
      <c r="AN24" s="6"/>
      <c r="AO24" s="6"/>
      <c r="AP24" s="6"/>
      <c r="AQ24" s="7">
        <f t="shared" si="17"/>
        <v>0</v>
      </c>
      <c r="AR24" s="8">
        <f t="shared" si="18"/>
        <v>1230</v>
      </c>
      <c r="AS24" s="7">
        <f t="shared" si="19"/>
        <v>0</v>
      </c>
      <c r="AT24" s="8">
        <f t="shared" si="20"/>
        <v>-8200</v>
      </c>
      <c r="AU24" s="21">
        <f t="shared" si="21"/>
        <v>0</v>
      </c>
      <c r="AV24" s="22"/>
    </row>
    <row r="25" spans="1:48" ht="18.95">
      <c r="A25" s="1">
        <v>24</v>
      </c>
      <c r="B25" s="2" t="s">
        <v>132</v>
      </c>
      <c r="C25" s="13" t="s">
        <v>244</v>
      </c>
      <c r="D25" s="4" t="s">
        <v>268</v>
      </c>
      <c r="E25" s="5">
        <v>10000</v>
      </c>
      <c r="F25" s="6"/>
      <c r="G25" s="6"/>
      <c r="H25" s="6"/>
      <c r="I25" s="6"/>
      <c r="J25" s="6"/>
      <c r="K25" s="6"/>
      <c r="L25" s="6"/>
      <c r="M25" s="6"/>
      <c r="N25" s="7">
        <f t="shared" si="11"/>
        <v>0</v>
      </c>
      <c r="O25" s="8">
        <f t="shared" si="12"/>
        <v>4000</v>
      </c>
      <c r="P25" s="6"/>
      <c r="Q25" s="6"/>
      <c r="R25" s="6"/>
      <c r="S25" s="6"/>
      <c r="T25" s="6"/>
      <c r="U25" s="6"/>
      <c r="V25" s="6"/>
      <c r="W25" s="7">
        <f t="shared" si="13"/>
        <v>0</v>
      </c>
      <c r="X25" s="8">
        <f t="shared" si="14"/>
        <v>3000</v>
      </c>
      <c r="Y25" s="6"/>
      <c r="Z25" s="6"/>
      <c r="AA25" s="6"/>
      <c r="AB25" s="6"/>
      <c r="AC25" s="6"/>
      <c r="AD25" s="6"/>
      <c r="AE25" s="6"/>
      <c r="AF25" s="7">
        <f t="shared" si="15"/>
        <v>0</v>
      </c>
      <c r="AG25" s="8">
        <f t="shared" si="16"/>
        <v>1500</v>
      </c>
      <c r="AH25" s="6"/>
      <c r="AI25" s="6"/>
      <c r="AJ25" s="6"/>
      <c r="AK25" s="6"/>
      <c r="AL25" s="6"/>
      <c r="AM25" s="6"/>
      <c r="AN25" s="6"/>
      <c r="AO25" s="6"/>
      <c r="AP25" s="6"/>
      <c r="AQ25" s="7">
        <f t="shared" si="17"/>
        <v>0</v>
      </c>
      <c r="AR25" s="8">
        <f t="shared" si="18"/>
        <v>1500</v>
      </c>
      <c r="AS25" s="7">
        <f t="shared" si="19"/>
        <v>0</v>
      </c>
      <c r="AT25" s="8">
        <f t="shared" si="20"/>
        <v>-10000</v>
      </c>
      <c r="AU25" s="21">
        <f t="shared" si="21"/>
        <v>0</v>
      </c>
      <c r="AV25" s="22"/>
    </row>
    <row r="26" spans="1:48" ht="18.95">
      <c r="A26" s="1">
        <v>25</v>
      </c>
      <c r="B26" s="2" t="s">
        <v>132</v>
      </c>
      <c r="C26" s="3" t="s">
        <v>244</v>
      </c>
      <c r="D26" s="4" t="s">
        <v>269</v>
      </c>
      <c r="E26" s="5">
        <v>0</v>
      </c>
      <c r="F26" s="6"/>
      <c r="G26" s="6"/>
      <c r="H26" s="6"/>
      <c r="I26" s="6"/>
      <c r="J26" s="6"/>
      <c r="K26" s="6"/>
      <c r="L26" s="6"/>
      <c r="M26" s="6"/>
      <c r="N26" s="7">
        <f t="shared" si="11"/>
        <v>0</v>
      </c>
      <c r="O26" s="8">
        <f t="shared" si="12"/>
        <v>0</v>
      </c>
      <c r="P26" s="6"/>
      <c r="Q26" s="6"/>
      <c r="R26" s="6"/>
      <c r="S26" s="6"/>
      <c r="T26" s="6"/>
      <c r="U26" s="6"/>
      <c r="V26" s="6"/>
      <c r="W26" s="7">
        <f t="shared" si="13"/>
        <v>0</v>
      </c>
      <c r="X26" s="8">
        <f t="shared" si="14"/>
        <v>0</v>
      </c>
      <c r="Y26" s="6"/>
      <c r="Z26" s="6"/>
      <c r="AA26" s="6"/>
      <c r="AB26" s="6"/>
      <c r="AC26" s="6"/>
      <c r="AD26" s="6"/>
      <c r="AE26" s="6"/>
      <c r="AF26" s="7">
        <f t="shared" si="15"/>
        <v>0</v>
      </c>
      <c r="AG26" s="8">
        <f t="shared" si="16"/>
        <v>0</v>
      </c>
      <c r="AH26" s="6"/>
      <c r="AI26" s="6"/>
      <c r="AJ26" s="6"/>
      <c r="AK26" s="6"/>
      <c r="AL26" s="6"/>
      <c r="AM26" s="6"/>
      <c r="AN26" s="6"/>
      <c r="AO26" s="6"/>
      <c r="AP26" s="6"/>
      <c r="AQ26" s="7">
        <f t="shared" si="17"/>
        <v>0</v>
      </c>
      <c r="AR26" s="8">
        <f t="shared" si="18"/>
        <v>0</v>
      </c>
      <c r="AS26" s="7">
        <f t="shared" si="19"/>
        <v>0</v>
      </c>
      <c r="AT26" s="8">
        <f t="shared" si="20"/>
        <v>0</v>
      </c>
      <c r="AU26" s="21" t="e">
        <f t="shared" si="21"/>
        <v>#DIV/0!</v>
      </c>
      <c r="AV26" s="22"/>
    </row>
    <row r="27" spans="1:48" ht="18.95">
      <c r="A27" s="1">
        <v>26</v>
      </c>
      <c r="B27" s="2" t="s">
        <v>132</v>
      </c>
      <c r="C27" s="12" t="s">
        <v>244</v>
      </c>
      <c r="D27" s="11" t="s">
        <v>270</v>
      </c>
      <c r="E27" s="5">
        <v>11000</v>
      </c>
      <c r="F27" s="6"/>
      <c r="G27" s="6"/>
      <c r="H27" s="6"/>
      <c r="I27" s="6"/>
      <c r="J27" s="6"/>
      <c r="K27" s="6"/>
      <c r="L27" s="6"/>
      <c r="M27" s="6"/>
      <c r="N27" s="7">
        <f t="shared" si="11"/>
        <v>0</v>
      </c>
      <c r="O27" s="8">
        <f t="shared" si="12"/>
        <v>4400</v>
      </c>
      <c r="P27" s="6"/>
      <c r="Q27" s="6"/>
      <c r="R27" s="6"/>
      <c r="S27" s="6"/>
      <c r="T27" s="6"/>
      <c r="U27" s="6"/>
      <c r="V27" s="6"/>
      <c r="W27" s="7">
        <f t="shared" si="13"/>
        <v>0</v>
      </c>
      <c r="X27" s="8">
        <f t="shared" si="14"/>
        <v>3300</v>
      </c>
      <c r="Y27" s="6"/>
      <c r="Z27" s="6"/>
      <c r="AA27" s="6"/>
      <c r="AB27" s="6"/>
      <c r="AC27" s="6"/>
      <c r="AD27" s="6"/>
      <c r="AE27" s="6"/>
      <c r="AF27" s="7">
        <f t="shared" si="15"/>
        <v>0</v>
      </c>
      <c r="AG27" s="8">
        <f t="shared" si="16"/>
        <v>1650</v>
      </c>
      <c r="AH27" s="6"/>
      <c r="AI27" s="6"/>
      <c r="AJ27" s="6"/>
      <c r="AK27" s="6"/>
      <c r="AL27" s="6"/>
      <c r="AM27" s="6"/>
      <c r="AN27" s="6"/>
      <c r="AO27" s="6"/>
      <c r="AP27" s="6"/>
      <c r="AQ27" s="7">
        <f t="shared" si="17"/>
        <v>0</v>
      </c>
      <c r="AR27" s="8">
        <f t="shared" si="18"/>
        <v>1650</v>
      </c>
      <c r="AS27" s="7">
        <f t="shared" si="19"/>
        <v>0</v>
      </c>
      <c r="AT27" s="8">
        <f t="shared" si="20"/>
        <v>-11000</v>
      </c>
      <c r="AU27" s="21">
        <f t="shared" si="21"/>
        <v>0</v>
      </c>
      <c r="AV27" s="22"/>
    </row>
    <row r="28" spans="1:48" ht="18.95">
      <c r="A28" s="1">
        <v>27</v>
      </c>
      <c r="B28" s="2" t="s">
        <v>132</v>
      </c>
      <c r="C28" s="10" t="s">
        <v>244</v>
      </c>
      <c r="D28" s="11" t="s">
        <v>271</v>
      </c>
      <c r="E28" s="5">
        <v>11000</v>
      </c>
      <c r="F28" s="6"/>
      <c r="G28" s="6"/>
      <c r="H28" s="6"/>
      <c r="I28" s="6"/>
      <c r="J28" s="6"/>
      <c r="K28" s="6"/>
      <c r="L28" s="6"/>
      <c r="M28" s="6"/>
      <c r="N28" s="7">
        <f t="shared" si="11"/>
        <v>0</v>
      </c>
      <c r="O28" s="8">
        <f t="shared" si="12"/>
        <v>4400</v>
      </c>
      <c r="P28" s="6"/>
      <c r="Q28" s="6"/>
      <c r="R28" s="6"/>
      <c r="S28" s="6"/>
      <c r="T28" s="6"/>
      <c r="U28" s="6"/>
      <c r="V28" s="6"/>
      <c r="W28" s="7">
        <f t="shared" si="13"/>
        <v>0</v>
      </c>
      <c r="X28" s="8">
        <f t="shared" si="14"/>
        <v>3300</v>
      </c>
      <c r="Y28" s="6"/>
      <c r="Z28" s="6"/>
      <c r="AA28" s="6"/>
      <c r="AB28" s="6"/>
      <c r="AC28" s="6"/>
      <c r="AD28" s="6"/>
      <c r="AE28" s="6"/>
      <c r="AF28" s="7">
        <f t="shared" si="15"/>
        <v>0</v>
      </c>
      <c r="AG28" s="8">
        <f t="shared" si="16"/>
        <v>1650</v>
      </c>
      <c r="AH28" s="6"/>
      <c r="AI28" s="6"/>
      <c r="AJ28" s="6"/>
      <c r="AK28" s="6"/>
      <c r="AL28" s="6"/>
      <c r="AM28" s="6"/>
      <c r="AN28" s="6"/>
      <c r="AO28" s="6"/>
      <c r="AP28" s="6"/>
      <c r="AQ28" s="7">
        <f t="shared" si="17"/>
        <v>0</v>
      </c>
      <c r="AR28" s="8">
        <f t="shared" si="18"/>
        <v>1650</v>
      </c>
      <c r="AS28" s="7">
        <f t="shared" si="19"/>
        <v>0</v>
      </c>
      <c r="AT28" s="8">
        <f t="shared" si="20"/>
        <v>-11000</v>
      </c>
      <c r="AU28" s="21">
        <f t="shared" si="21"/>
        <v>0</v>
      </c>
      <c r="AV28" s="22"/>
    </row>
    <row r="29" spans="1:48" ht="18.95">
      <c r="A29" s="1">
        <v>28</v>
      </c>
      <c r="B29" s="2" t="s">
        <v>132</v>
      </c>
      <c r="C29" s="10" t="s">
        <v>244</v>
      </c>
      <c r="D29" s="11" t="s">
        <v>272</v>
      </c>
      <c r="E29" s="5">
        <v>11000</v>
      </c>
      <c r="F29" s="6"/>
      <c r="G29" s="6"/>
      <c r="H29" s="6"/>
      <c r="I29" s="6"/>
      <c r="J29" s="6"/>
      <c r="K29" s="6"/>
      <c r="L29" s="6"/>
      <c r="M29" s="6"/>
      <c r="N29" s="7">
        <f t="shared" si="11"/>
        <v>0</v>
      </c>
      <c r="O29" s="8">
        <f t="shared" si="12"/>
        <v>4400</v>
      </c>
      <c r="P29" s="6"/>
      <c r="Q29" s="6"/>
      <c r="R29" s="6"/>
      <c r="S29" s="6"/>
      <c r="T29" s="6"/>
      <c r="U29" s="6"/>
      <c r="V29" s="6"/>
      <c r="W29" s="7">
        <f t="shared" si="13"/>
        <v>0</v>
      </c>
      <c r="X29" s="8">
        <f t="shared" si="14"/>
        <v>3300</v>
      </c>
      <c r="Y29" s="6"/>
      <c r="Z29" s="6"/>
      <c r="AA29" s="6"/>
      <c r="AB29" s="6"/>
      <c r="AC29" s="6"/>
      <c r="AD29" s="6"/>
      <c r="AE29" s="6"/>
      <c r="AF29" s="7">
        <f t="shared" si="15"/>
        <v>0</v>
      </c>
      <c r="AG29" s="8">
        <f t="shared" si="16"/>
        <v>1650</v>
      </c>
      <c r="AH29" s="6"/>
      <c r="AI29" s="6"/>
      <c r="AJ29" s="6"/>
      <c r="AK29" s="6"/>
      <c r="AL29" s="6"/>
      <c r="AM29" s="6"/>
      <c r="AN29" s="6"/>
      <c r="AO29" s="6"/>
      <c r="AP29" s="6"/>
      <c r="AQ29" s="7">
        <f t="shared" si="17"/>
        <v>0</v>
      </c>
      <c r="AR29" s="8">
        <f t="shared" si="18"/>
        <v>1650</v>
      </c>
      <c r="AS29" s="7">
        <f t="shared" si="19"/>
        <v>0</v>
      </c>
      <c r="AT29" s="8">
        <f t="shared" si="20"/>
        <v>-11000</v>
      </c>
      <c r="AU29" s="21">
        <f t="shared" si="21"/>
        <v>0</v>
      </c>
      <c r="AV29" s="22"/>
    </row>
    <row r="30" spans="1:48" ht="18.95">
      <c r="A30" s="1">
        <v>29</v>
      </c>
      <c r="B30" s="2" t="s">
        <v>132</v>
      </c>
      <c r="C30" s="10" t="s">
        <v>244</v>
      </c>
      <c r="D30" s="11" t="s">
        <v>273</v>
      </c>
      <c r="E30" s="5">
        <v>11000</v>
      </c>
      <c r="F30" s="6"/>
      <c r="G30" s="6"/>
      <c r="H30" s="6"/>
      <c r="I30" s="6"/>
      <c r="J30" s="6"/>
      <c r="K30" s="6"/>
      <c r="L30" s="6"/>
      <c r="M30" s="6"/>
      <c r="N30" s="7">
        <f t="shared" si="11"/>
        <v>0</v>
      </c>
      <c r="O30" s="8">
        <f t="shared" si="12"/>
        <v>4400</v>
      </c>
      <c r="P30" s="6"/>
      <c r="Q30" s="6"/>
      <c r="R30" s="6"/>
      <c r="S30" s="6"/>
      <c r="T30" s="6"/>
      <c r="U30" s="6"/>
      <c r="V30" s="6"/>
      <c r="W30" s="7">
        <f t="shared" si="13"/>
        <v>0</v>
      </c>
      <c r="X30" s="8">
        <f t="shared" si="14"/>
        <v>3300</v>
      </c>
      <c r="Y30" s="6"/>
      <c r="Z30" s="6"/>
      <c r="AA30" s="6"/>
      <c r="AB30" s="6"/>
      <c r="AC30" s="6"/>
      <c r="AD30" s="6"/>
      <c r="AE30" s="6"/>
      <c r="AF30" s="7">
        <f t="shared" si="15"/>
        <v>0</v>
      </c>
      <c r="AG30" s="8">
        <f t="shared" si="16"/>
        <v>1650</v>
      </c>
      <c r="AH30" s="6"/>
      <c r="AI30" s="6"/>
      <c r="AJ30" s="6"/>
      <c r="AK30" s="6"/>
      <c r="AL30" s="6"/>
      <c r="AM30" s="6"/>
      <c r="AN30" s="6"/>
      <c r="AO30" s="6"/>
      <c r="AP30" s="6"/>
      <c r="AQ30" s="7">
        <f t="shared" si="17"/>
        <v>0</v>
      </c>
      <c r="AR30" s="8">
        <f t="shared" si="18"/>
        <v>1650</v>
      </c>
      <c r="AS30" s="7">
        <f t="shared" si="19"/>
        <v>0</v>
      </c>
      <c r="AT30" s="8">
        <f t="shared" si="20"/>
        <v>-11000</v>
      </c>
      <c r="AU30" s="21">
        <f t="shared" si="21"/>
        <v>0</v>
      </c>
      <c r="AV30" s="22"/>
    </row>
    <row r="31" spans="1:48" ht="18.95">
      <c r="A31" s="1">
        <v>30</v>
      </c>
      <c r="B31" s="2" t="s">
        <v>132</v>
      </c>
      <c r="C31" s="3" t="s">
        <v>244</v>
      </c>
      <c r="D31" s="4" t="s">
        <v>274</v>
      </c>
      <c r="E31" s="5">
        <v>15000</v>
      </c>
      <c r="F31" s="6"/>
      <c r="G31" s="6"/>
      <c r="H31" s="6"/>
      <c r="I31" s="6"/>
      <c r="J31" s="6"/>
      <c r="K31" s="6"/>
      <c r="L31" s="6"/>
      <c r="M31" s="6"/>
      <c r="N31" s="7">
        <f t="shared" si="11"/>
        <v>0</v>
      </c>
      <c r="O31" s="8">
        <f t="shared" si="12"/>
        <v>6000</v>
      </c>
      <c r="P31" s="6"/>
      <c r="Q31" s="6"/>
      <c r="R31" s="6"/>
      <c r="S31" s="6"/>
      <c r="T31" s="6"/>
      <c r="U31" s="6"/>
      <c r="V31" s="6"/>
      <c r="W31" s="7">
        <f t="shared" si="13"/>
        <v>0</v>
      </c>
      <c r="X31" s="8">
        <f t="shared" si="14"/>
        <v>4500</v>
      </c>
      <c r="Y31" s="6"/>
      <c r="Z31" s="6"/>
      <c r="AA31" s="6"/>
      <c r="AB31" s="6"/>
      <c r="AC31" s="6"/>
      <c r="AD31" s="6"/>
      <c r="AE31" s="6"/>
      <c r="AF31" s="7">
        <f t="shared" si="15"/>
        <v>0</v>
      </c>
      <c r="AG31" s="8">
        <f t="shared" si="16"/>
        <v>2250</v>
      </c>
      <c r="AH31" s="6"/>
      <c r="AI31" s="6"/>
      <c r="AJ31" s="6"/>
      <c r="AK31" s="6"/>
      <c r="AL31" s="6"/>
      <c r="AM31" s="6"/>
      <c r="AN31" s="6"/>
      <c r="AO31" s="6"/>
      <c r="AP31" s="6"/>
      <c r="AQ31" s="7">
        <f t="shared" si="17"/>
        <v>0</v>
      </c>
      <c r="AR31" s="8">
        <f t="shared" si="18"/>
        <v>2250</v>
      </c>
      <c r="AS31" s="7">
        <f t="shared" si="19"/>
        <v>0</v>
      </c>
      <c r="AT31" s="8">
        <f t="shared" si="20"/>
        <v>-15000</v>
      </c>
      <c r="AU31" s="21">
        <f t="shared" si="21"/>
        <v>0</v>
      </c>
      <c r="AV31" s="22"/>
    </row>
    <row r="32" spans="1:48" ht="18.95">
      <c r="A32" s="1">
        <v>31</v>
      </c>
      <c r="B32" s="2" t="s">
        <v>132</v>
      </c>
      <c r="C32" s="3" t="s">
        <v>244</v>
      </c>
      <c r="D32" s="14" t="s">
        <v>275</v>
      </c>
      <c r="E32" s="5">
        <v>30000</v>
      </c>
      <c r="F32" s="6"/>
      <c r="G32" s="6"/>
      <c r="H32" s="6"/>
      <c r="I32" s="6"/>
      <c r="J32" s="6"/>
      <c r="K32" s="6"/>
      <c r="L32" s="6"/>
      <c r="M32" s="6"/>
      <c r="N32" s="7">
        <f t="shared" si="11"/>
        <v>0</v>
      </c>
      <c r="O32" s="8">
        <f t="shared" si="12"/>
        <v>12000</v>
      </c>
      <c r="P32" s="6"/>
      <c r="Q32" s="6"/>
      <c r="R32" s="6"/>
      <c r="S32" s="6"/>
      <c r="T32" s="6"/>
      <c r="U32" s="6"/>
      <c r="V32" s="6"/>
      <c r="W32" s="7">
        <f t="shared" si="13"/>
        <v>0</v>
      </c>
      <c r="X32" s="8">
        <f t="shared" si="14"/>
        <v>9000</v>
      </c>
      <c r="Y32" s="6"/>
      <c r="Z32" s="6"/>
      <c r="AA32" s="6"/>
      <c r="AB32" s="6"/>
      <c r="AC32" s="6"/>
      <c r="AD32" s="6"/>
      <c r="AE32" s="6"/>
      <c r="AF32" s="7">
        <f t="shared" si="15"/>
        <v>0</v>
      </c>
      <c r="AG32" s="8">
        <f t="shared" si="16"/>
        <v>4500</v>
      </c>
      <c r="AH32" s="6"/>
      <c r="AI32" s="6"/>
      <c r="AJ32" s="6"/>
      <c r="AK32" s="6"/>
      <c r="AL32" s="6"/>
      <c r="AM32" s="6"/>
      <c r="AN32" s="6"/>
      <c r="AO32" s="6"/>
      <c r="AP32" s="6"/>
      <c r="AQ32" s="7">
        <f t="shared" si="17"/>
        <v>0</v>
      </c>
      <c r="AR32" s="8">
        <f t="shared" si="18"/>
        <v>4500</v>
      </c>
      <c r="AS32" s="7">
        <f t="shared" si="19"/>
        <v>0</v>
      </c>
      <c r="AT32" s="8">
        <f t="shared" si="20"/>
        <v>-30000</v>
      </c>
      <c r="AU32" s="21">
        <f t="shared" si="21"/>
        <v>0</v>
      </c>
      <c r="AV32" s="22"/>
    </row>
    <row r="33" spans="1:48" ht="18.95">
      <c r="A33" s="1">
        <v>32</v>
      </c>
      <c r="B33" s="2" t="s">
        <v>132</v>
      </c>
      <c r="C33" s="3" t="s">
        <v>244</v>
      </c>
      <c r="D33" s="14" t="s">
        <v>276</v>
      </c>
      <c r="E33" s="5">
        <v>100000</v>
      </c>
      <c r="F33" s="6"/>
      <c r="G33" s="6"/>
      <c r="H33" s="6"/>
      <c r="I33" s="6"/>
      <c r="J33" s="6"/>
      <c r="K33" s="6"/>
      <c r="L33" s="6"/>
      <c r="M33" s="6"/>
      <c r="N33" s="7">
        <f t="shared" si="11"/>
        <v>0</v>
      </c>
      <c r="O33" s="8">
        <f t="shared" si="12"/>
        <v>40000</v>
      </c>
      <c r="P33" s="6"/>
      <c r="Q33" s="6"/>
      <c r="R33" s="6"/>
      <c r="S33" s="6"/>
      <c r="T33" s="6"/>
      <c r="U33" s="6"/>
      <c r="V33" s="6"/>
      <c r="W33" s="7">
        <f t="shared" si="13"/>
        <v>0</v>
      </c>
      <c r="X33" s="8">
        <f t="shared" si="14"/>
        <v>30000</v>
      </c>
      <c r="Y33" s="6"/>
      <c r="Z33" s="6"/>
      <c r="AA33" s="6"/>
      <c r="AB33" s="6"/>
      <c r="AC33" s="6"/>
      <c r="AD33" s="6"/>
      <c r="AE33" s="6"/>
      <c r="AF33" s="7">
        <f t="shared" si="15"/>
        <v>0</v>
      </c>
      <c r="AG33" s="8">
        <f t="shared" si="16"/>
        <v>15000</v>
      </c>
      <c r="AH33" s="6"/>
      <c r="AI33" s="6"/>
      <c r="AJ33" s="6"/>
      <c r="AK33" s="6"/>
      <c r="AL33" s="6"/>
      <c r="AM33" s="6"/>
      <c r="AN33" s="6"/>
      <c r="AO33" s="6"/>
      <c r="AP33" s="6"/>
      <c r="AQ33" s="7">
        <f t="shared" si="17"/>
        <v>0</v>
      </c>
      <c r="AR33" s="8">
        <f t="shared" si="18"/>
        <v>15000</v>
      </c>
      <c r="AS33" s="7">
        <f t="shared" si="19"/>
        <v>0</v>
      </c>
      <c r="AT33" s="8">
        <f t="shared" si="20"/>
        <v>-100000</v>
      </c>
      <c r="AU33" s="21">
        <f t="shared" si="21"/>
        <v>0</v>
      </c>
      <c r="AV33" s="22"/>
    </row>
    <row r="34" spans="1:48" ht="18.95">
      <c r="A34" s="16">
        <v>33</v>
      </c>
      <c r="B34" s="17" t="s">
        <v>132</v>
      </c>
      <c r="C34" s="3" t="s">
        <v>244</v>
      </c>
      <c r="D34" s="14" t="s">
        <v>277</v>
      </c>
      <c r="E34" s="5">
        <v>50000</v>
      </c>
      <c r="F34" s="6"/>
      <c r="G34" s="6"/>
      <c r="H34" s="6"/>
      <c r="I34" s="6"/>
      <c r="J34" s="6"/>
      <c r="K34" s="6"/>
      <c r="L34" s="6"/>
      <c r="M34" s="6"/>
      <c r="N34" s="7">
        <f t="shared" si="11"/>
        <v>0</v>
      </c>
      <c r="O34" s="8">
        <f t="shared" si="12"/>
        <v>20000</v>
      </c>
      <c r="P34" s="6"/>
      <c r="Q34" s="6"/>
      <c r="R34" s="6"/>
      <c r="S34" s="6"/>
      <c r="T34" s="6"/>
      <c r="U34" s="6"/>
      <c r="V34" s="6"/>
      <c r="W34" s="7">
        <f t="shared" si="13"/>
        <v>0</v>
      </c>
      <c r="X34" s="8">
        <f t="shared" si="14"/>
        <v>15000</v>
      </c>
      <c r="Y34" s="6"/>
      <c r="Z34" s="6"/>
      <c r="AA34" s="6"/>
      <c r="AB34" s="6"/>
      <c r="AC34" s="6"/>
      <c r="AD34" s="6"/>
      <c r="AE34" s="6"/>
      <c r="AF34" s="7">
        <f t="shared" si="15"/>
        <v>0</v>
      </c>
      <c r="AG34" s="8">
        <f t="shared" si="16"/>
        <v>7500</v>
      </c>
      <c r="AH34" s="6"/>
      <c r="AI34" s="6"/>
      <c r="AJ34" s="6"/>
      <c r="AK34" s="6"/>
      <c r="AL34" s="6"/>
      <c r="AM34" s="6"/>
      <c r="AN34" s="6"/>
      <c r="AO34" s="6"/>
      <c r="AP34" s="6"/>
      <c r="AQ34" s="7">
        <f t="shared" si="17"/>
        <v>0</v>
      </c>
      <c r="AR34" s="8">
        <f t="shared" si="18"/>
        <v>7500</v>
      </c>
      <c r="AS34" s="7">
        <f t="shared" si="19"/>
        <v>0</v>
      </c>
      <c r="AT34" s="8">
        <f t="shared" si="20"/>
        <v>-50000</v>
      </c>
      <c r="AU34" s="21">
        <f t="shared" si="21"/>
        <v>0</v>
      </c>
      <c r="AV34" s="22"/>
    </row>
    <row r="35" spans="1:48" ht="18.95">
      <c r="A35" s="16">
        <v>34</v>
      </c>
      <c r="B35" s="17" t="s">
        <v>103</v>
      </c>
      <c r="C35" s="3" t="s">
        <v>68</v>
      </c>
      <c r="D35" s="14" t="s">
        <v>276</v>
      </c>
      <c r="E35" s="5">
        <v>100000</v>
      </c>
      <c r="F35" s="6"/>
      <c r="G35" s="6"/>
      <c r="H35" s="6"/>
      <c r="I35" s="6"/>
      <c r="J35" s="6"/>
      <c r="K35" s="6"/>
      <c r="L35" s="6"/>
      <c r="M35" s="6"/>
      <c r="N35" s="7">
        <f t="shared" si="11"/>
        <v>0</v>
      </c>
      <c r="O35" s="8">
        <f t="shared" si="12"/>
        <v>40000</v>
      </c>
      <c r="P35" s="6"/>
      <c r="Q35" s="6"/>
      <c r="R35" s="6"/>
      <c r="S35" s="6"/>
      <c r="T35" s="6"/>
      <c r="U35" s="6"/>
      <c r="V35" s="6"/>
      <c r="W35" s="7">
        <f t="shared" si="13"/>
        <v>0</v>
      </c>
      <c r="X35" s="8">
        <f t="shared" si="14"/>
        <v>30000</v>
      </c>
      <c r="Y35" s="6"/>
      <c r="Z35" s="6"/>
      <c r="AA35" s="6"/>
      <c r="AB35" s="6"/>
      <c r="AC35" s="6"/>
      <c r="AD35" s="6"/>
      <c r="AE35" s="6"/>
      <c r="AF35" s="7">
        <f t="shared" si="15"/>
        <v>0</v>
      </c>
      <c r="AG35" s="8">
        <f t="shared" si="16"/>
        <v>15000</v>
      </c>
      <c r="AH35" s="6"/>
      <c r="AI35" s="6"/>
      <c r="AJ35" s="6"/>
      <c r="AK35" s="6"/>
      <c r="AL35" s="6"/>
      <c r="AM35" s="6"/>
      <c r="AN35" s="6"/>
      <c r="AO35" s="6"/>
      <c r="AP35" s="6"/>
      <c r="AQ35" s="7">
        <f t="shared" si="17"/>
        <v>0</v>
      </c>
      <c r="AR35" s="8">
        <f t="shared" si="18"/>
        <v>15000</v>
      </c>
      <c r="AS35" s="7">
        <f t="shared" si="19"/>
        <v>0</v>
      </c>
      <c r="AT35" s="8">
        <f t="shared" si="20"/>
        <v>-100000</v>
      </c>
      <c r="AU35" s="21">
        <f t="shared" si="21"/>
        <v>0</v>
      </c>
      <c r="AV35" s="22"/>
    </row>
    <row r="36" spans="1:48" ht="18.95">
      <c r="A36" s="16">
        <v>35</v>
      </c>
      <c r="B36" s="17" t="s">
        <v>103</v>
      </c>
      <c r="C36" s="3" t="s">
        <v>68</v>
      </c>
      <c r="D36" s="14" t="s">
        <v>277</v>
      </c>
      <c r="E36" s="5">
        <v>25000</v>
      </c>
      <c r="F36" s="6"/>
      <c r="G36" s="6"/>
      <c r="H36" s="6"/>
      <c r="I36" s="6"/>
      <c r="J36" s="6"/>
      <c r="K36" s="6"/>
      <c r="L36" s="6"/>
      <c r="M36" s="6"/>
      <c r="N36" s="7">
        <f t="shared" si="11"/>
        <v>0</v>
      </c>
      <c r="O36" s="8">
        <f t="shared" si="12"/>
        <v>10000</v>
      </c>
      <c r="P36" s="6"/>
      <c r="Q36" s="6"/>
      <c r="R36" s="6"/>
      <c r="S36" s="6"/>
      <c r="T36" s="6"/>
      <c r="U36" s="6"/>
      <c r="V36" s="6"/>
      <c r="W36" s="7">
        <f t="shared" si="13"/>
        <v>0</v>
      </c>
      <c r="X36" s="8">
        <f t="shared" si="14"/>
        <v>7500</v>
      </c>
      <c r="Y36" s="6"/>
      <c r="Z36" s="6"/>
      <c r="AA36" s="6"/>
      <c r="AB36" s="6"/>
      <c r="AC36" s="6"/>
      <c r="AD36" s="6"/>
      <c r="AE36" s="6"/>
      <c r="AF36" s="7">
        <f t="shared" si="15"/>
        <v>0</v>
      </c>
      <c r="AG36" s="8">
        <f t="shared" si="16"/>
        <v>3750</v>
      </c>
      <c r="AH36" s="6"/>
      <c r="AI36" s="6"/>
      <c r="AJ36" s="6"/>
      <c r="AK36" s="6"/>
      <c r="AL36" s="6"/>
      <c r="AM36" s="6"/>
      <c r="AN36" s="6"/>
      <c r="AO36" s="6"/>
      <c r="AP36" s="6"/>
      <c r="AQ36" s="7">
        <f t="shared" si="17"/>
        <v>0</v>
      </c>
      <c r="AR36" s="8">
        <f t="shared" si="18"/>
        <v>3750</v>
      </c>
      <c r="AS36" s="7">
        <f t="shared" si="19"/>
        <v>0</v>
      </c>
      <c r="AT36" s="8">
        <f t="shared" si="20"/>
        <v>-25000</v>
      </c>
      <c r="AU36" s="21">
        <f t="shared" si="21"/>
        <v>0</v>
      </c>
      <c r="AV36" s="22"/>
    </row>
    <row r="37" spans="1:48" ht="18.95">
      <c r="A37" s="16">
        <v>36</v>
      </c>
      <c r="B37" s="17" t="s">
        <v>103</v>
      </c>
      <c r="C37" s="3" t="s">
        <v>68</v>
      </c>
      <c r="D37" s="15" t="s">
        <v>278</v>
      </c>
      <c r="E37" s="5">
        <v>0</v>
      </c>
      <c r="F37" s="6"/>
      <c r="G37" s="6"/>
      <c r="H37" s="6"/>
      <c r="I37" s="6"/>
      <c r="J37" s="6"/>
      <c r="K37" s="6"/>
      <c r="L37" s="6"/>
      <c r="M37" s="6"/>
      <c r="N37" s="7">
        <f t="shared" si="11"/>
        <v>0</v>
      </c>
      <c r="O37" s="8">
        <f t="shared" si="12"/>
        <v>0</v>
      </c>
      <c r="P37" s="6"/>
      <c r="Q37" s="6"/>
      <c r="R37" s="6"/>
      <c r="S37" s="6"/>
      <c r="T37" s="6"/>
      <c r="U37" s="6"/>
      <c r="V37" s="6"/>
      <c r="W37" s="7">
        <f t="shared" si="13"/>
        <v>0</v>
      </c>
      <c r="X37" s="8">
        <f t="shared" si="14"/>
        <v>0</v>
      </c>
      <c r="Y37" s="6"/>
      <c r="Z37" s="6"/>
      <c r="AA37" s="6"/>
      <c r="AB37" s="6"/>
      <c r="AC37" s="6"/>
      <c r="AD37" s="6"/>
      <c r="AE37" s="6"/>
      <c r="AF37" s="7">
        <f t="shared" si="15"/>
        <v>0</v>
      </c>
      <c r="AG37" s="8">
        <f t="shared" si="16"/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7">
        <f t="shared" si="17"/>
        <v>0</v>
      </c>
      <c r="AR37" s="8">
        <f t="shared" si="18"/>
        <v>0</v>
      </c>
      <c r="AS37" s="7">
        <f t="shared" si="19"/>
        <v>0</v>
      </c>
      <c r="AT37" s="8">
        <f t="shared" si="20"/>
        <v>0</v>
      </c>
      <c r="AU37" s="21" t="e">
        <f t="shared" si="21"/>
        <v>#DIV/0!</v>
      </c>
      <c r="AV37" s="22"/>
    </row>
    <row r="38" spans="1:48" ht="18.95">
      <c r="A38" s="16">
        <v>37</v>
      </c>
      <c r="B38" s="17" t="s">
        <v>103</v>
      </c>
      <c r="C38" s="3" t="s">
        <v>68</v>
      </c>
      <c r="D38" s="4" t="s">
        <v>279</v>
      </c>
      <c r="E38" s="5">
        <v>0</v>
      </c>
      <c r="F38" s="6"/>
      <c r="G38" s="6"/>
      <c r="H38" s="6"/>
      <c r="I38" s="6"/>
      <c r="J38" s="6"/>
      <c r="K38" s="6"/>
      <c r="L38" s="6"/>
      <c r="M38" s="6"/>
      <c r="N38" s="7">
        <f t="shared" si="11"/>
        <v>0</v>
      </c>
      <c r="O38" s="8">
        <f t="shared" si="12"/>
        <v>0</v>
      </c>
      <c r="P38" s="6"/>
      <c r="Q38" s="6"/>
      <c r="R38" s="6"/>
      <c r="S38" s="6"/>
      <c r="T38" s="6"/>
      <c r="U38" s="6"/>
      <c r="V38" s="6"/>
      <c r="W38" s="7">
        <f t="shared" si="13"/>
        <v>0</v>
      </c>
      <c r="X38" s="8">
        <f t="shared" si="14"/>
        <v>0</v>
      </c>
      <c r="Y38" s="6"/>
      <c r="Z38" s="6"/>
      <c r="AA38" s="6"/>
      <c r="AB38" s="6"/>
      <c r="AC38" s="6"/>
      <c r="AD38" s="6"/>
      <c r="AE38" s="6"/>
      <c r="AF38" s="7">
        <f t="shared" si="15"/>
        <v>0</v>
      </c>
      <c r="AG38" s="8">
        <f t="shared" si="16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7">
        <f t="shared" si="17"/>
        <v>0</v>
      </c>
      <c r="AR38" s="8">
        <f t="shared" si="18"/>
        <v>0</v>
      </c>
      <c r="AS38" s="7">
        <f t="shared" si="19"/>
        <v>0</v>
      </c>
      <c r="AT38" s="8">
        <f t="shared" si="20"/>
        <v>0</v>
      </c>
      <c r="AU38" s="21" t="e">
        <f t="shared" si="21"/>
        <v>#DIV/0!</v>
      </c>
      <c r="AV38" s="22"/>
    </row>
    <row r="39" spans="1:48" ht="18.95">
      <c r="A39" s="16">
        <v>38</v>
      </c>
      <c r="B39" s="17" t="s">
        <v>103</v>
      </c>
      <c r="C39" s="3" t="s">
        <v>68</v>
      </c>
      <c r="D39" s="4" t="s">
        <v>106</v>
      </c>
      <c r="E39" s="5">
        <v>0</v>
      </c>
      <c r="F39" s="6"/>
      <c r="G39" s="6"/>
      <c r="H39" s="6"/>
      <c r="I39" s="6"/>
      <c r="J39" s="6"/>
      <c r="K39" s="6"/>
      <c r="L39" s="6"/>
      <c r="M39" s="6"/>
      <c r="N39" s="7">
        <f t="shared" si="11"/>
        <v>0</v>
      </c>
      <c r="O39" s="8">
        <f t="shared" si="12"/>
        <v>0</v>
      </c>
      <c r="P39" s="6"/>
      <c r="Q39" s="6"/>
      <c r="R39" s="6"/>
      <c r="S39" s="6"/>
      <c r="T39" s="6"/>
      <c r="U39" s="6"/>
      <c r="V39" s="6"/>
      <c r="W39" s="7">
        <f t="shared" si="13"/>
        <v>0</v>
      </c>
      <c r="X39" s="8">
        <f t="shared" si="14"/>
        <v>0</v>
      </c>
      <c r="Y39" s="6"/>
      <c r="Z39" s="6"/>
      <c r="AA39" s="6"/>
      <c r="AB39" s="6"/>
      <c r="AC39" s="6"/>
      <c r="AD39" s="6"/>
      <c r="AE39" s="6"/>
      <c r="AF39" s="7">
        <f t="shared" si="15"/>
        <v>0</v>
      </c>
      <c r="AG39" s="8">
        <f t="shared" si="16"/>
        <v>0</v>
      </c>
      <c r="AH39" s="6"/>
      <c r="AI39" s="6"/>
      <c r="AJ39" s="6"/>
      <c r="AK39" s="6"/>
      <c r="AL39" s="6"/>
      <c r="AM39" s="6"/>
      <c r="AN39" s="6"/>
      <c r="AO39" s="6"/>
      <c r="AP39" s="6"/>
      <c r="AQ39" s="7">
        <f t="shared" si="17"/>
        <v>0</v>
      </c>
      <c r="AR39" s="8">
        <f t="shared" si="18"/>
        <v>0</v>
      </c>
      <c r="AS39" s="7">
        <f t="shared" si="19"/>
        <v>0</v>
      </c>
      <c r="AT39" s="8">
        <f t="shared" si="20"/>
        <v>0</v>
      </c>
      <c r="AU39" s="21" t="e">
        <f t="shared" si="21"/>
        <v>#DIV/0!</v>
      </c>
      <c r="AV39" s="22"/>
    </row>
    <row r="40" spans="1:48" ht="18.95">
      <c r="A40" s="16">
        <v>39</v>
      </c>
      <c r="B40" s="17" t="s">
        <v>103</v>
      </c>
      <c r="C40" s="3" t="s">
        <v>68</v>
      </c>
      <c r="D40" s="4" t="s">
        <v>280</v>
      </c>
      <c r="E40" s="5">
        <v>11000</v>
      </c>
      <c r="F40" s="6"/>
      <c r="G40" s="6"/>
      <c r="H40" s="6"/>
      <c r="I40" s="6"/>
      <c r="J40" s="6"/>
      <c r="K40" s="6"/>
      <c r="L40" s="6"/>
      <c r="M40" s="6"/>
      <c r="N40" s="7">
        <f t="shared" si="11"/>
        <v>0</v>
      </c>
      <c r="O40" s="8">
        <f t="shared" si="12"/>
        <v>4400</v>
      </c>
      <c r="P40" s="6"/>
      <c r="Q40" s="6"/>
      <c r="R40" s="6"/>
      <c r="S40" s="6"/>
      <c r="T40" s="6"/>
      <c r="U40" s="6"/>
      <c r="V40" s="6"/>
      <c r="W40" s="7">
        <f t="shared" si="13"/>
        <v>0</v>
      </c>
      <c r="X40" s="8">
        <f t="shared" si="14"/>
        <v>3300</v>
      </c>
      <c r="Y40" s="6"/>
      <c r="Z40" s="6"/>
      <c r="AA40" s="6"/>
      <c r="AB40" s="6"/>
      <c r="AC40" s="6"/>
      <c r="AD40" s="6"/>
      <c r="AE40" s="6"/>
      <c r="AF40" s="7">
        <f t="shared" si="15"/>
        <v>0</v>
      </c>
      <c r="AG40" s="8">
        <f t="shared" si="16"/>
        <v>1650</v>
      </c>
      <c r="AH40" s="6"/>
      <c r="AI40" s="6"/>
      <c r="AJ40" s="6"/>
      <c r="AK40" s="6"/>
      <c r="AL40" s="6"/>
      <c r="AM40" s="6"/>
      <c r="AN40" s="6"/>
      <c r="AO40" s="6"/>
      <c r="AP40" s="6"/>
      <c r="AQ40" s="7">
        <f t="shared" si="17"/>
        <v>0</v>
      </c>
      <c r="AR40" s="8">
        <f t="shared" si="18"/>
        <v>1650</v>
      </c>
      <c r="AS40" s="7">
        <f t="shared" si="19"/>
        <v>0</v>
      </c>
      <c r="AT40" s="8">
        <f t="shared" si="20"/>
        <v>-11000</v>
      </c>
      <c r="AU40" s="21">
        <f t="shared" si="21"/>
        <v>0</v>
      </c>
      <c r="AV40" s="22"/>
    </row>
    <row r="41" spans="1:48" ht="18.95">
      <c r="A41" s="16">
        <v>40</v>
      </c>
      <c r="B41" s="17" t="s">
        <v>103</v>
      </c>
      <c r="C41" s="3" t="s">
        <v>68</v>
      </c>
      <c r="D41" s="4" t="s">
        <v>281</v>
      </c>
      <c r="E41" s="5">
        <v>0</v>
      </c>
      <c r="F41" s="6"/>
      <c r="G41" s="6"/>
      <c r="H41" s="6"/>
      <c r="I41" s="6"/>
      <c r="J41" s="6"/>
      <c r="K41" s="6"/>
      <c r="L41" s="6"/>
      <c r="M41" s="6"/>
      <c r="N41" s="7">
        <f t="shared" si="11"/>
        <v>0</v>
      </c>
      <c r="O41" s="8">
        <f t="shared" si="12"/>
        <v>0</v>
      </c>
      <c r="P41" s="6"/>
      <c r="Q41" s="6"/>
      <c r="R41" s="6"/>
      <c r="S41" s="6"/>
      <c r="T41" s="6"/>
      <c r="U41" s="6"/>
      <c r="V41" s="6"/>
      <c r="W41" s="7">
        <f t="shared" si="13"/>
        <v>0</v>
      </c>
      <c r="X41" s="8">
        <f t="shared" si="14"/>
        <v>0</v>
      </c>
      <c r="Y41" s="6"/>
      <c r="Z41" s="6"/>
      <c r="AA41" s="6"/>
      <c r="AB41" s="6"/>
      <c r="AC41" s="6"/>
      <c r="AD41" s="6"/>
      <c r="AE41" s="6"/>
      <c r="AF41" s="7">
        <f t="shared" si="15"/>
        <v>0</v>
      </c>
      <c r="AG41" s="8">
        <f t="shared" si="16"/>
        <v>0</v>
      </c>
      <c r="AH41" s="6"/>
      <c r="AI41" s="6"/>
      <c r="AJ41" s="6"/>
      <c r="AK41" s="6"/>
      <c r="AL41" s="6"/>
      <c r="AM41" s="6"/>
      <c r="AN41" s="6"/>
      <c r="AO41" s="6"/>
      <c r="AP41" s="6"/>
      <c r="AQ41" s="7">
        <f t="shared" si="17"/>
        <v>0</v>
      </c>
      <c r="AR41" s="8">
        <f t="shared" si="18"/>
        <v>0</v>
      </c>
      <c r="AS41" s="7">
        <f t="shared" si="19"/>
        <v>0</v>
      </c>
      <c r="AT41" s="8">
        <f t="shared" si="20"/>
        <v>0</v>
      </c>
      <c r="AU41" s="21" t="e">
        <f t="shared" si="21"/>
        <v>#DIV/0!</v>
      </c>
      <c r="AV41" s="22"/>
    </row>
    <row r="42" spans="1:48" ht="18.95">
      <c r="A42" s="16">
        <v>41</v>
      </c>
      <c r="B42" s="17" t="s">
        <v>92</v>
      </c>
      <c r="C42" s="3" t="s">
        <v>68</v>
      </c>
      <c r="D42" s="4" t="s">
        <v>282</v>
      </c>
      <c r="E42" s="5">
        <v>14500</v>
      </c>
      <c r="F42" s="6"/>
      <c r="G42" s="6"/>
      <c r="H42" s="6"/>
      <c r="I42" s="6"/>
      <c r="J42" s="6"/>
      <c r="K42" s="6"/>
      <c r="L42" s="6"/>
      <c r="M42" s="6"/>
      <c r="N42" s="7">
        <f t="shared" si="11"/>
        <v>0</v>
      </c>
      <c r="O42" s="8">
        <f t="shared" si="12"/>
        <v>5800</v>
      </c>
      <c r="P42" s="6"/>
      <c r="Q42" s="6"/>
      <c r="R42" s="6"/>
      <c r="S42" s="6"/>
      <c r="T42" s="6"/>
      <c r="U42" s="6"/>
      <c r="V42" s="6"/>
      <c r="W42" s="7">
        <f t="shared" si="13"/>
        <v>0</v>
      </c>
      <c r="X42" s="8">
        <f t="shared" si="14"/>
        <v>4350</v>
      </c>
      <c r="Y42" s="6"/>
      <c r="Z42" s="6"/>
      <c r="AA42" s="6"/>
      <c r="AB42" s="6"/>
      <c r="AC42" s="6"/>
      <c r="AD42" s="6"/>
      <c r="AE42" s="6"/>
      <c r="AF42" s="7">
        <f t="shared" si="15"/>
        <v>0</v>
      </c>
      <c r="AG42" s="8">
        <f t="shared" si="16"/>
        <v>2175</v>
      </c>
      <c r="AH42" s="6"/>
      <c r="AI42" s="6"/>
      <c r="AJ42" s="6"/>
      <c r="AK42" s="6"/>
      <c r="AL42" s="6"/>
      <c r="AM42" s="6"/>
      <c r="AN42" s="6"/>
      <c r="AO42" s="6"/>
      <c r="AP42" s="6"/>
      <c r="AQ42" s="7">
        <f t="shared" si="17"/>
        <v>0</v>
      </c>
      <c r="AR42" s="8">
        <f t="shared" si="18"/>
        <v>2175</v>
      </c>
      <c r="AS42" s="7">
        <f t="shared" si="19"/>
        <v>0</v>
      </c>
      <c r="AT42" s="8">
        <f t="shared" si="20"/>
        <v>-14500</v>
      </c>
      <c r="AU42" s="21">
        <f t="shared" si="21"/>
        <v>0</v>
      </c>
      <c r="AV42" s="22"/>
    </row>
    <row r="43" spans="1:48" ht="18.95">
      <c r="A43" s="16">
        <v>42</v>
      </c>
      <c r="B43" s="17" t="s">
        <v>92</v>
      </c>
      <c r="C43" s="3" t="s">
        <v>68</v>
      </c>
      <c r="D43" s="4" t="s">
        <v>283</v>
      </c>
      <c r="E43" s="5">
        <v>48000</v>
      </c>
      <c r="F43" s="6"/>
      <c r="G43" s="6"/>
      <c r="H43" s="6"/>
      <c r="I43" s="6"/>
      <c r="J43" s="6"/>
      <c r="K43" s="6"/>
      <c r="L43" s="6"/>
      <c r="M43" s="6"/>
      <c r="N43" s="7">
        <f t="shared" si="11"/>
        <v>0</v>
      </c>
      <c r="O43" s="8">
        <f t="shared" si="12"/>
        <v>19200</v>
      </c>
      <c r="P43" s="6"/>
      <c r="Q43" s="6"/>
      <c r="R43" s="6"/>
      <c r="S43" s="6"/>
      <c r="T43" s="6"/>
      <c r="U43" s="6"/>
      <c r="V43" s="6"/>
      <c r="W43" s="7">
        <f t="shared" si="13"/>
        <v>0</v>
      </c>
      <c r="X43" s="8">
        <f t="shared" si="14"/>
        <v>14400</v>
      </c>
      <c r="Y43" s="6"/>
      <c r="Z43" s="6"/>
      <c r="AA43" s="6"/>
      <c r="AB43" s="6"/>
      <c r="AC43" s="6"/>
      <c r="AD43" s="6"/>
      <c r="AE43" s="6"/>
      <c r="AF43" s="7">
        <f t="shared" si="15"/>
        <v>0</v>
      </c>
      <c r="AG43" s="8">
        <f t="shared" si="16"/>
        <v>7200</v>
      </c>
      <c r="AH43" s="6"/>
      <c r="AI43" s="6"/>
      <c r="AJ43" s="6"/>
      <c r="AK43" s="6"/>
      <c r="AL43" s="6"/>
      <c r="AM43" s="6"/>
      <c r="AN43" s="6"/>
      <c r="AO43" s="6"/>
      <c r="AP43" s="6"/>
      <c r="AQ43" s="7">
        <f t="shared" si="17"/>
        <v>0</v>
      </c>
      <c r="AR43" s="8">
        <f t="shared" si="18"/>
        <v>7200</v>
      </c>
      <c r="AS43" s="7">
        <f t="shared" si="19"/>
        <v>0</v>
      </c>
      <c r="AT43" s="8">
        <f t="shared" si="20"/>
        <v>-48000</v>
      </c>
      <c r="AU43" s="21">
        <f t="shared" si="21"/>
        <v>0</v>
      </c>
      <c r="AV43" s="22"/>
    </row>
    <row r="44" spans="1:48" ht="18.95">
      <c r="A44" s="16">
        <v>43</v>
      </c>
      <c r="B44" s="17" t="s">
        <v>92</v>
      </c>
      <c r="C44" s="3" t="s">
        <v>68</v>
      </c>
      <c r="D44" s="4" t="s">
        <v>284</v>
      </c>
      <c r="E44" s="5">
        <v>13000</v>
      </c>
      <c r="F44" s="6"/>
      <c r="G44" s="6"/>
      <c r="H44" s="6"/>
      <c r="I44" s="6"/>
      <c r="J44" s="6"/>
      <c r="K44" s="6"/>
      <c r="L44" s="6"/>
      <c r="M44" s="6"/>
      <c r="N44" s="7">
        <f t="shared" si="11"/>
        <v>0</v>
      </c>
      <c r="O44" s="8">
        <f t="shared" si="12"/>
        <v>5200</v>
      </c>
      <c r="P44" s="6"/>
      <c r="Q44" s="6"/>
      <c r="R44" s="6"/>
      <c r="S44" s="6">
        <v>926</v>
      </c>
      <c r="T44" s="6"/>
      <c r="U44" s="6"/>
      <c r="V44" s="6"/>
      <c r="W44" s="7">
        <f t="shared" si="13"/>
        <v>926</v>
      </c>
      <c r="X44" s="8">
        <f t="shared" si="14"/>
        <v>3900</v>
      </c>
      <c r="Y44" s="6"/>
      <c r="Z44" s="6"/>
      <c r="AA44" s="6"/>
      <c r="AB44" s="6"/>
      <c r="AC44" s="6"/>
      <c r="AD44" s="6"/>
      <c r="AE44" s="6"/>
      <c r="AF44" s="7">
        <f t="shared" si="15"/>
        <v>0</v>
      </c>
      <c r="AG44" s="8">
        <f t="shared" si="16"/>
        <v>1950</v>
      </c>
      <c r="AH44" s="6"/>
      <c r="AI44" s="6"/>
      <c r="AJ44" s="6"/>
      <c r="AK44" s="6"/>
      <c r="AL44" s="6"/>
      <c r="AM44" s="6"/>
      <c r="AN44" s="6"/>
      <c r="AO44" s="6"/>
      <c r="AP44" s="6"/>
      <c r="AQ44" s="7">
        <f t="shared" si="17"/>
        <v>0</v>
      </c>
      <c r="AR44" s="8">
        <f t="shared" si="18"/>
        <v>1950</v>
      </c>
      <c r="AS44" s="7">
        <f t="shared" si="19"/>
        <v>926</v>
      </c>
      <c r="AT44" s="8">
        <f t="shared" si="20"/>
        <v>-12074</v>
      </c>
      <c r="AU44" s="21">
        <f t="shared" si="21"/>
        <v>7.1230769230769236E-2</v>
      </c>
      <c r="AV44" s="22"/>
    </row>
    <row r="45" spans="1:48" ht="18.95">
      <c r="A45" s="16">
        <v>44</v>
      </c>
      <c r="B45" s="17" t="s">
        <v>108</v>
      </c>
      <c r="C45" s="18" t="s">
        <v>68</v>
      </c>
      <c r="D45" s="11" t="s">
        <v>285</v>
      </c>
      <c r="E45" s="5">
        <v>3000</v>
      </c>
      <c r="F45" s="6"/>
      <c r="G45" s="6"/>
      <c r="H45" s="6"/>
      <c r="I45" s="6"/>
      <c r="J45" s="6"/>
      <c r="K45" s="6"/>
      <c r="L45" s="6"/>
      <c r="M45" s="6"/>
      <c r="N45" s="7">
        <f t="shared" si="11"/>
        <v>0</v>
      </c>
      <c r="O45" s="8">
        <f t="shared" si="12"/>
        <v>1200</v>
      </c>
      <c r="P45" s="6"/>
      <c r="Q45" s="6"/>
      <c r="R45" s="6"/>
      <c r="S45" s="6">
        <v>820</v>
      </c>
      <c r="T45" s="6"/>
      <c r="U45" s="6"/>
      <c r="V45" s="6"/>
      <c r="W45" s="7">
        <f t="shared" si="13"/>
        <v>820</v>
      </c>
      <c r="X45" s="8">
        <f t="shared" si="14"/>
        <v>900</v>
      </c>
      <c r="Y45" s="6"/>
      <c r="Z45" s="6"/>
      <c r="AA45" s="6"/>
      <c r="AB45" s="6"/>
      <c r="AC45" s="6"/>
      <c r="AD45" s="6"/>
      <c r="AE45" s="6"/>
      <c r="AF45" s="7">
        <f t="shared" si="15"/>
        <v>0</v>
      </c>
      <c r="AG45" s="8">
        <f t="shared" si="16"/>
        <v>450</v>
      </c>
      <c r="AH45" s="6"/>
      <c r="AI45" s="6"/>
      <c r="AJ45" s="6"/>
      <c r="AK45" s="6"/>
      <c r="AL45" s="6"/>
      <c r="AM45" s="6"/>
      <c r="AN45" s="6"/>
      <c r="AO45" s="6"/>
      <c r="AP45" s="6"/>
      <c r="AQ45" s="7">
        <f t="shared" si="17"/>
        <v>0</v>
      </c>
      <c r="AR45" s="8">
        <f t="shared" si="18"/>
        <v>450</v>
      </c>
      <c r="AS45" s="7">
        <f t="shared" si="19"/>
        <v>820</v>
      </c>
      <c r="AT45" s="8">
        <f t="shared" si="20"/>
        <v>-2180</v>
      </c>
      <c r="AU45" s="21">
        <f t="shared" si="21"/>
        <v>0.27333333333333332</v>
      </c>
      <c r="AV45" s="22"/>
    </row>
    <row r="46" spans="1:48" ht="18.95">
      <c r="A46" s="16">
        <v>45</v>
      </c>
      <c r="B46" s="17" t="s">
        <v>108</v>
      </c>
      <c r="C46" s="18" t="s">
        <v>68</v>
      </c>
      <c r="D46" s="11" t="s">
        <v>286</v>
      </c>
      <c r="E46" s="5">
        <v>70000</v>
      </c>
      <c r="F46" s="6"/>
      <c r="G46" s="6"/>
      <c r="H46" s="6"/>
      <c r="I46" s="6"/>
      <c r="J46" s="6"/>
      <c r="K46" s="6"/>
      <c r="L46" s="6"/>
      <c r="M46" s="6"/>
      <c r="N46" s="7">
        <f t="shared" si="11"/>
        <v>0</v>
      </c>
      <c r="O46" s="8">
        <f t="shared" si="12"/>
        <v>28000</v>
      </c>
      <c r="P46" s="6">
        <v>3920</v>
      </c>
      <c r="Q46" s="6"/>
      <c r="R46" s="6"/>
      <c r="S46" s="6"/>
      <c r="T46" s="6"/>
      <c r="U46" s="6"/>
      <c r="V46" s="6"/>
      <c r="W46" s="7">
        <f t="shared" si="13"/>
        <v>3920</v>
      </c>
      <c r="X46" s="8">
        <f t="shared" si="14"/>
        <v>21000</v>
      </c>
      <c r="Y46" s="6"/>
      <c r="Z46" s="6"/>
      <c r="AA46" s="6"/>
      <c r="AB46" s="6"/>
      <c r="AC46" s="6"/>
      <c r="AD46" s="6"/>
      <c r="AE46" s="6"/>
      <c r="AF46" s="7">
        <f t="shared" si="15"/>
        <v>0</v>
      </c>
      <c r="AG46" s="8">
        <f t="shared" si="16"/>
        <v>10500</v>
      </c>
      <c r="AH46" s="6"/>
      <c r="AI46" s="6"/>
      <c r="AJ46" s="6"/>
      <c r="AK46" s="6"/>
      <c r="AL46" s="6"/>
      <c r="AM46" s="6"/>
      <c r="AN46" s="6"/>
      <c r="AO46" s="6"/>
      <c r="AP46" s="6"/>
      <c r="AQ46" s="7">
        <f t="shared" si="17"/>
        <v>0</v>
      </c>
      <c r="AR46" s="8">
        <f t="shared" si="18"/>
        <v>10500</v>
      </c>
      <c r="AS46" s="7">
        <f t="shared" si="19"/>
        <v>3920</v>
      </c>
      <c r="AT46" s="8">
        <f t="shared" si="20"/>
        <v>-66080</v>
      </c>
      <c r="AU46" s="21">
        <f t="shared" si="21"/>
        <v>5.6000000000000001E-2</v>
      </c>
      <c r="AV46" s="22"/>
    </row>
    <row r="47" spans="1:48" ht="18.95">
      <c r="A47" s="16">
        <v>46</v>
      </c>
      <c r="B47" s="17" t="s">
        <v>108</v>
      </c>
      <c r="C47" s="18" t="s">
        <v>68</v>
      </c>
      <c r="D47" s="11" t="s">
        <v>287</v>
      </c>
      <c r="E47" s="5">
        <v>70000</v>
      </c>
      <c r="F47" s="6"/>
      <c r="G47" s="6"/>
      <c r="H47" s="6"/>
      <c r="I47" s="6"/>
      <c r="J47" s="6"/>
      <c r="K47" s="6"/>
      <c r="L47" s="6"/>
      <c r="M47" s="6"/>
      <c r="N47" s="7">
        <f t="shared" si="11"/>
        <v>0</v>
      </c>
      <c r="O47" s="8">
        <f t="shared" si="12"/>
        <v>28000</v>
      </c>
      <c r="P47" s="6">
        <v>3000</v>
      </c>
      <c r="Q47" s="6"/>
      <c r="R47" s="6"/>
      <c r="S47" s="6"/>
      <c r="T47" s="6"/>
      <c r="U47" s="6"/>
      <c r="V47" s="6"/>
      <c r="W47" s="7">
        <f t="shared" si="13"/>
        <v>3000</v>
      </c>
      <c r="X47" s="8">
        <f t="shared" si="14"/>
        <v>21000</v>
      </c>
      <c r="Y47" s="6"/>
      <c r="Z47" s="6"/>
      <c r="AA47" s="6"/>
      <c r="AB47" s="6"/>
      <c r="AC47" s="6"/>
      <c r="AD47" s="6"/>
      <c r="AE47" s="6"/>
      <c r="AF47" s="7">
        <f t="shared" si="15"/>
        <v>0</v>
      </c>
      <c r="AG47" s="8">
        <f t="shared" si="16"/>
        <v>10500</v>
      </c>
      <c r="AH47" s="6"/>
      <c r="AI47" s="6"/>
      <c r="AJ47" s="6"/>
      <c r="AK47" s="6"/>
      <c r="AL47" s="6"/>
      <c r="AM47" s="6"/>
      <c r="AN47" s="6"/>
      <c r="AO47" s="6"/>
      <c r="AP47" s="6"/>
      <c r="AQ47" s="7">
        <f t="shared" si="17"/>
        <v>0</v>
      </c>
      <c r="AR47" s="8">
        <f t="shared" si="18"/>
        <v>10500</v>
      </c>
      <c r="AS47" s="7">
        <f t="shared" si="19"/>
        <v>3000</v>
      </c>
      <c r="AT47" s="8">
        <f t="shared" si="20"/>
        <v>-67000</v>
      </c>
      <c r="AU47" s="21">
        <f t="shared" si="21"/>
        <v>4.2857142857142858E-2</v>
      </c>
      <c r="AV47" s="22"/>
    </row>
    <row r="48" spans="1:48" ht="18.95">
      <c r="A48" s="16">
        <v>47</v>
      </c>
      <c r="B48" s="17" t="s">
        <v>108</v>
      </c>
      <c r="C48" s="18" t="s">
        <v>68</v>
      </c>
      <c r="D48" s="11" t="s">
        <v>288</v>
      </c>
      <c r="E48" s="5">
        <v>70000</v>
      </c>
      <c r="F48" s="6"/>
      <c r="G48" s="6"/>
      <c r="H48" s="6"/>
      <c r="I48" s="6"/>
      <c r="J48" s="6"/>
      <c r="K48" s="6"/>
      <c r="L48" s="6"/>
      <c r="M48" s="6"/>
      <c r="N48" s="7">
        <f t="shared" si="11"/>
        <v>0</v>
      </c>
      <c r="O48" s="8">
        <f t="shared" si="12"/>
        <v>28000</v>
      </c>
      <c r="P48" s="6"/>
      <c r="Q48" s="6"/>
      <c r="R48" s="6"/>
      <c r="S48" s="6"/>
      <c r="T48" s="6"/>
      <c r="U48" s="6"/>
      <c r="V48" s="6"/>
      <c r="W48" s="7">
        <f t="shared" si="13"/>
        <v>0</v>
      </c>
      <c r="X48" s="8">
        <f t="shared" si="14"/>
        <v>21000</v>
      </c>
      <c r="Y48" s="6"/>
      <c r="Z48" s="6"/>
      <c r="AA48" s="6"/>
      <c r="AB48" s="6"/>
      <c r="AC48" s="6"/>
      <c r="AD48" s="6"/>
      <c r="AE48" s="6"/>
      <c r="AF48" s="7">
        <f t="shared" si="15"/>
        <v>0</v>
      </c>
      <c r="AG48" s="8">
        <f t="shared" si="16"/>
        <v>10500</v>
      </c>
      <c r="AH48" s="6"/>
      <c r="AI48" s="6"/>
      <c r="AJ48" s="6"/>
      <c r="AK48" s="6"/>
      <c r="AL48" s="6"/>
      <c r="AM48" s="6"/>
      <c r="AN48" s="6"/>
      <c r="AO48" s="6"/>
      <c r="AP48" s="6"/>
      <c r="AQ48" s="7">
        <f t="shared" si="17"/>
        <v>0</v>
      </c>
      <c r="AR48" s="8">
        <f t="shared" si="18"/>
        <v>10500</v>
      </c>
      <c r="AS48" s="7">
        <f t="shared" si="19"/>
        <v>0</v>
      </c>
      <c r="AT48" s="8">
        <f t="shared" si="20"/>
        <v>-70000</v>
      </c>
      <c r="AU48" s="21">
        <f t="shared" si="21"/>
        <v>0</v>
      </c>
      <c r="AV48" s="22"/>
    </row>
    <row r="49" spans="1:48" ht="18.95">
      <c r="A49" s="16">
        <v>48</v>
      </c>
      <c r="B49" s="17" t="s">
        <v>108</v>
      </c>
      <c r="C49" s="18" t="s">
        <v>68</v>
      </c>
      <c r="D49" s="11" t="s">
        <v>289</v>
      </c>
      <c r="E49" s="5">
        <v>17000</v>
      </c>
      <c r="F49" s="6"/>
      <c r="G49" s="6"/>
      <c r="H49" s="6"/>
      <c r="I49" s="6"/>
      <c r="J49" s="6"/>
      <c r="K49" s="6"/>
      <c r="L49" s="6"/>
      <c r="M49" s="6"/>
      <c r="N49" s="7">
        <f t="shared" si="11"/>
        <v>0</v>
      </c>
      <c r="O49" s="8">
        <f t="shared" si="12"/>
        <v>6800</v>
      </c>
      <c r="P49" s="6"/>
      <c r="Q49" s="6"/>
      <c r="R49" s="6"/>
      <c r="S49" s="6"/>
      <c r="T49" s="6"/>
      <c r="U49" s="6"/>
      <c r="V49" s="6"/>
      <c r="W49" s="7">
        <f t="shared" si="13"/>
        <v>0</v>
      </c>
      <c r="X49" s="8">
        <f t="shared" si="14"/>
        <v>5100</v>
      </c>
      <c r="Y49" s="6"/>
      <c r="Z49" s="6"/>
      <c r="AA49" s="6"/>
      <c r="AB49" s="6"/>
      <c r="AC49" s="6"/>
      <c r="AD49" s="6"/>
      <c r="AE49" s="6"/>
      <c r="AF49" s="7">
        <f t="shared" si="15"/>
        <v>0</v>
      </c>
      <c r="AG49" s="8">
        <f t="shared" si="16"/>
        <v>2550</v>
      </c>
      <c r="AH49" s="6"/>
      <c r="AI49" s="6"/>
      <c r="AJ49" s="6"/>
      <c r="AK49" s="6"/>
      <c r="AL49" s="6"/>
      <c r="AM49" s="6"/>
      <c r="AN49" s="6"/>
      <c r="AO49" s="6"/>
      <c r="AP49" s="6"/>
      <c r="AQ49" s="7">
        <f t="shared" si="17"/>
        <v>0</v>
      </c>
      <c r="AR49" s="8">
        <f t="shared" si="18"/>
        <v>2550</v>
      </c>
      <c r="AS49" s="7">
        <f t="shared" si="19"/>
        <v>0</v>
      </c>
      <c r="AT49" s="8">
        <f t="shared" si="20"/>
        <v>-17000</v>
      </c>
      <c r="AU49" s="21">
        <f t="shared" si="21"/>
        <v>0</v>
      </c>
      <c r="AV49" s="22"/>
    </row>
    <row r="50" spans="1:48" ht="18.95">
      <c r="A50" s="16">
        <v>49</v>
      </c>
      <c r="B50" s="17" t="s">
        <v>108</v>
      </c>
      <c r="C50" s="18" t="s">
        <v>68</v>
      </c>
      <c r="D50" s="11" t="s">
        <v>290</v>
      </c>
      <c r="E50" s="5">
        <v>1600</v>
      </c>
      <c r="F50" s="6"/>
      <c r="G50" s="6"/>
      <c r="H50" s="6"/>
      <c r="I50" s="6"/>
      <c r="J50" s="6"/>
      <c r="K50" s="6"/>
      <c r="L50" s="6"/>
      <c r="M50" s="6"/>
      <c r="N50" s="7">
        <f t="shared" si="11"/>
        <v>0</v>
      </c>
      <c r="O50" s="8">
        <f t="shared" si="12"/>
        <v>640</v>
      </c>
      <c r="P50" s="6"/>
      <c r="Q50" s="6"/>
      <c r="R50" s="6"/>
      <c r="S50" s="6"/>
      <c r="T50" s="6"/>
      <c r="U50" s="6"/>
      <c r="V50" s="6"/>
      <c r="W50" s="7">
        <f t="shared" si="13"/>
        <v>0</v>
      </c>
      <c r="X50" s="8">
        <f t="shared" si="14"/>
        <v>480</v>
      </c>
      <c r="Y50" s="6"/>
      <c r="Z50" s="6"/>
      <c r="AA50" s="6"/>
      <c r="AB50" s="6"/>
      <c r="AC50" s="6"/>
      <c r="AD50" s="6"/>
      <c r="AE50" s="6"/>
      <c r="AF50" s="7">
        <f t="shared" si="15"/>
        <v>0</v>
      </c>
      <c r="AG50" s="8">
        <f t="shared" si="16"/>
        <v>240</v>
      </c>
      <c r="AH50" s="6"/>
      <c r="AI50" s="6"/>
      <c r="AJ50" s="6"/>
      <c r="AK50" s="6"/>
      <c r="AL50" s="6"/>
      <c r="AM50" s="6"/>
      <c r="AN50" s="6"/>
      <c r="AO50" s="6"/>
      <c r="AP50" s="6"/>
      <c r="AQ50" s="7">
        <f t="shared" si="17"/>
        <v>0</v>
      </c>
      <c r="AR50" s="8">
        <f t="shared" si="18"/>
        <v>240</v>
      </c>
      <c r="AS50" s="7">
        <f t="shared" si="19"/>
        <v>0</v>
      </c>
      <c r="AT50" s="8">
        <f t="shared" si="20"/>
        <v>-1600</v>
      </c>
      <c r="AU50" s="21">
        <f t="shared" si="21"/>
        <v>0</v>
      </c>
      <c r="AV50" s="22"/>
    </row>
    <row r="51" spans="1:48" ht="18.95">
      <c r="A51" s="16">
        <v>50</v>
      </c>
      <c r="B51" s="17" t="s">
        <v>108</v>
      </c>
      <c r="C51" s="18" t="s">
        <v>68</v>
      </c>
      <c r="D51" s="11" t="s">
        <v>291</v>
      </c>
      <c r="E51" s="5">
        <v>5300</v>
      </c>
      <c r="F51" s="6"/>
      <c r="G51" s="6"/>
      <c r="H51" s="6"/>
      <c r="I51" s="6"/>
      <c r="J51" s="6"/>
      <c r="K51" s="6"/>
      <c r="L51" s="6"/>
      <c r="M51" s="6"/>
      <c r="N51" s="7">
        <f t="shared" si="11"/>
        <v>0</v>
      </c>
      <c r="O51" s="8">
        <f t="shared" si="12"/>
        <v>2120</v>
      </c>
      <c r="P51" s="6"/>
      <c r="Q51" s="6"/>
      <c r="R51" s="6"/>
      <c r="S51" s="6"/>
      <c r="T51" s="6"/>
      <c r="U51" s="6"/>
      <c r="V51" s="6"/>
      <c r="W51" s="7">
        <f t="shared" si="13"/>
        <v>0</v>
      </c>
      <c r="X51" s="8">
        <f t="shared" si="14"/>
        <v>1590</v>
      </c>
      <c r="Y51" s="6"/>
      <c r="Z51" s="6"/>
      <c r="AA51" s="6"/>
      <c r="AB51" s="6"/>
      <c r="AC51" s="6"/>
      <c r="AD51" s="6"/>
      <c r="AE51" s="6"/>
      <c r="AF51" s="7">
        <f t="shared" si="15"/>
        <v>0</v>
      </c>
      <c r="AG51" s="8">
        <f t="shared" si="16"/>
        <v>795</v>
      </c>
      <c r="AH51" s="6"/>
      <c r="AI51" s="6"/>
      <c r="AJ51" s="6"/>
      <c r="AK51" s="6"/>
      <c r="AL51" s="6"/>
      <c r="AM51" s="6"/>
      <c r="AN51" s="6"/>
      <c r="AO51" s="6"/>
      <c r="AP51" s="6"/>
      <c r="AQ51" s="7">
        <f t="shared" si="17"/>
        <v>0</v>
      </c>
      <c r="AR51" s="8">
        <f t="shared" si="18"/>
        <v>795</v>
      </c>
      <c r="AS51" s="7">
        <f t="shared" si="19"/>
        <v>0</v>
      </c>
      <c r="AT51" s="8">
        <f t="shared" si="20"/>
        <v>-5300</v>
      </c>
      <c r="AU51" s="21">
        <f t="shared" si="21"/>
        <v>0</v>
      </c>
      <c r="AV51" s="22"/>
    </row>
    <row r="52" spans="1:48" ht="18.95">
      <c r="A52" s="16">
        <v>51</v>
      </c>
      <c r="B52" s="17" t="s">
        <v>108</v>
      </c>
      <c r="C52" s="18" t="s">
        <v>68</v>
      </c>
      <c r="D52" s="11" t="s">
        <v>292</v>
      </c>
      <c r="E52" s="5">
        <v>5200</v>
      </c>
      <c r="F52" s="6"/>
      <c r="G52" s="6"/>
      <c r="H52" s="6"/>
      <c r="I52" s="6"/>
      <c r="J52" s="6"/>
      <c r="K52" s="6"/>
      <c r="L52" s="6"/>
      <c r="M52" s="6"/>
      <c r="N52" s="7">
        <f t="shared" si="11"/>
        <v>0</v>
      </c>
      <c r="O52" s="8">
        <f t="shared" si="12"/>
        <v>2080</v>
      </c>
      <c r="P52" s="6"/>
      <c r="Q52" s="6"/>
      <c r="R52" s="6"/>
      <c r="S52" s="6"/>
      <c r="T52" s="6"/>
      <c r="U52" s="6"/>
      <c r="V52" s="6"/>
      <c r="W52" s="7">
        <f t="shared" si="13"/>
        <v>0</v>
      </c>
      <c r="X52" s="8">
        <f t="shared" si="14"/>
        <v>1560</v>
      </c>
      <c r="Y52" s="6"/>
      <c r="Z52" s="6"/>
      <c r="AA52" s="6"/>
      <c r="AB52" s="6"/>
      <c r="AC52" s="6"/>
      <c r="AD52" s="6"/>
      <c r="AE52" s="6"/>
      <c r="AF52" s="7">
        <f t="shared" si="15"/>
        <v>0</v>
      </c>
      <c r="AG52" s="8">
        <f t="shared" si="16"/>
        <v>780</v>
      </c>
      <c r="AH52" s="6"/>
      <c r="AI52" s="6"/>
      <c r="AJ52" s="6"/>
      <c r="AK52" s="6"/>
      <c r="AL52" s="6"/>
      <c r="AM52" s="6"/>
      <c r="AN52" s="6"/>
      <c r="AO52" s="6"/>
      <c r="AP52" s="6"/>
      <c r="AQ52" s="7">
        <f t="shared" si="17"/>
        <v>0</v>
      </c>
      <c r="AR52" s="8">
        <f t="shared" si="18"/>
        <v>780</v>
      </c>
      <c r="AS52" s="7">
        <f t="shared" si="19"/>
        <v>0</v>
      </c>
      <c r="AT52" s="8">
        <f t="shared" si="20"/>
        <v>-5200</v>
      </c>
      <c r="AU52" s="21">
        <f t="shared" si="21"/>
        <v>0</v>
      </c>
      <c r="AV52" s="22"/>
    </row>
    <row r="53" spans="1:48" ht="18.95">
      <c r="A53" s="16"/>
      <c r="B53" s="17" t="s">
        <v>108</v>
      </c>
      <c r="C53" s="18" t="s">
        <v>68</v>
      </c>
      <c r="D53" s="11" t="s">
        <v>293</v>
      </c>
      <c r="E53" s="5">
        <v>10500</v>
      </c>
      <c r="F53" s="6"/>
      <c r="G53" s="6"/>
      <c r="H53" s="6"/>
      <c r="I53" s="6"/>
      <c r="J53" s="6"/>
      <c r="K53" s="6"/>
      <c r="L53" s="6"/>
      <c r="M53" s="6"/>
      <c r="N53" s="7"/>
      <c r="O53" s="8"/>
      <c r="P53" s="6"/>
      <c r="Q53" s="6"/>
      <c r="R53" s="6"/>
      <c r="S53" s="6"/>
      <c r="T53" s="6"/>
      <c r="U53" s="6"/>
      <c r="V53" s="6"/>
      <c r="W53" s="7"/>
      <c r="X53" s="8"/>
      <c r="Y53" s="6"/>
      <c r="Z53" s="6"/>
      <c r="AA53" s="6"/>
      <c r="AB53" s="6"/>
      <c r="AC53" s="6"/>
      <c r="AD53" s="6"/>
      <c r="AE53" s="6"/>
      <c r="AF53" s="7"/>
      <c r="AG53" s="8"/>
      <c r="AH53" s="6"/>
      <c r="AI53" s="6"/>
      <c r="AJ53" s="6"/>
      <c r="AK53" s="6"/>
      <c r="AL53" s="6"/>
      <c r="AM53" s="6"/>
      <c r="AN53" s="6"/>
      <c r="AO53" s="6"/>
      <c r="AP53" s="6"/>
      <c r="AQ53" s="7"/>
      <c r="AR53" s="8"/>
      <c r="AS53" s="7"/>
      <c r="AT53" s="8"/>
      <c r="AU53" s="21"/>
      <c r="AV53" s="22"/>
    </row>
    <row r="54" spans="1:48" ht="18.95">
      <c r="A54" s="16">
        <v>52</v>
      </c>
      <c r="B54" s="17" t="s">
        <v>108</v>
      </c>
      <c r="C54" s="18" t="s">
        <v>68</v>
      </c>
      <c r="D54" s="11" t="s">
        <v>294</v>
      </c>
      <c r="E54" s="5">
        <v>31000</v>
      </c>
      <c r="F54" s="6"/>
      <c r="G54" s="6"/>
      <c r="H54" s="6"/>
      <c r="I54" s="6"/>
      <c r="J54" s="6"/>
      <c r="K54" s="6"/>
      <c r="L54" s="6"/>
      <c r="M54" s="6"/>
      <c r="N54" s="7">
        <f t="shared" si="11"/>
        <v>0</v>
      </c>
      <c r="O54" s="8">
        <f t="shared" si="12"/>
        <v>12400</v>
      </c>
      <c r="P54" s="6"/>
      <c r="Q54" s="6"/>
      <c r="R54" s="6"/>
      <c r="S54" s="6"/>
      <c r="T54" s="6"/>
      <c r="U54" s="6"/>
      <c r="V54" s="6"/>
      <c r="W54" s="7">
        <f t="shared" si="13"/>
        <v>0</v>
      </c>
      <c r="X54" s="8">
        <f t="shared" si="14"/>
        <v>9300</v>
      </c>
      <c r="Y54" s="6"/>
      <c r="Z54" s="6"/>
      <c r="AA54" s="6"/>
      <c r="AB54" s="6"/>
      <c r="AC54" s="6"/>
      <c r="AD54" s="6"/>
      <c r="AE54" s="6"/>
      <c r="AF54" s="7">
        <f t="shared" si="15"/>
        <v>0</v>
      </c>
      <c r="AG54" s="8">
        <f t="shared" si="16"/>
        <v>4650</v>
      </c>
      <c r="AH54" s="6"/>
      <c r="AI54" s="6"/>
      <c r="AJ54" s="6"/>
      <c r="AK54" s="6"/>
      <c r="AL54" s="6"/>
      <c r="AM54" s="6"/>
      <c r="AN54" s="6"/>
      <c r="AO54" s="6"/>
      <c r="AP54" s="6"/>
      <c r="AQ54" s="7">
        <f t="shared" si="17"/>
        <v>0</v>
      </c>
      <c r="AR54" s="8">
        <f t="shared" si="18"/>
        <v>4650</v>
      </c>
      <c r="AS54" s="7">
        <f t="shared" si="19"/>
        <v>0</v>
      </c>
      <c r="AT54" s="8">
        <f t="shared" si="20"/>
        <v>-31000</v>
      </c>
      <c r="AU54" s="21">
        <f t="shared" si="21"/>
        <v>0</v>
      </c>
      <c r="AV54" s="22"/>
    </row>
    <row r="55" spans="1:48" ht="18.95">
      <c r="A55" s="16">
        <v>53</v>
      </c>
      <c r="B55" s="17" t="s">
        <v>108</v>
      </c>
      <c r="C55" s="18" t="s">
        <v>68</v>
      </c>
      <c r="D55" s="11" t="s">
        <v>295</v>
      </c>
      <c r="E55" s="5">
        <v>15000</v>
      </c>
      <c r="F55" s="6"/>
      <c r="G55" s="6"/>
      <c r="H55" s="6"/>
      <c r="I55" s="6"/>
      <c r="J55" s="6"/>
      <c r="K55" s="6"/>
      <c r="L55" s="6"/>
      <c r="M55" s="6"/>
      <c r="N55" s="7">
        <f t="shared" si="11"/>
        <v>0</v>
      </c>
      <c r="O55" s="8">
        <f t="shared" si="12"/>
        <v>6000</v>
      </c>
      <c r="P55" s="6"/>
      <c r="Q55" s="6"/>
      <c r="R55" s="6"/>
      <c r="S55" s="6">
        <v>2031</v>
      </c>
      <c r="T55" s="6"/>
      <c r="U55" s="6"/>
      <c r="V55" s="6"/>
      <c r="W55" s="7">
        <f t="shared" si="13"/>
        <v>2031</v>
      </c>
      <c r="X55" s="8">
        <f t="shared" si="14"/>
        <v>4500</v>
      </c>
      <c r="Y55" s="6"/>
      <c r="Z55" s="6"/>
      <c r="AA55" s="6"/>
      <c r="AB55" s="6"/>
      <c r="AC55" s="6"/>
      <c r="AD55" s="6"/>
      <c r="AE55" s="6"/>
      <c r="AF55" s="7">
        <f t="shared" si="15"/>
        <v>0</v>
      </c>
      <c r="AG55" s="8">
        <f t="shared" si="16"/>
        <v>2250</v>
      </c>
      <c r="AH55" s="6"/>
      <c r="AI55" s="6"/>
      <c r="AJ55" s="6"/>
      <c r="AK55" s="6"/>
      <c r="AL55" s="6"/>
      <c r="AM55" s="6"/>
      <c r="AN55" s="6"/>
      <c r="AO55" s="6"/>
      <c r="AP55" s="6"/>
      <c r="AQ55" s="7">
        <f t="shared" si="17"/>
        <v>0</v>
      </c>
      <c r="AR55" s="8">
        <f t="shared" si="18"/>
        <v>2250</v>
      </c>
      <c r="AS55" s="7">
        <f t="shared" si="19"/>
        <v>2031</v>
      </c>
      <c r="AT55" s="8">
        <f t="shared" si="20"/>
        <v>-12969</v>
      </c>
      <c r="AU55" s="21">
        <f t="shared" si="21"/>
        <v>0.13539999999999999</v>
      </c>
      <c r="AV55" s="22"/>
    </row>
    <row r="56" spans="1:48" ht="18.95">
      <c r="A56" s="16">
        <v>54</v>
      </c>
      <c r="B56" s="17" t="s">
        <v>65</v>
      </c>
      <c r="C56" s="19" t="s">
        <v>68</v>
      </c>
      <c r="D56" s="11" t="s">
        <v>296</v>
      </c>
      <c r="E56" s="5">
        <v>8500</v>
      </c>
      <c r="F56" s="6"/>
      <c r="G56" s="6"/>
      <c r="H56" s="6"/>
      <c r="I56" s="6"/>
      <c r="J56" s="6"/>
      <c r="K56" s="6"/>
      <c r="L56" s="6"/>
      <c r="M56" s="6"/>
      <c r="N56" s="7">
        <f t="shared" si="11"/>
        <v>0</v>
      </c>
      <c r="O56" s="8">
        <f t="shared" si="12"/>
        <v>3400</v>
      </c>
      <c r="P56" s="6"/>
      <c r="Q56" s="6"/>
      <c r="R56" s="6"/>
      <c r="S56" s="6">
        <v>2240</v>
      </c>
      <c r="T56" s="6"/>
      <c r="U56" s="6"/>
      <c r="V56" s="6"/>
      <c r="W56" s="7">
        <f t="shared" si="13"/>
        <v>2240</v>
      </c>
      <c r="X56" s="8">
        <f t="shared" si="14"/>
        <v>2550</v>
      </c>
      <c r="Y56" s="6"/>
      <c r="Z56" s="6"/>
      <c r="AA56" s="6"/>
      <c r="AB56" s="6"/>
      <c r="AC56" s="6"/>
      <c r="AD56" s="6"/>
      <c r="AE56" s="6"/>
      <c r="AF56" s="7">
        <f t="shared" si="15"/>
        <v>0</v>
      </c>
      <c r="AG56" s="8">
        <f t="shared" si="16"/>
        <v>1275</v>
      </c>
      <c r="AH56" s="6"/>
      <c r="AI56" s="6"/>
      <c r="AJ56" s="6"/>
      <c r="AK56" s="6"/>
      <c r="AL56" s="6"/>
      <c r="AM56" s="6"/>
      <c r="AN56" s="6"/>
      <c r="AO56" s="6"/>
      <c r="AP56" s="6"/>
      <c r="AQ56" s="7">
        <f t="shared" si="17"/>
        <v>0</v>
      </c>
      <c r="AR56" s="8">
        <f t="shared" si="18"/>
        <v>1275</v>
      </c>
      <c r="AS56" s="7">
        <f t="shared" si="19"/>
        <v>2240</v>
      </c>
      <c r="AT56" s="8">
        <f t="shared" si="20"/>
        <v>-6260</v>
      </c>
      <c r="AU56" s="21">
        <f t="shared" si="21"/>
        <v>0.2635294117647059</v>
      </c>
      <c r="AV56" s="22"/>
    </row>
    <row r="57" spans="1:48" ht="18.95">
      <c r="A57" s="16">
        <v>55</v>
      </c>
      <c r="B57" s="17" t="s">
        <v>65</v>
      </c>
      <c r="C57" s="19" t="s">
        <v>68</v>
      </c>
      <c r="D57" s="11" t="s">
        <v>297</v>
      </c>
      <c r="E57" s="5">
        <v>8500</v>
      </c>
      <c r="F57" s="6"/>
      <c r="G57" s="6"/>
      <c r="H57" s="6"/>
      <c r="I57" s="6"/>
      <c r="J57" s="6"/>
      <c r="K57" s="6"/>
      <c r="L57" s="6"/>
      <c r="M57" s="6"/>
      <c r="N57" s="7">
        <f t="shared" si="11"/>
        <v>0</v>
      </c>
      <c r="O57" s="8">
        <f t="shared" si="12"/>
        <v>3400</v>
      </c>
      <c r="P57" s="6"/>
      <c r="Q57" s="6"/>
      <c r="R57" s="6"/>
      <c r="S57" s="6"/>
      <c r="T57" s="6"/>
      <c r="U57" s="6"/>
      <c r="V57" s="6"/>
      <c r="W57" s="7">
        <f t="shared" si="13"/>
        <v>0</v>
      </c>
      <c r="X57" s="8">
        <f t="shared" si="14"/>
        <v>2550</v>
      </c>
      <c r="Y57" s="6"/>
      <c r="Z57" s="6"/>
      <c r="AA57" s="6"/>
      <c r="AB57" s="6"/>
      <c r="AC57" s="6"/>
      <c r="AD57" s="6"/>
      <c r="AE57" s="6"/>
      <c r="AF57" s="7">
        <f t="shared" si="15"/>
        <v>0</v>
      </c>
      <c r="AG57" s="8">
        <f t="shared" si="16"/>
        <v>1275</v>
      </c>
      <c r="AH57" s="6"/>
      <c r="AI57" s="6"/>
      <c r="AJ57" s="6"/>
      <c r="AK57" s="6"/>
      <c r="AL57" s="6"/>
      <c r="AM57" s="6"/>
      <c r="AN57" s="6"/>
      <c r="AO57" s="6"/>
      <c r="AP57" s="6"/>
      <c r="AQ57" s="7">
        <f t="shared" si="17"/>
        <v>0</v>
      </c>
      <c r="AR57" s="8">
        <f t="shared" si="18"/>
        <v>1275</v>
      </c>
      <c r="AS57" s="7">
        <f t="shared" si="19"/>
        <v>0</v>
      </c>
      <c r="AT57" s="8">
        <f t="shared" si="20"/>
        <v>-8500</v>
      </c>
      <c r="AU57" s="21">
        <f t="shared" si="21"/>
        <v>0</v>
      </c>
      <c r="AV57" s="22"/>
    </row>
    <row r="58" spans="1:48" ht="18.95">
      <c r="A58" s="16">
        <v>56</v>
      </c>
      <c r="B58" s="17" t="s">
        <v>65</v>
      </c>
      <c r="C58" s="19" t="s">
        <v>68</v>
      </c>
      <c r="D58" s="11" t="s">
        <v>298</v>
      </c>
      <c r="E58" s="5">
        <v>8500</v>
      </c>
      <c r="F58" s="6"/>
      <c r="G58" s="6"/>
      <c r="H58" s="6"/>
      <c r="I58" s="6"/>
      <c r="J58" s="6"/>
      <c r="K58" s="6"/>
      <c r="L58" s="6"/>
      <c r="M58" s="6"/>
      <c r="N58" s="7">
        <f t="shared" si="11"/>
        <v>0</v>
      </c>
      <c r="O58" s="8">
        <f t="shared" si="12"/>
        <v>3400</v>
      </c>
      <c r="P58" s="6"/>
      <c r="Q58" s="6"/>
      <c r="R58" s="6"/>
      <c r="S58" s="6">
        <v>986</v>
      </c>
      <c r="T58" s="6"/>
      <c r="U58" s="6"/>
      <c r="V58" s="6"/>
      <c r="W58" s="7">
        <f t="shared" si="13"/>
        <v>986</v>
      </c>
      <c r="X58" s="8">
        <f t="shared" si="14"/>
        <v>2550</v>
      </c>
      <c r="Y58" s="6"/>
      <c r="Z58" s="6"/>
      <c r="AA58" s="6"/>
      <c r="AB58" s="6"/>
      <c r="AC58" s="6"/>
      <c r="AD58" s="6"/>
      <c r="AE58" s="6"/>
      <c r="AF58" s="7">
        <f t="shared" si="15"/>
        <v>0</v>
      </c>
      <c r="AG58" s="8">
        <f t="shared" si="16"/>
        <v>1275</v>
      </c>
      <c r="AH58" s="6"/>
      <c r="AI58" s="6"/>
      <c r="AJ58" s="6"/>
      <c r="AK58" s="6"/>
      <c r="AL58" s="6"/>
      <c r="AM58" s="6"/>
      <c r="AN58" s="6"/>
      <c r="AO58" s="6"/>
      <c r="AP58" s="6"/>
      <c r="AQ58" s="7">
        <f t="shared" si="17"/>
        <v>0</v>
      </c>
      <c r="AR58" s="8">
        <f t="shared" si="18"/>
        <v>1275</v>
      </c>
      <c r="AS58" s="7">
        <f t="shared" si="19"/>
        <v>986</v>
      </c>
      <c r="AT58" s="8">
        <f t="shared" si="20"/>
        <v>-7514</v>
      </c>
      <c r="AU58" s="21">
        <f t="shared" si="21"/>
        <v>0.11600000000000001</v>
      </c>
      <c r="AV58" s="22"/>
    </row>
    <row r="59" spans="1:48" ht="18.95">
      <c r="A59" s="16">
        <v>57</v>
      </c>
      <c r="B59" s="17" t="s">
        <v>65</v>
      </c>
      <c r="C59" s="19" t="s">
        <v>68</v>
      </c>
      <c r="D59" s="11" t="s">
        <v>299</v>
      </c>
      <c r="E59" s="5">
        <v>8500</v>
      </c>
      <c r="F59" s="6"/>
      <c r="G59" s="6"/>
      <c r="H59" s="6"/>
      <c r="I59" s="6"/>
      <c r="J59" s="6"/>
      <c r="K59" s="6"/>
      <c r="L59" s="6"/>
      <c r="M59" s="6"/>
      <c r="N59" s="7">
        <f t="shared" si="11"/>
        <v>0</v>
      </c>
      <c r="O59" s="8">
        <f t="shared" si="12"/>
        <v>3400</v>
      </c>
      <c r="P59" s="6"/>
      <c r="Q59" s="6"/>
      <c r="R59" s="6"/>
      <c r="S59" s="6"/>
      <c r="T59" s="6"/>
      <c r="U59" s="6"/>
      <c r="V59" s="6"/>
      <c r="W59" s="7">
        <f t="shared" si="13"/>
        <v>0</v>
      </c>
      <c r="X59" s="8">
        <f t="shared" si="14"/>
        <v>2550</v>
      </c>
      <c r="Y59" s="6"/>
      <c r="Z59" s="6"/>
      <c r="AA59" s="6"/>
      <c r="AB59" s="6"/>
      <c r="AC59" s="6"/>
      <c r="AD59" s="6"/>
      <c r="AE59" s="6"/>
      <c r="AF59" s="7">
        <f t="shared" si="15"/>
        <v>0</v>
      </c>
      <c r="AG59" s="8">
        <f t="shared" si="16"/>
        <v>1275</v>
      </c>
      <c r="AH59" s="6"/>
      <c r="AI59" s="6"/>
      <c r="AJ59" s="6"/>
      <c r="AK59" s="6"/>
      <c r="AL59" s="6"/>
      <c r="AM59" s="6"/>
      <c r="AN59" s="6"/>
      <c r="AO59" s="6"/>
      <c r="AP59" s="6"/>
      <c r="AQ59" s="7">
        <f t="shared" si="17"/>
        <v>0</v>
      </c>
      <c r="AR59" s="8">
        <f t="shared" si="18"/>
        <v>1275</v>
      </c>
      <c r="AS59" s="7">
        <f t="shared" si="19"/>
        <v>0</v>
      </c>
      <c r="AT59" s="8">
        <f t="shared" si="20"/>
        <v>-8500</v>
      </c>
      <c r="AU59" s="21">
        <f t="shared" si="21"/>
        <v>0</v>
      </c>
      <c r="AV59" s="22"/>
    </row>
    <row r="60" spans="1:48" ht="18.95">
      <c r="A60" s="16">
        <v>58</v>
      </c>
      <c r="B60" s="17" t="s">
        <v>65</v>
      </c>
      <c r="C60" s="19" t="s">
        <v>68</v>
      </c>
      <c r="D60" s="11" t="s">
        <v>300</v>
      </c>
      <c r="E60" s="5">
        <v>8500</v>
      </c>
      <c r="F60" s="6"/>
      <c r="G60" s="6"/>
      <c r="H60" s="6"/>
      <c r="I60" s="6"/>
      <c r="J60" s="6"/>
      <c r="K60" s="6"/>
      <c r="L60" s="6"/>
      <c r="M60" s="6"/>
      <c r="N60" s="7">
        <f t="shared" si="11"/>
        <v>0</v>
      </c>
      <c r="O60" s="8">
        <f t="shared" si="12"/>
        <v>3400</v>
      </c>
      <c r="P60" s="6"/>
      <c r="Q60" s="6"/>
      <c r="R60" s="6"/>
      <c r="S60" s="6">
        <v>2000</v>
      </c>
      <c r="T60" s="6"/>
      <c r="U60" s="6"/>
      <c r="V60" s="6"/>
      <c r="W60" s="7">
        <f t="shared" si="13"/>
        <v>2000</v>
      </c>
      <c r="X60" s="8">
        <f t="shared" si="14"/>
        <v>2550</v>
      </c>
      <c r="Y60" s="6"/>
      <c r="Z60" s="6"/>
      <c r="AA60" s="6"/>
      <c r="AB60" s="6"/>
      <c r="AC60" s="6"/>
      <c r="AD60" s="6"/>
      <c r="AE60" s="6"/>
      <c r="AF60" s="7">
        <f t="shared" si="15"/>
        <v>0</v>
      </c>
      <c r="AG60" s="8">
        <f t="shared" si="16"/>
        <v>1275</v>
      </c>
      <c r="AH60" s="6"/>
      <c r="AI60" s="6"/>
      <c r="AJ60" s="6"/>
      <c r="AK60" s="6"/>
      <c r="AL60" s="6"/>
      <c r="AM60" s="6"/>
      <c r="AN60" s="6"/>
      <c r="AO60" s="6"/>
      <c r="AP60" s="6"/>
      <c r="AQ60" s="7">
        <f t="shared" si="17"/>
        <v>0</v>
      </c>
      <c r="AR60" s="8">
        <f t="shared" si="18"/>
        <v>1275</v>
      </c>
      <c r="AS60" s="7">
        <f t="shared" si="19"/>
        <v>2000</v>
      </c>
      <c r="AT60" s="8">
        <f t="shared" si="20"/>
        <v>-6500</v>
      </c>
      <c r="AU60" s="21">
        <f t="shared" si="21"/>
        <v>0.23529411764705882</v>
      </c>
      <c r="AV60" s="22"/>
    </row>
    <row r="61" spans="1:48" ht="18.95">
      <c r="A61" s="16">
        <v>59</v>
      </c>
      <c r="B61" s="17" t="s">
        <v>65</v>
      </c>
      <c r="C61" s="19" t="s">
        <v>68</v>
      </c>
      <c r="D61" s="11" t="s">
        <v>301</v>
      </c>
      <c r="E61" s="5">
        <v>8500</v>
      </c>
      <c r="F61" s="6"/>
      <c r="G61" s="6"/>
      <c r="H61" s="6"/>
      <c r="I61" s="6"/>
      <c r="J61" s="6"/>
      <c r="K61" s="6"/>
      <c r="L61" s="6"/>
      <c r="M61" s="6"/>
      <c r="N61" s="7">
        <f t="shared" si="11"/>
        <v>0</v>
      </c>
      <c r="O61" s="8">
        <f t="shared" si="12"/>
        <v>3400</v>
      </c>
      <c r="P61" s="6"/>
      <c r="Q61" s="6"/>
      <c r="R61" s="6"/>
      <c r="S61" s="6"/>
      <c r="T61" s="6"/>
      <c r="U61" s="6"/>
      <c r="V61" s="6"/>
      <c r="W61" s="7">
        <f t="shared" si="13"/>
        <v>0</v>
      </c>
      <c r="X61" s="8">
        <f t="shared" si="14"/>
        <v>2550</v>
      </c>
      <c r="Y61" s="6"/>
      <c r="Z61" s="6"/>
      <c r="AA61" s="6"/>
      <c r="AB61" s="6"/>
      <c r="AC61" s="6"/>
      <c r="AD61" s="6"/>
      <c r="AE61" s="6"/>
      <c r="AF61" s="7">
        <f t="shared" si="15"/>
        <v>0</v>
      </c>
      <c r="AG61" s="8">
        <f t="shared" si="16"/>
        <v>1275</v>
      </c>
      <c r="AH61" s="6"/>
      <c r="AI61" s="6"/>
      <c r="AJ61" s="6"/>
      <c r="AK61" s="6"/>
      <c r="AL61" s="6"/>
      <c r="AM61" s="6"/>
      <c r="AN61" s="6"/>
      <c r="AO61" s="6"/>
      <c r="AP61" s="6"/>
      <c r="AQ61" s="7">
        <f t="shared" si="17"/>
        <v>0</v>
      </c>
      <c r="AR61" s="8">
        <f t="shared" si="18"/>
        <v>1275</v>
      </c>
      <c r="AS61" s="7">
        <f t="shared" si="19"/>
        <v>0</v>
      </c>
      <c r="AT61" s="8">
        <f t="shared" si="20"/>
        <v>-8500</v>
      </c>
      <c r="AU61" s="21">
        <f t="shared" si="21"/>
        <v>0</v>
      </c>
      <c r="AV61" s="22"/>
    </row>
    <row r="62" spans="1:48" ht="18.95">
      <c r="A62" s="16">
        <v>60</v>
      </c>
      <c r="B62" s="17" t="s">
        <v>65</v>
      </c>
      <c r="C62" s="19" t="s">
        <v>68</v>
      </c>
      <c r="D62" s="11" t="s">
        <v>302</v>
      </c>
      <c r="E62" s="5">
        <v>8500</v>
      </c>
      <c r="F62" s="6"/>
      <c r="G62" s="6"/>
      <c r="H62" s="6"/>
      <c r="I62" s="6"/>
      <c r="J62" s="6"/>
      <c r="K62" s="6"/>
      <c r="L62" s="6"/>
      <c r="M62" s="6"/>
      <c r="N62" s="7">
        <f t="shared" si="11"/>
        <v>0</v>
      </c>
      <c r="O62" s="8">
        <f t="shared" si="12"/>
        <v>3400</v>
      </c>
      <c r="P62" s="6"/>
      <c r="Q62" s="6"/>
      <c r="R62" s="6"/>
      <c r="S62" s="6">
        <v>1620</v>
      </c>
      <c r="T62" s="6"/>
      <c r="U62" s="6"/>
      <c r="V62" s="6"/>
      <c r="W62" s="7">
        <f t="shared" si="13"/>
        <v>1620</v>
      </c>
      <c r="X62" s="8">
        <f t="shared" si="14"/>
        <v>2550</v>
      </c>
      <c r="Y62" s="6"/>
      <c r="Z62" s="6"/>
      <c r="AA62" s="6"/>
      <c r="AB62" s="6"/>
      <c r="AC62" s="6"/>
      <c r="AD62" s="6"/>
      <c r="AE62" s="6"/>
      <c r="AF62" s="7">
        <f t="shared" si="15"/>
        <v>0</v>
      </c>
      <c r="AG62" s="8">
        <f t="shared" si="16"/>
        <v>1275</v>
      </c>
      <c r="AH62" s="6"/>
      <c r="AI62" s="6"/>
      <c r="AJ62" s="6"/>
      <c r="AK62" s="6"/>
      <c r="AL62" s="6"/>
      <c r="AM62" s="6"/>
      <c r="AN62" s="6"/>
      <c r="AO62" s="6"/>
      <c r="AP62" s="6"/>
      <c r="AQ62" s="7">
        <f t="shared" si="17"/>
        <v>0</v>
      </c>
      <c r="AR62" s="8">
        <f t="shared" si="18"/>
        <v>1275</v>
      </c>
      <c r="AS62" s="7">
        <f t="shared" si="19"/>
        <v>1620</v>
      </c>
      <c r="AT62" s="8">
        <f t="shared" si="20"/>
        <v>-6880</v>
      </c>
      <c r="AU62" s="21">
        <f t="shared" si="21"/>
        <v>0.19058823529411764</v>
      </c>
      <c r="AV62" s="22"/>
    </row>
    <row r="63" spans="1:48" ht="18.95">
      <c r="A63" s="16">
        <v>61</v>
      </c>
      <c r="B63" s="17" t="s">
        <v>67</v>
      </c>
      <c r="C63" s="3" t="s">
        <v>68</v>
      </c>
      <c r="D63" s="4" t="s">
        <v>303</v>
      </c>
      <c r="E63" s="5">
        <v>13000</v>
      </c>
      <c r="F63" s="6"/>
      <c r="G63" s="6"/>
      <c r="H63" s="6"/>
      <c r="I63" s="6"/>
      <c r="J63" s="6"/>
      <c r="K63" s="6"/>
      <c r="L63" s="6"/>
      <c r="M63" s="6"/>
      <c r="N63" s="7">
        <f t="shared" si="11"/>
        <v>0</v>
      </c>
      <c r="O63" s="8">
        <f t="shared" si="12"/>
        <v>5200</v>
      </c>
      <c r="P63" s="6"/>
      <c r="Q63" s="6"/>
      <c r="R63" s="6"/>
      <c r="S63" s="6"/>
      <c r="T63" s="6"/>
      <c r="U63" s="6"/>
      <c r="V63" s="6"/>
      <c r="W63" s="7">
        <f t="shared" si="13"/>
        <v>0</v>
      </c>
      <c r="X63" s="8">
        <f t="shared" si="14"/>
        <v>3900</v>
      </c>
      <c r="Y63" s="6"/>
      <c r="Z63" s="6"/>
      <c r="AA63" s="6"/>
      <c r="AB63" s="6"/>
      <c r="AC63" s="6"/>
      <c r="AD63" s="6"/>
      <c r="AE63" s="6"/>
      <c r="AF63" s="7">
        <f t="shared" si="15"/>
        <v>0</v>
      </c>
      <c r="AG63" s="8">
        <f t="shared" si="16"/>
        <v>1950</v>
      </c>
      <c r="AH63" s="6"/>
      <c r="AI63" s="6"/>
      <c r="AJ63" s="6"/>
      <c r="AK63" s="6"/>
      <c r="AL63" s="6"/>
      <c r="AM63" s="6"/>
      <c r="AN63" s="6"/>
      <c r="AO63" s="6"/>
      <c r="AP63" s="6"/>
      <c r="AQ63" s="7">
        <f t="shared" si="17"/>
        <v>0</v>
      </c>
      <c r="AR63" s="8">
        <f t="shared" si="18"/>
        <v>1950</v>
      </c>
      <c r="AS63" s="7">
        <f t="shared" si="19"/>
        <v>0</v>
      </c>
      <c r="AT63" s="8">
        <f t="shared" si="20"/>
        <v>-13000</v>
      </c>
      <c r="AU63" s="21">
        <f t="shared" si="21"/>
        <v>0</v>
      </c>
      <c r="AV63" s="22"/>
    </row>
    <row r="64" spans="1:48" ht="18.95">
      <c r="A64" s="16">
        <v>62</v>
      </c>
      <c r="B64" s="17" t="s">
        <v>67</v>
      </c>
      <c r="C64" s="3" t="s">
        <v>68</v>
      </c>
      <c r="D64" s="11" t="s">
        <v>304</v>
      </c>
      <c r="E64" s="5">
        <v>2700</v>
      </c>
      <c r="F64" s="6"/>
      <c r="G64" s="6"/>
      <c r="H64" s="6"/>
      <c r="I64" s="6"/>
      <c r="J64" s="6"/>
      <c r="K64" s="6"/>
      <c r="L64" s="6"/>
      <c r="M64" s="6"/>
      <c r="N64" s="7">
        <f t="shared" si="11"/>
        <v>0</v>
      </c>
      <c r="O64" s="8">
        <f t="shared" si="12"/>
        <v>1080</v>
      </c>
      <c r="P64" s="6"/>
      <c r="Q64" s="6"/>
      <c r="R64" s="6"/>
      <c r="S64" s="6"/>
      <c r="T64" s="6"/>
      <c r="U64" s="6"/>
      <c r="V64" s="6"/>
      <c r="W64" s="7">
        <f t="shared" si="13"/>
        <v>0</v>
      </c>
      <c r="X64" s="8">
        <f t="shared" si="14"/>
        <v>810</v>
      </c>
      <c r="Y64" s="6"/>
      <c r="Z64" s="6"/>
      <c r="AA64" s="6"/>
      <c r="AB64" s="6"/>
      <c r="AC64" s="6"/>
      <c r="AD64" s="6"/>
      <c r="AE64" s="6"/>
      <c r="AF64" s="7">
        <f t="shared" si="15"/>
        <v>0</v>
      </c>
      <c r="AG64" s="8">
        <f t="shared" si="16"/>
        <v>405</v>
      </c>
      <c r="AH64" s="6"/>
      <c r="AI64" s="6"/>
      <c r="AJ64" s="6"/>
      <c r="AK64" s="6"/>
      <c r="AL64" s="6"/>
      <c r="AM64" s="6"/>
      <c r="AN64" s="6"/>
      <c r="AO64" s="6"/>
      <c r="AP64" s="6"/>
      <c r="AQ64" s="7">
        <f t="shared" si="17"/>
        <v>0</v>
      </c>
      <c r="AR64" s="8">
        <f t="shared" si="18"/>
        <v>405</v>
      </c>
      <c r="AS64" s="7">
        <f t="shared" si="19"/>
        <v>0</v>
      </c>
      <c r="AT64" s="8">
        <f t="shared" si="20"/>
        <v>-2700</v>
      </c>
      <c r="AU64" s="21">
        <f t="shared" si="21"/>
        <v>0</v>
      </c>
      <c r="AV64" s="22"/>
    </row>
    <row r="65" spans="1:48" ht="18.95">
      <c r="A65" s="16">
        <v>63</v>
      </c>
      <c r="B65" s="17" t="s">
        <v>67</v>
      </c>
      <c r="C65" s="3" t="s">
        <v>68</v>
      </c>
      <c r="D65" s="11" t="s">
        <v>305</v>
      </c>
      <c r="E65" s="5">
        <v>10000</v>
      </c>
      <c r="F65" s="6"/>
      <c r="G65" s="6"/>
      <c r="H65" s="6"/>
      <c r="I65" s="6"/>
      <c r="J65" s="6"/>
      <c r="K65" s="6"/>
      <c r="L65" s="6"/>
      <c r="M65" s="6"/>
      <c r="N65" s="7">
        <f t="shared" si="11"/>
        <v>0</v>
      </c>
      <c r="O65" s="8">
        <f t="shared" si="12"/>
        <v>4000</v>
      </c>
      <c r="P65" s="6"/>
      <c r="Q65" s="6"/>
      <c r="R65" s="6"/>
      <c r="S65" s="6"/>
      <c r="T65" s="6"/>
      <c r="U65" s="6"/>
      <c r="V65" s="6"/>
      <c r="W65" s="7">
        <f t="shared" si="13"/>
        <v>0</v>
      </c>
      <c r="X65" s="8">
        <f t="shared" si="14"/>
        <v>3000</v>
      </c>
      <c r="Y65" s="6"/>
      <c r="Z65" s="6"/>
      <c r="AA65" s="6"/>
      <c r="AB65" s="6"/>
      <c r="AC65" s="6"/>
      <c r="AD65" s="6"/>
      <c r="AE65" s="6"/>
      <c r="AF65" s="7">
        <f t="shared" si="15"/>
        <v>0</v>
      </c>
      <c r="AG65" s="8">
        <f t="shared" si="16"/>
        <v>1500</v>
      </c>
      <c r="AH65" s="6"/>
      <c r="AI65" s="6"/>
      <c r="AJ65" s="6"/>
      <c r="AK65" s="6"/>
      <c r="AL65" s="6"/>
      <c r="AM65" s="6"/>
      <c r="AN65" s="6"/>
      <c r="AO65" s="6"/>
      <c r="AP65" s="6"/>
      <c r="AQ65" s="7">
        <f t="shared" si="17"/>
        <v>0</v>
      </c>
      <c r="AR65" s="8">
        <f t="shared" si="18"/>
        <v>1500</v>
      </c>
      <c r="AS65" s="7">
        <f t="shared" si="19"/>
        <v>0</v>
      </c>
      <c r="AT65" s="8">
        <f t="shared" si="20"/>
        <v>-10000</v>
      </c>
      <c r="AU65" s="21">
        <f t="shared" si="21"/>
        <v>0</v>
      </c>
      <c r="AV65" s="22"/>
    </row>
    <row r="66" spans="1:48" ht="18.95">
      <c r="A66" s="16">
        <v>64</v>
      </c>
      <c r="B66" s="17" t="s">
        <v>67</v>
      </c>
      <c r="C66" s="3" t="s">
        <v>68</v>
      </c>
      <c r="D66" s="4" t="s">
        <v>306</v>
      </c>
      <c r="E66" s="5">
        <v>3000</v>
      </c>
      <c r="F66" s="6"/>
      <c r="G66" s="6"/>
      <c r="H66" s="6"/>
      <c r="I66" s="6"/>
      <c r="J66" s="6"/>
      <c r="K66" s="6"/>
      <c r="L66" s="6"/>
      <c r="M66" s="6"/>
      <c r="N66" s="7">
        <f t="shared" si="11"/>
        <v>0</v>
      </c>
      <c r="O66" s="8">
        <f t="shared" si="12"/>
        <v>1200</v>
      </c>
      <c r="P66" s="6"/>
      <c r="Q66" s="6"/>
      <c r="R66" s="6"/>
      <c r="S66" s="6"/>
      <c r="T66" s="6"/>
      <c r="U66" s="6"/>
      <c r="V66" s="6"/>
      <c r="W66" s="7">
        <f t="shared" si="13"/>
        <v>0</v>
      </c>
      <c r="X66" s="8">
        <f t="shared" si="14"/>
        <v>900</v>
      </c>
      <c r="Y66" s="6"/>
      <c r="Z66" s="6"/>
      <c r="AA66" s="6"/>
      <c r="AB66" s="6"/>
      <c r="AC66" s="6"/>
      <c r="AD66" s="6"/>
      <c r="AE66" s="6"/>
      <c r="AF66" s="7">
        <f t="shared" si="15"/>
        <v>0</v>
      </c>
      <c r="AG66" s="8">
        <f t="shared" si="16"/>
        <v>450</v>
      </c>
      <c r="AH66" s="6"/>
      <c r="AI66" s="6"/>
      <c r="AJ66" s="6"/>
      <c r="AK66" s="6"/>
      <c r="AL66" s="6"/>
      <c r="AM66" s="6"/>
      <c r="AN66" s="6"/>
      <c r="AO66" s="6"/>
      <c r="AP66" s="6"/>
      <c r="AQ66" s="7">
        <f t="shared" si="17"/>
        <v>0</v>
      </c>
      <c r="AR66" s="8">
        <f t="shared" si="18"/>
        <v>450</v>
      </c>
      <c r="AS66" s="7">
        <f t="shared" si="19"/>
        <v>0</v>
      </c>
      <c r="AT66" s="8">
        <f t="shared" si="20"/>
        <v>-3000</v>
      </c>
      <c r="AU66" s="21">
        <f t="shared" si="21"/>
        <v>0</v>
      </c>
      <c r="AV66" s="22"/>
    </row>
    <row r="67" spans="1:48" ht="18.95">
      <c r="A67" s="16">
        <v>65</v>
      </c>
      <c r="B67" s="17" t="s">
        <v>67</v>
      </c>
      <c r="C67" s="3" t="s">
        <v>68</v>
      </c>
      <c r="D67" s="4" t="s">
        <v>307</v>
      </c>
      <c r="E67" s="5">
        <v>4000</v>
      </c>
      <c r="F67" s="6"/>
      <c r="G67" s="6"/>
      <c r="H67" s="6"/>
      <c r="I67" s="6"/>
      <c r="J67" s="6"/>
      <c r="K67" s="6"/>
      <c r="L67" s="6"/>
      <c r="M67" s="6"/>
      <c r="N67" s="7">
        <f t="shared" si="11"/>
        <v>0</v>
      </c>
      <c r="O67" s="8">
        <f t="shared" si="12"/>
        <v>1600</v>
      </c>
      <c r="P67" s="6"/>
      <c r="Q67" s="6"/>
      <c r="R67" s="6"/>
      <c r="S67" s="6"/>
      <c r="T67" s="6"/>
      <c r="U67" s="6"/>
      <c r="V67" s="6"/>
      <c r="W67" s="7">
        <f t="shared" si="13"/>
        <v>0</v>
      </c>
      <c r="X67" s="8">
        <f t="shared" si="14"/>
        <v>1200</v>
      </c>
      <c r="Y67" s="6"/>
      <c r="Z67" s="6"/>
      <c r="AA67" s="6"/>
      <c r="AB67" s="6"/>
      <c r="AC67" s="6"/>
      <c r="AD67" s="6"/>
      <c r="AE67" s="6"/>
      <c r="AF67" s="7">
        <f t="shared" si="15"/>
        <v>0</v>
      </c>
      <c r="AG67" s="8">
        <f t="shared" si="16"/>
        <v>600</v>
      </c>
      <c r="AH67" s="6"/>
      <c r="AI67" s="6"/>
      <c r="AJ67" s="6"/>
      <c r="AK67" s="6"/>
      <c r="AL67" s="6"/>
      <c r="AM67" s="6"/>
      <c r="AN67" s="6"/>
      <c r="AO67" s="6"/>
      <c r="AP67" s="6"/>
      <c r="AQ67" s="7">
        <f t="shared" si="17"/>
        <v>0</v>
      </c>
      <c r="AR67" s="8">
        <f t="shared" si="18"/>
        <v>600</v>
      </c>
      <c r="AS67" s="7">
        <f t="shared" si="19"/>
        <v>0</v>
      </c>
      <c r="AT67" s="8">
        <f t="shared" si="20"/>
        <v>-4000</v>
      </c>
      <c r="AU67" s="21">
        <f t="shared" si="21"/>
        <v>0</v>
      </c>
      <c r="AV67" s="22"/>
    </row>
    <row r="68" spans="1:48" ht="18.95">
      <c r="A68" s="16">
        <v>66</v>
      </c>
      <c r="B68" s="17" t="s">
        <v>67</v>
      </c>
      <c r="C68" s="3" t="s">
        <v>68</v>
      </c>
      <c r="D68" s="4" t="s">
        <v>308</v>
      </c>
      <c r="E68" s="5">
        <v>2500</v>
      </c>
      <c r="F68" s="6"/>
      <c r="G68" s="6"/>
      <c r="H68" s="6"/>
      <c r="I68" s="6"/>
      <c r="J68" s="6"/>
      <c r="K68" s="6"/>
      <c r="L68" s="6"/>
      <c r="M68" s="6"/>
      <c r="N68" s="7">
        <f t="shared" ref="N68:N77" si="22">SUM(F68:L68)</f>
        <v>0</v>
      </c>
      <c r="O68" s="8">
        <f t="shared" ref="O68:O77" si="23">E68*40%</f>
        <v>1000</v>
      </c>
      <c r="P68" s="6"/>
      <c r="Q68" s="6"/>
      <c r="R68" s="6"/>
      <c r="S68" s="6"/>
      <c r="T68" s="6"/>
      <c r="U68" s="6"/>
      <c r="V68" s="6"/>
      <c r="W68" s="7">
        <f t="shared" ref="W68:W77" si="24">SUM(P68:V68)</f>
        <v>0</v>
      </c>
      <c r="X68" s="8">
        <f t="shared" ref="X68:X77" si="25">E68*30%</f>
        <v>750</v>
      </c>
      <c r="Y68" s="6"/>
      <c r="Z68" s="6"/>
      <c r="AA68" s="6"/>
      <c r="AB68" s="6"/>
      <c r="AC68" s="6"/>
      <c r="AD68" s="6"/>
      <c r="AE68" s="6"/>
      <c r="AF68" s="7">
        <f t="shared" ref="AF68:AF77" si="26">SUM(Y68:AE68)</f>
        <v>0</v>
      </c>
      <c r="AG68" s="8">
        <f t="shared" ref="AG68:AG77" si="27">E68*15%</f>
        <v>375</v>
      </c>
      <c r="AH68" s="6"/>
      <c r="AI68" s="6"/>
      <c r="AJ68" s="6"/>
      <c r="AK68" s="6"/>
      <c r="AL68" s="6"/>
      <c r="AM68" s="6"/>
      <c r="AN68" s="6"/>
      <c r="AO68" s="6"/>
      <c r="AP68" s="6"/>
      <c r="AQ68" s="7">
        <f t="shared" ref="AQ68:AQ77" si="28">SUM(AH68:AP68)</f>
        <v>0</v>
      </c>
      <c r="AR68" s="8">
        <f t="shared" ref="AR68:AR77" si="29">E68*15%</f>
        <v>375</v>
      </c>
      <c r="AS68" s="7">
        <f t="shared" ref="AS68:AS77" si="30">N68+W68+AF68+AQ68</f>
        <v>0</v>
      </c>
      <c r="AT68" s="8">
        <f t="shared" ref="AT68:AT77" si="31">AS68-E68</f>
        <v>-2500</v>
      </c>
      <c r="AU68" s="21">
        <f t="shared" ref="AU68:AU77" si="32">AS68/E68</f>
        <v>0</v>
      </c>
      <c r="AV68" s="22"/>
    </row>
    <row r="69" spans="1:48" ht="18.95">
      <c r="A69" s="16">
        <v>67</v>
      </c>
      <c r="B69" s="17" t="s">
        <v>67</v>
      </c>
      <c r="C69" s="20" t="s">
        <v>68</v>
      </c>
      <c r="D69" s="11" t="s">
        <v>309</v>
      </c>
      <c r="E69" s="5">
        <v>3200</v>
      </c>
      <c r="F69" s="6"/>
      <c r="G69" s="6"/>
      <c r="H69" s="6"/>
      <c r="I69" s="6"/>
      <c r="J69" s="6"/>
      <c r="K69" s="6"/>
      <c r="L69" s="6"/>
      <c r="M69" s="6"/>
      <c r="N69" s="7">
        <f t="shared" si="22"/>
        <v>0</v>
      </c>
      <c r="O69" s="8">
        <f t="shared" si="23"/>
        <v>1280</v>
      </c>
      <c r="P69" s="6"/>
      <c r="Q69" s="6"/>
      <c r="R69" s="6"/>
      <c r="S69" s="6"/>
      <c r="T69" s="6"/>
      <c r="U69" s="6"/>
      <c r="V69" s="6"/>
      <c r="W69" s="7">
        <f t="shared" si="24"/>
        <v>0</v>
      </c>
      <c r="X69" s="8">
        <f t="shared" si="25"/>
        <v>960</v>
      </c>
      <c r="Y69" s="6"/>
      <c r="Z69" s="6"/>
      <c r="AA69" s="6"/>
      <c r="AB69" s="6"/>
      <c r="AC69" s="6"/>
      <c r="AD69" s="6"/>
      <c r="AE69" s="6"/>
      <c r="AF69" s="7">
        <f t="shared" si="26"/>
        <v>0</v>
      </c>
      <c r="AG69" s="8">
        <f t="shared" si="27"/>
        <v>480</v>
      </c>
      <c r="AH69" s="6"/>
      <c r="AI69" s="6"/>
      <c r="AJ69" s="6"/>
      <c r="AK69" s="6"/>
      <c r="AL69" s="6"/>
      <c r="AM69" s="6"/>
      <c r="AN69" s="6"/>
      <c r="AO69" s="6"/>
      <c r="AP69" s="6"/>
      <c r="AQ69" s="7">
        <f t="shared" si="28"/>
        <v>0</v>
      </c>
      <c r="AR69" s="8">
        <f t="shared" si="29"/>
        <v>480</v>
      </c>
      <c r="AS69" s="7">
        <f t="shared" si="30"/>
        <v>0</v>
      </c>
      <c r="AT69" s="8">
        <f t="shared" si="31"/>
        <v>-3200</v>
      </c>
      <c r="AU69" s="21">
        <f t="shared" si="32"/>
        <v>0</v>
      </c>
      <c r="AV69" s="22"/>
    </row>
    <row r="70" spans="1:48" ht="18.95">
      <c r="A70" s="16">
        <v>69</v>
      </c>
      <c r="B70" s="17" t="s">
        <v>67</v>
      </c>
      <c r="C70" s="19" t="s">
        <v>68</v>
      </c>
      <c r="D70" s="4" t="s">
        <v>310</v>
      </c>
      <c r="E70" s="5">
        <v>3300</v>
      </c>
      <c r="F70" s="6"/>
      <c r="G70" s="6"/>
      <c r="H70" s="6"/>
      <c r="I70" s="6"/>
      <c r="J70" s="6"/>
      <c r="K70" s="6"/>
      <c r="L70" s="6"/>
      <c r="M70" s="6"/>
      <c r="N70" s="7">
        <f t="shared" si="22"/>
        <v>0</v>
      </c>
      <c r="O70" s="8">
        <f t="shared" si="23"/>
        <v>1320</v>
      </c>
      <c r="P70" s="6"/>
      <c r="Q70" s="6"/>
      <c r="R70" s="6"/>
      <c r="S70" s="6"/>
      <c r="T70" s="6"/>
      <c r="U70" s="6"/>
      <c r="V70" s="6"/>
      <c r="W70" s="7">
        <f t="shared" si="24"/>
        <v>0</v>
      </c>
      <c r="X70" s="8">
        <f t="shared" si="25"/>
        <v>990</v>
      </c>
      <c r="Y70" s="6"/>
      <c r="Z70" s="6"/>
      <c r="AA70" s="6"/>
      <c r="AB70" s="6"/>
      <c r="AC70" s="6"/>
      <c r="AD70" s="6"/>
      <c r="AE70" s="6"/>
      <c r="AF70" s="7">
        <f t="shared" si="26"/>
        <v>0</v>
      </c>
      <c r="AG70" s="8">
        <f t="shared" si="27"/>
        <v>495</v>
      </c>
      <c r="AH70" s="6"/>
      <c r="AI70" s="6"/>
      <c r="AJ70" s="6"/>
      <c r="AK70" s="6"/>
      <c r="AL70" s="6"/>
      <c r="AM70" s="6"/>
      <c r="AN70" s="6"/>
      <c r="AO70" s="6"/>
      <c r="AP70" s="6"/>
      <c r="AQ70" s="7">
        <f t="shared" si="28"/>
        <v>0</v>
      </c>
      <c r="AR70" s="8">
        <f t="shared" si="29"/>
        <v>495</v>
      </c>
      <c r="AS70" s="7">
        <f t="shared" si="30"/>
        <v>0</v>
      </c>
      <c r="AT70" s="8">
        <f t="shared" si="31"/>
        <v>-3300</v>
      </c>
      <c r="AU70" s="21">
        <f t="shared" si="32"/>
        <v>0</v>
      </c>
      <c r="AV70" s="22"/>
    </row>
    <row r="71" spans="1:48" ht="18.95">
      <c r="A71" s="16">
        <v>70</v>
      </c>
      <c r="B71" s="17" t="s">
        <v>67</v>
      </c>
      <c r="C71" s="19" t="s">
        <v>68</v>
      </c>
      <c r="D71" s="11" t="s">
        <v>311</v>
      </c>
      <c r="E71" s="5">
        <v>700</v>
      </c>
      <c r="F71" s="6"/>
      <c r="G71" s="6"/>
      <c r="H71" s="6"/>
      <c r="I71" s="6"/>
      <c r="J71" s="6"/>
      <c r="K71" s="6"/>
      <c r="L71" s="6"/>
      <c r="M71" s="6"/>
      <c r="N71" s="7">
        <f t="shared" si="22"/>
        <v>0</v>
      </c>
      <c r="O71" s="8">
        <f t="shared" si="23"/>
        <v>280</v>
      </c>
      <c r="P71" s="6"/>
      <c r="Q71" s="6"/>
      <c r="R71" s="6"/>
      <c r="S71" s="6"/>
      <c r="T71" s="6"/>
      <c r="U71" s="6"/>
      <c r="V71" s="6"/>
      <c r="W71" s="7">
        <f t="shared" si="24"/>
        <v>0</v>
      </c>
      <c r="X71" s="8">
        <f t="shared" si="25"/>
        <v>210</v>
      </c>
      <c r="Y71" s="6"/>
      <c r="Z71" s="6"/>
      <c r="AA71" s="6"/>
      <c r="AB71" s="6"/>
      <c r="AC71" s="6"/>
      <c r="AD71" s="6"/>
      <c r="AE71" s="6"/>
      <c r="AF71" s="7">
        <f t="shared" si="26"/>
        <v>0</v>
      </c>
      <c r="AG71" s="8">
        <f t="shared" si="27"/>
        <v>105</v>
      </c>
      <c r="AH71" s="6"/>
      <c r="AI71" s="6"/>
      <c r="AJ71" s="6"/>
      <c r="AK71" s="6"/>
      <c r="AL71" s="6"/>
      <c r="AM71" s="6"/>
      <c r="AN71" s="6"/>
      <c r="AO71" s="6"/>
      <c r="AP71" s="6"/>
      <c r="AQ71" s="7">
        <f t="shared" si="28"/>
        <v>0</v>
      </c>
      <c r="AR71" s="8">
        <f t="shared" si="29"/>
        <v>105</v>
      </c>
      <c r="AS71" s="7">
        <f t="shared" si="30"/>
        <v>0</v>
      </c>
      <c r="AT71" s="8">
        <f t="shared" si="31"/>
        <v>-700</v>
      </c>
      <c r="AU71" s="21">
        <f t="shared" si="32"/>
        <v>0</v>
      </c>
      <c r="AV71" s="22"/>
    </row>
    <row r="72" spans="1:48" ht="18.95">
      <c r="A72" s="16">
        <v>71</v>
      </c>
      <c r="B72" s="17" t="s">
        <v>67</v>
      </c>
      <c r="C72" s="19" t="s">
        <v>68</v>
      </c>
      <c r="D72" s="11" t="s">
        <v>312</v>
      </c>
      <c r="E72" s="5">
        <v>700</v>
      </c>
      <c r="F72" s="6"/>
      <c r="G72" s="6"/>
      <c r="H72" s="6"/>
      <c r="I72" s="6"/>
      <c r="J72" s="6"/>
      <c r="K72" s="6"/>
      <c r="L72" s="6"/>
      <c r="M72" s="6"/>
      <c r="N72" s="7">
        <f t="shared" si="22"/>
        <v>0</v>
      </c>
      <c r="O72" s="8">
        <f t="shared" si="23"/>
        <v>280</v>
      </c>
      <c r="P72" s="6"/>
      <c r="Q72" s="6"/>
      <c r="R72" s="6"/>
      <c r="S72" s="6"/>
      <c r="T72" s="6"/>
      <c r="U72" s="6"/>
      <c r="V72" s="6"/>
      <c r="W72" s="7">
        <f t="shared" si="24"/>
        <v>0</v>
      </c>
      <c r="X72" s="8">
        <f t="shared" si="25"/>
        <v>210</v>
      </c>
      <c r="Y72" s="6"/>
      <c r="Z72" s="6"/>
      <c r="AA72" s="6"/>
      <c r="AB72" s="6"/>
      <c r="AC72" s="6"/>
      <c r="AD72" s="6"/>
      <c r="AE72" s="6"/>
      <c r="AF72" s="7">
        <f t="shared" si="26"/>
        <v>0</v>
      </c>
      <c r="AG72" s="8">
        <f t="shared" si="27"/>
        <v>105</v>
      </c>
      <c r="AH72" s="6"/>
      <c r="AI72" s="6"/>
      <c r="AJ72" s="6"/>
      <c r="AK72" s="6"/>
      <c r="AL72" s="6"/>
      <c r="AM72" s="6"/>
      <c r="AN72" s="6"/>
      <c r="AO72" s="6"/>
      <c r="AP72" s="6"/>
      <c r="AQ72" s="7">
        <f t="shared" si="28"/>
        <v>0</v>
      </c>
      <c r="AR72" s="8">
        <f t="shared" si="29"/>
        <v>105</v>
      </c>
      <c r="AS72" s="7">
        <f t="shared" si="30"/>
        <v>0</v>
      </c>
      <c r="AT72" s="8">
        <f t="shared" si="31"/>
        <v>-700</v>
      </c>
      <c r="AU72" s="21">
        <f t="shared" si="32"/>
        <v>0</v>
      </c>
      <c r="AV72" s="22"/>
    </row>
    <row r="73" spans="1:48" ht="18.95">
      <c r="A73" s="16">
        <v>72</v>
      </c>
      <c r="B73" s="17" t="s">
        <v>67</v>
      </c>
      <c r="C73" s="19" t="s">
        <v>68</v>
      </c>
      <c r="D73" s="4" t="s">
        <v>313</v>
      </c>
      <c r="E73" s="5">
        <v>800</v>
      </c>
      <c r="F73" s="6"/>
      <c r="G73" s="6"/>
      <c r="H73" s="6"/>
      <c r="I73" s="6"/>
      <c r="J73" s="6"/>
      <c r="K73" s="6"/>
      <c r="L73" s="6"/>
      <c r="M73" s="6"/>
      <c r="N73" s="7">
        <f t="shared" si="22"/>
        <v>0</v>
      </c>
      <c r="O73" s="8">
        <f t="shared" si="23"/>
        <v>320</v>
      </c>
      <c r="P73" s="6"/>
      <c r="Q73" s="6"/>
      <c r="R73" s="6"/>
      <c r="S73" s="6"/>
      <c r="T73" s="6"/>
      <c r="U73" s="6"/>
      <c r="V73" s="6"/>
      <c r="W73" s="7">
        <f t="shared" si="24"/>
        <v>0</v>
      </c>
      <c r="X73" s="8">
        <f t="shared" si="25"/>
        <v>240</v>
      </c>
      <c r="Y73" s="6"/>
      <c r="Z73" s="6"/>
      <c r="AA73" s="6"/>
      <c r="AB73" s="6"/>
      <c r="AC73" s="6"/>
      <c r="AD73" s="6"/>
      <c r="AE73" s="6"/>
      <c r="AF73" s="7">
        <f t="shared" si="26"/>
        <v>0</v>
      </c>
      <c r="AG73" s="8">
        <f t="shared" si="27"/>
        <v>120</v>
      </c>
      <c r="AH73" s="6"/>
      <c r="AI73" s="6"/>
      <c r="AJ73" s="6"/>
      <c r="AK73" s="6"/>
      <c r="AL73" s="6"/>
      <c r="AM73" s="6"/>
      <c r="AN73" s="6"/>
      <c r="AO73" s="6"/>
      <c r="AP73" s="6"/>
      <c r="AQ73" s="7">
        <f t="shared" si="28"/>
        <v>0</v>
      </c>
      <c r="AR73" s="8">
        <f t="shared" si="29"/>
        <v>120</v>
      </c>
      <c r="AS73" s="7">
        <f t="shared" si="30"/>
        <v>0</v>
      </c>
      <c r="AT73" s="8">
        <f t="shared" si="31"/>
        <v>-800</v>
      </c>
      <c r="AU73" s="21">
        <f t="shared" si="32"/>
        <v>0</v>
      </c>
      <c r="AV73" s="22"/>
    </row>
    <row r="74" spans="1:48" ht="18.95">
      <c r="A74" s="16">
        <v>73</v>
      </c>
      <c r="B74" s="17" t="s">
        <v>67</v>
      </c>
      <c r="C74" s="19" t="s">
        <v>68</v>
      </c>
      <c r="D74" s="4" t="s">
        <v>314</v>
      </c>
      <c r="E74" s="5">
        <v>800</v>
      </c>
      <c r="F74" s="6"/>
      <c r="G74" s="6"/>
      <c r="H74" s="6"/>
      <c r="I74" s="6"/>
      <c r="J74" s="6"/>
      <c r="K74" s="6"/>
      <c r="L74" s="6"/>
      <c r="M74" s="6"/>
      <c r="N74" s="7">
        <f t="shared" si="22"/>
        <v>0</v>
      </c>
      <c r="O74" s="8">
        <f t="shared" si="23"/>
        <v>320</v>
      </c>
      <c r="P74" s="6"/>
      <c r="Q74" s="6"/>
      <c r="R74" s="6"/>
      <c r="S74" s="6"/>
      <c r="T74" s="6"/>
      <c r="U74" s="6"/>
      <c r="V74" s="6"/>
      <c r="W74" s="7">
        <f t="shared" si="24"/>
        <v>0</v>
      </c>
      <c r="X74" s="8">
        <f t="shared" si="25"/>
        <v>240</v>
      </c>
      <c r="Y74" s="6"/>
      <c r="Z74" s="6"/>
      <c r="AA74" s="6"/>
      <c r="AB74" s="6"/>
      <c r="AC74" s="6"/>
      <c r="AD74" s="6"/>
      <c r="AE74" s="6"/>
      <c r="AF74" s="7">
        <f t="shared" si="26"/>
        <v>0</v>
      </c>
      <c r="AG74" s="8">
        <f t="shared" si="27"/>
        <v>120</v>
      </c>
      <c r="AH74" s="6"/>
      <c r="AI74" s="6"/>
      <c r="AJ74" s="6"/>
      <c r="AK74" s="6"/>
      <c r="AL74" s="6"/>
      <c r="AM74" s="6"/>
      <c r="AN74" s="6"/>
      <c r="AO74" s="6"/>
      <c r="AP74" s="6"/>
      <c r="AQ74" s="7">
        <f t="shared" si="28"/>
        <v>0</v>
      </c>
      <c r="AR74" s="8">
        <f t="shared" si="29"/>
        <v>120</v>
      </c>
      <c r="AS74" s="7">
        <f t="shared" si="30"/>
        <v>0</v>
      </c>
      <c r="AT74" s="8">
        <f t="shared" si="31"/>
        <v>-800</v>
      </c>
      <c r="AU74" s="21">
        <f t="shared" si="32"/>
        <v>0</v>
      </c>
      <c r="AV74" s="22"/>
    </row>
    <row r="75" spans="1:48" ht="18.95">
      <c r="A75" s="16">
        <v>74</v>
      </c>
      <c r="B75" s="17" t="s">
        <v>67</v>
      </c>
      <c r="C75" s="3" t="s">
        <v>68</v>
      </c>
      <c r="D75" s="4" t="s">
        <v>315</v>
      </c>
      <c r="E75" s="5">
        <v>12000</v>
      </c>
      <c r="F75" s="6"/>
      <c r="G75" s="6"/>
      <c r="H75" s="6"/>
      <c r="I75" s="6"/>
      <c r="J75" s="6"/>
      <c r="K75" s="6"/>
      <c r="L75" s="6"/>
      <c r="M75" s="6"/>
      <c r="N75" s="7">
        <f t="shared" si="22"/>
        <v>0</v>
      </c>
      <c r="O75" s="8">
        <f t="shared" si="23"/>
        <v>4800</v>
      </c>
      <c r="P75" s="6"/>
      <c r="Q75" s="6"/>
      <c r="R75" s="6"/>
      <c r="S75" s="6">
        <v>4850</v>
      </c>
      <c r="T75" s="6"/>
      <c r="U75" s="6"/>
      <c r="V75" s="6"/>
      <c r="W75" s="7">
        <f t="shared" si="24"/>
        <v>4850</v>
      </c>
      <c r="X75" s="8">
        <f t="shared" si="25"/>
        <v>3600</v>
      </c>
      <c r="Y75" s="6"/>
      <c r="Z75" s="6"/>
      <c r="AA75" s="6"/>
      <c r="AB75" s="6"/>
      <c r="AC75" s="6"/>
      <c r="AD75" s="6"/>
      <c r="AE75" s="6"/>
      <c r="AF75" s="7">
        <f t="shared" si="26"/>
        <v>0</v>
      </c>
      <c r="AG75" s="8">
        <f t="shared" si="27"/>
        <v>1800</v>
      </c>
      <c r="AH75" s="6"/>
      <c r="AI75" s="6"/>
      <c r="AJ75" s="6"/>
      <c r="AK75" s="6"/>
      <c r="AL75" s="6"/>
      <c r="AM75" s="6"/>
      <c r="AN75" s="6"/>
      <c r="AO75" s="6"/>
      <c r="AP75" s="6"/>
      <c r="AQ75" s="7">
        <f t="shared" si="28"/>
        <v>0</v>
      </c>
      <c r="AR75" s="8">
        <f t="shared" si="29"/>
        <v>1800</v>
      </c>
      <c r="AS75" s="7">
        <f t="shared" si="30"/>
        <v>4850</v>
      </c>
      <c r="AT75" s="8">
        <f t="shared" si="31"/>
        <v>-7150</v>
      </c>
      <c r="AU75" s="21">
        <f t="shared" si="32"/>
        <v>0.40416666666666667</v>
      </c>
      <c r="AV75" s="22"/>
    </row>
    <row r="76" spans="1:48" ht="18.95">
      <c r="A76" s="16">
        <v>75</v>
      </c>
      <c r="B76" s="17" t="s">
        <v>67</v>
      </c>
      <c r="C76" s="3" t="s">
        <v>68</v>
      </c>
      <c r="D76" s="4" t="s">
        <v>316</v>
      </c>
      <c r="E76" s="5">
        <v>12000</v>
      </c>
      <c r="F76" s="6"/>
      <c r="G76" s="6"/>
      <c r="H76" s="6"/>
      <c r="I76" s="6"/>
      <c r="J76" s="6"/>
      <c r="K76" s="6"/>
      <c r="L76" s="6"/>
      <c r="M76" s="6"/>
      <c r="N76" s="7">
        <f t="shared" si="22"/>
        <v>0</v>
      </c>
      <c r="O76" s="8">
        <f t="shared" si="23"/>
        <v>4800</v>
      </c>
      <c r="P76" s="6"/>
      <c r="Q76" s="6"/>
      <c r="R76" s="6"/>
      <c r="S76" s="6">
        <v>5160</v>
      </c>
      <c r="T76" s="6"/>
      <c r="U76" s="6"/>
      <c r="V76" s="6"/>
      <c r="W76" s="7">
        <f t="shared" si="24"/>
        <v>5160</v>
      </c>
      <c r="X76" s="8">
        <f t="shared" si="25"/>
        <v>3600</v>
      </c>
      <c r="Y76" s="6"/>
      <c r="Z76" s="6"/>
      <c r="AA76" s="6"/>
      <c r="AB76" s="6"/>
      <c r="AC76" s="6"/>
      <c r="AD76" s="6"/>
      <c r="AE76" s="6"/>
      <c r="AF76" s="7">
        <f t="shared" si="26"/>
        <v>0</v>
      </c>
      <c r="AG76" s="8">
        <f t="shared" si="27"/>
        <v>1800</v>
      </c>
      <c r="AH76" s="6"/>
      <c r="AI76" s="6"/>
      <c r="AJ76" s="6"/>
      <c r="AK76" s="6"/>
      <c r="AL76" s="6"/>
      <c r="AM76" s="6"/>
      <c r="AN76" s="6"/>
      <c r="AO76" s="6"/>
      <c r="AP76" s="6"/>
      <c r="AQ76" s="7">
        <f t="shared" si="28"/>
        <v>0</v>
      </c>
      <c r="AR76" s="8">
        <f t="shared" si="29"/>
        <v>1800</v>
      </c>
      <c r="AS76" s="7">
        <f t="shared" si="30"/>
        <v>5160</v>
      </c>
      <c r="AT76" s="8">
        <f t="shared" si="31"/>
        <v>-6840</v>
      </c>
      <c r="AU76" s="21">
        <f t="shared" si="32"/>
        <v>0.43</v>
      </c>
      <c r="AV76" s="22"/>
    </row>
    <row r="77" spans="1:48" ht="18.95">
      <c r="A77" s="16">
        <v>76</v>
      </c>
      <c r="B77" s="17" t="s">
        <v>67</v>
      </c>
      <c r="C77" s="3" t="s">
        <v>68</v>
      </c>
      <c r="D77" s="4" t="s">
        <v>317</v>
      </c>
      <c r="E77" s="5">
        <v>800</v>
      </c>
      <c r="F77" s="6"/>
      <c r="G77" s="6"/>
      <c r="H77" s="6"/>
      <c r="I77" s="6"/>
      <c r="J77" s="6"/>
      <c r="K77" s="6"/>
      <c r="L77" s="6"/>
      <c r="M77" s="6"/>
      <c r="N77" s="7">
        <f t="shared" si="22"/>
        <v>0</v>
      </c>
      <c r="O77" s="8">
        <f t="shared" si="23"/>
        <v>320</v>
      </c>
      <c r="P77" s="6"/>
      <c r="Q77" s="6"/>
      <c r="R77" s="6"/>
      <c r="S77" s="6"/>
      <c r="T77" s="6"/>
      <c r="U77" s="6"/>
      <c r="V77" s="6"/>
      <c r="W77" s="7">
        <f t="shared" si="24"/>
        <v>0</v>
      </c>
      <c r="X77" s="8">
        <f t="shared" si="25"/>
        <v>240</v>
      </c>
      <c r="Y77" s="6"/>
      <c r="Z77" s="6"/>
      <c r="AA77" s="6"/>
      <c r="AB77" s="6"/>
      <c r="AC77" s="6"/>
      <c r="AD77" s="6"/>
      <c r="AE77" s="6"/>
      <c r="AF77" s="7">
        <f t="shared" si="26"/>
        <v>0</v>
      </c>
      <c r="AG77" s="8">
        <f t="shared" si="27"/>
        <v>120</v>
      </c>
      <c r="AH77" s="6"/>
      <c r="AI77" s="6"/>
      <c r="AJ77" s="6"/>
      <c r="AK77" s="6"/>
      <c r="AL77" s="6"/>
      <c r="AM77" s="6"/>
      <c r="AN77" s="6"/>
      <c r="AO77" s="6"/>
      <c r="AP77" s="6"/>
      <c r="AQ77" s="7">
        <f t="shared" si="28"/>
        <v>0</v>
      </c>
      <c r="AR77" s="8">
        <f t="shared" si="29"/>
        <v>120</v>
      </c>
      <c r="AS77" s="7">
        <f t="shared" si="30"/>
        <v>0</v>
      </c>
      <c r="AT77" s="8">
        <f t="shared" si="31"/>
        <v>-800</v>
      </c>
      <c r="AU77" s="21">
        <f t="shared" si="32"/>
        <v>0</v>
      </c>
      <c r="AV77" s="22"/>
    </row>
    <row r="78" spans="1:48" ht="18.95">
      <c r="A78" s="16">
        <v>77</v>
      </c>
      <c r="B78" s="17" t="s">
        <v>67</v>
      </c>
      <c r="C78" s="3" t="s">
        <v>68</v>
      </c>
      <c r="D78" s="4" t="s">
        <v>318</v>
      </c>
      <c r="E78" s="5">
        <v>1400</v>
      </c>
      <c r="F78" s="6"/>
      <c r="G78" s="6"/>
      <c r="H78" s="6"/>
      <c r="I78" s="6"/>
      <c r="J78" s="6"/>
      <c r="K78" s="6"/>
      <c r="L78" s="6"/>
      <c r="M78" s="6"/>
      <c r="N78" s="7">
        <f t="shared" ref="N78" si="33">SUM(F78:L78)</f>
        <v>0</v>
      </c>
      <c r="O78" s="8">
        <f t="shared" ref="O78" si="34">E78*40%</f>
        <v>560</v>
      </c>
      <c r="P78" s="6"/>
      <c r="Q78" s="6"/>
      <c r="R78" s="6"/>
      <c r="S78" s="6"/>
      <c r="T78" s="6"/>
      <c r="U78" s="6"/>
      <c r="V78" s="6"/>
      <c r="W78" s="7">
        <f t="shared" ref="W78" si="35">SUM(P78:V78)</f>
        <v>0</v>
      </c>
      <c r="X78" s="8">
        <f t="shared" ref="X78" si="36">E78*30%</f>
        <v>420</v>
      </c>
      <c r="Y78" s="6"/>
      <c r="Z78" s="6"/>
      <c r="AA78" s="6"/>
      <c r="AB78" s="6"/>
      <c r="AC78" s="6"/>
      <c r="AD78" s="6"/>
      <c r="AE78" s="6"/>
      <c r="AF78" s="7">
        <f t="shared" ref="AF78" si="37">SUM(Y78:AE78)</f>
        <v>0</v>
      </c>
      <c r="AG78" s="8">
        <f t="shared" ref="AG78" si="38">E78*15%</f>
        <v>210</v>
      </c>
      <c r="AH78" s="6"/>
      <c r="AI78" s="6"/>
      <c r="AJ78" s="6"/>
      <c r="AK78" s="6"/>
      <c r="AL78" s="6"/>
      <c r="AM78" s="6"/>
      <c r="AN78" s="6"/>
      <c r="AO78" s="6"/>
      <c r="AP78" s="6"/>
      <c r="AQ78" s="7">
        <f t="shared" ref="AQ78" si="39">SUM(AH78:AP78)</f>
        <v>0</v>
      </c>
      <c r="AR78" s="8">
        <f t="shared" ref="AR78" si="40">E78*15%</f>
        <v>210</v>
      </c>
      <c r="AS78" s="7">
        <f t="shared" ref="AS78" si="41">N78+W78+AF78+AQ78</f>
        <v>0</v>
      </c>
      <c r="AT78" s="8">
        <f t="shared" ref="AT78" si="42">AS78-E78</f>
        <v>-1400</v>
      </c>
      <c r="AU78" s="21">
        <f t="shared" ref="AU78" si="43">AS78/E78</f>
        <v>0</v>
      </c>
      <c r="AV78" s="22"/>
    </row>
    <row r="79" spans="1:48" ht="18.600000000000001">
      <c r="D79" s="53" t="s">
        <v>319</v>
      </c>
      <c r="E79" s="53"/>
    </row>
    <row r="80" spans="1:48" ht="18.600000000000001">
      <c r="D80" s="53" t="s">
        <v>320</v>
      </c>
      <c r="E80" s="53"/>
    </row>
    <row r="81" spans="4:48" ht="19.5">
      <c r="D81" s="53" t="s">
        <v>321</v>
      </c>
      <c r="E81" s="53"/>
      <c r="F81" s="6"/>
      <c r="G81" s="6"/>
      <c r="H81" s="6"/>
      <c r="I81" s="6"/>
      <c r="J81" s="6"/>
      <c r="K81" s="6"/>
      <c r="L81" s="6"/>
      <c r="M81" s="6"/>
      <c r="N81" s="7">
        <f t="shared" ref="N81" si="44">SUM(F81:L81)</f>
        <v>0</v>
      </c>
      <c r="O81" s="8">
        <f t="shared" ref="O81" si="45">E81*40%</f>
        <v>0</v>
      </c>
      <c r="P81" s="6"/>
      <c r="Q81" s="6"/>
      <c r="R81" s="6"/>
      <c r="S81" s="6"/>
      <c r="T81" s="6"/>
      <c r="U81" s="6"/>
      <c r="V81" s="6"/>
      <c r="W81" s="7">
        <f t="shared" ref="W81" si="46">SUM(P81:V81)</f>
        <v>0</v>
      </c>
      <c r="X81" s="8">
        <f t="shared" ref="X81" si="47">E81*30%</f>
        <v>0</v>
      </c>
      <c r="Y81" s="6"/>
      <c r="Z81" s="6"/>
      <c r="AA81" s="6"/>
      <c r="AB81" s="6"/>
      <c r="AC81" s="6"/>
      <c r="AD81" s="6"/>
      <c r="AE81" s="6"/>
      <c r="AF81" s="7">
        <f t="shared" ref="AF81" si="48">SUM(Y81:AE81)</f>
        <v>0</v>
      </c>
      <c r="AG81" s="8">
        <f t="shared" ref="AG81" si="49">E81*15%</f>
        <v>0</v>
      </c>
      <c r="AH81" s="6"/>
      <c r="AI81" s="6"/>
      <c r="AJ81" s="6"/>
      <c r="AK81" s="6"/>
      <c r="AL81" s="6"/>
      <c r="AM81" s="6"/>
      <c r="AN81" s="6"/>
      <c r="AO81" s="6"/>
      <c r="AP81" s="6"/>
      <c r="AQ81" s="7">
        <f t="shared" ref="AQ81" si="50">SUM(AH81:AP81)</f>
        <v>0</v>
      </c>
      <c r="AR81" s="8">
        <f t="shared" ref="AR81" si="51">E81*15%</f>
        <v>0</v>
      </c>
      <c r="AS81" s="7">
        <f t="shared" ref="AS81" si="52">N81+W81+AF81+AQ81</f>
        <v>0</v>
      </c>
      <c r="AT81" s="8">
        <f t="shared" ref="AT81" si="53">AS81-E81</f>
        <v>0</v>
      </c>
      <c r="AU81" s="21" t="e">
        <f t="shared" ref="AU81" si="54">AS81/E81</f>
        <v>#DIV/0!</v>
      </c>
      <c r="AV81" s="22"/>
    </row>
    <row r="82" spans="4:48" ht="18.600000000000001">
      <c r="D82" s="53" t="s">
        <v>322</v>
      </c>
      <c r="E82" s="53"/>
      <c r="P82">
        <f>10000+150</f>
        <v>10150</v>
      </c>
    </row>
  </sheetData>
  <autoFilter ref="A1:AV81" xr:uid="{3DE95B44-93A9-461C-B463-7952FD176016}"/>
  <conditionalFormatting sqref="F2:M78 P2:V78 Y2:AE78 AH2:AP78 F81:M81 P81:V81 Y81:AE81 AH81:AP81">
    <cfRule type="cellIs" dxfId="0" priority="2" operator="lessThanOrEqual">
      <formula>0</formula>
    </cfRule>
  </conditionalFormatting>
  <conditionalFormatting sqref="AU2:AU78 AU81">
    <cfRule type="colorScale" priority="1">
      <colorScale>
        <cfvo type="formula" val="30%"/>
        <cfvo type="formula" val="60%"/>
        <cfvo type="formula" val="90%"/>
        <color rgb="FFFF0000"/>
        <color rgb="FFFF9900"/>
        <color rgb="FF00FF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15A6-E889-4288-8FD9-7885BA0FCAC3}">
  <dimension ref="A1:AY152"/>
  <sheetViews>
    <sheetView showGridLines="0" zoomScale="85" zoomScaleNormal="85" workbookViewId="0">
      <selection activeCell="C11" sqref="C11"/>
    </sheetView>
  </sheetViews>
  <sheetFormatPr defaultRowHeight="14.45"/>
  <cols>
    <col min="1" max="1" width="14.85546875" style="35" customWidth="1"/>
    <col min="2" max="2" width="17.140625" style="35" customWidth="1"/>
    <col min="3" max="3" width="21.28515625" style="35" customWidth="1"/>
    <col min="4" max="4" width="34.28515625" style="35" customWidth="1"/>
    <col min="5" max="6" width="17.5703125" style="35" customWidth="1"/>
    <col min="7" max="7" width="17.5703125" style="36" customWidth="1"/>
    <col min="8" max="8" width="16.7109375" style="35" customWidth="1"/>
    <col min="9" max="9" width="21" style="35" hidden="1" customWidth="1"/>
    <col min="10" max="10" width="28.5703125" style="35" hidden="1" customWidth="1"/>
    <col min="11" max="14" width="14.28515625" style="35" customWidth="1"/>
    <col min="15" max="16" width="14.28515625" style="36" customWidth="1"/>
    <col min="17" max="23" width="14.28515625" style="35" customWidth="1"/>
    <col min="24" max="25" width="14.28515625" style="36" customWidth="1"/>
    <col min="26" max="32" width="14.28515625" style="35" customWidth="1"/>
    <col min="33" max="34" width="14.28515625" style="36" customWidth="1"/>
    <col min="35" max="43" width="14.28515625" style="35" customWidth="1"/>
    <col min="44" max="45" width="14.28515625" style="36" customWidth="1"/>
    <col min="46" max="46" width="18.7109375" style="36" customWidth="1"/>
    <col min="47" max="47" width="16.85546875" style="36" customWidth="1"/>
    <col min="48" max="48" width="16" style="37" customWidth="1"/>
    <col min="49" max="49" width="11.42578125" style="35" customWidth="1"/>
    <col min="50" max="51" width="14.28515625" style="35" customWidth="1"/>
  </cols>
  <sheetData>
    <row r="1" spans="1:51" ht="33.75" customHeight="1">
      <c r="A1" s="103" t="s">
        <v>323</v>
      </c>
      <c r="B1" s="103"/>
      <c r="C1" s="103"/>
      <c r="D1" s="103"/>
      <c r="E1" s="103"/>
      <c r="F1" s="103"/>
      <c r="G1" s="103"/>
      <c r="H1" s="103"/>
      <c r="I1" s="103"/>
      <c r="J1" s="103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1" ht="18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1" ht="27.75" customHeight="1">
      <c r="A3" s="63" t="s">
        <v>324</v>
      </c>
      <c r="B3" s="104" t="s">
        <v>325</v>
      </c>
      <c r="C3" s="105"/>
      <c r="D3" s="105"/>
      <c r="E3" s="105"/>
      <c r="F3" s="105"/>
      <c r="G3" s="106"/>
      <c r="H3" s="100"/>
      <c r="I3" s="100"/>
      <c r="J3" s="100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1" ht="33.75" customHeight="1">
      <c r="A4" s="94" t="s">
        <v>20</v>
      </c>
      <c r="B4" s="94" t="s">
        <v>8</v>
      </c>
      <c r="C4" s="94" t="s">
        <v>10</v>
      </c>
      <c r="D4" s="94" t="s">
        <v>21</v>
      </c>
      <c r="E4" s="94" t="s">
        <v>326</v>
      </c>
      <c r="F4" s="94" t="s">
        <v>327</v>
      </c>
      <c r="G4" s="94" t="s">
        <v>44</v>
      </c>
      <c r="H4" s="94" t="s">
        <v>15</v>
      </c>
      <c r="I4" s="59" t="s">
        <v>243</v>
      </c>
      <c r="J4" s="59" t="s">
        <v>328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1" ht="18" customHeight="1">
      <c r="A5" s="64" t="str" cm="1">
        <f t="array" ref="A5">_xlfn.LET(_xlpm.q,TRIM($B$3),_xlpm.m,ISNUMBER(SEARCH(_xlpm.q,RM!$B$2:$B$60&amp;" "&amp;RM!$E$2:$E$60)),_xlpm.rec,_xlfn.BYROW(_xlfn.HSTACK(RM!$J$2:$Q$60,RM!$R$2:$X$60,RM!$Y$2:$AE$60,RM!$AF$2:$AN$60),_xlfn.LAMBDA(_xlpm.r,SUM(_xlpm.r))),_xlpm.req,RM!$F$2:$F$60,_xlpm.p,IF(_xlpm.req-_xlpm.rec&lt;0,0,_xlpm.req-_xlpm.rec),_xlpm.rate,IFERROR(_xlpm.rec/_xlpm.req,0),_xlpm.rem,IF(RM!#REF!="","",RM!#REF!),_xlpm.det,IF(RM!#REF!="","",RM!#REF!),_xlpm.out,_xlfn.HSTACK(RM!$B$2:$B$60,RM!$C$2:$C$60,RM!$D$2:$D$60,RM!$E$2:$E$60,_xlpm.req,_xlpm.rec,_xlpm.p,_xlpm.rate,_xlpm.rem,_xlpm.det),IF(_xlpm.q="","Enter an RM code or name above",IFERROR(_xlfn._xlws.FILTER(_xlpm.out,_xlpm.m),"No matching RM found")))</f>
        <v>No matching RM found</v>
      </c>
      <c r="B5" s="64"/>
      <c r="C5" s="64"/>
      <c r="D5" s="67"/>
      <c r="E5" s="66"/>
      <c r="F5" s="66"/>
      <c r="G5" s="66"/>
      <c r="H5" s="68"/>
      <c r="I5" s="61"/>
      <c r="J5" s="61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8" customHeight="1">
      <c r="A6" s="64"/>
      <c r="B6" s="64"/>
      <c r="C6" s="64"/>
      <c r="D6" s="67"/>
      <c r="E6" s="66"/>
      <c r="F6" s="66"/>
      <c r="G6" s="66"/>
      <c r="H6" s="68"/>
      <c r="I6" s="61"/>
      <c r="J6" s="61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8" customHeight="1">
      <c r="A7" s="64"/>
      <c r="B7" s="64"/>
      <c r="C7" s="64"/>
      <c r="D7" s="67"/>
      <c r="E7" s="66"/>
      <c r="F7" s="66"/>
      <c r="G7" s="66"/>
      <c r="H7" s="68"/>
      <c r="I7" s="61"/>
      <c r="J7" s="6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8" customHeight="1">
      <c r="A8" s="64"/>
      <c r="B8" s="64"/>
      <c r="C8" s="64"/>
      <c r="D8" s="67"/>
      <c r="E8" s="66"/>
      <c r="F8" s="66"/>
      <c r="G8" s="66"/>
      <c r="H8" s="68"/>
      <c r="I8" s="61"/>
      <c r="J8" s="61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8" customHeight="1">
      <c r="A9" s="64"/>
      <c r="B9" s="64"/>
      <c r="C9" s="64"/>
      <c r="D9" s="67"/>
      <c r="E9" s="66"/>
      <c r="F9" s="66"/>
      <c r="G9" s="66"/>
      <c r="H9" s="68"/>
      <c r="I9" s="61"/>
      <c r="J9" s="61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8" customHeight="1">
      <c r="A10" s="64"/>
      <c r="B10" s="64"/>
      <c r="C10" s="64"/>
      <c r="D10" s="67"/>
      <c r="E10" s="66"/>
      <c r="F10" s="66"/>
      <c r="G10" s="66"/>
      <c r="H10" s="68"/>
      <c r="I10" s="61"/>
      <c r="J10" s="6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8" customHeight="1">
      <c r="A11" s="64"/>
      <c r="B11" s="64"/>
      <c r="C11" s="64"/>
      <c r="D11" s="67"/>
      <c r="E11" s="66"/>
      <c r="F11" s="66"/>
      <c r="G11" s="66"/>
      <c r="H11" s="68"/>
      <c r="I11" s="61"/>
      <c r="J11" s="6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8" customHeight="1">
      <c r="A12" s="64"/>
      <c r="B12" s="64"/>
      <c r="C12" s="64"/>
      <c r="D12" s="67"/>
      <c r="E12" s="66"/>
      <c r="F12" s="66"/>
      <c r="G12" s="66"/>
      <c r="H12" s="68"/>
      <c r="I12" s="61"/>
      <c r="J12" s="6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8" customHeight="1">
      <c r="A13" s="64"/>
      <c r="B13" s="64"/>
      <c r="C13" s="64"/>
      <c r="D13" s="67"/>
      <c r="E13" s="66"/>
      <c r="F13" s="66"/>
      <c r="G13" s="66"/>
      <c r="H13" s="68"/>
      <c r="I13" s="61"/>
      <c r="J13" s="6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8" customHeight="1">
      <c r="A14" s="64"/>
      <c r="B14" s="64"/>
      <c r="C14" s="64"/>
      <c r="D14" s="67"/>
      <c r="E14" s="66"/>
      <c r="F14" s="66"/>
      <c r="G14" s="66"/>
      <c r="H14" s="68"/>
      <c r="I14" s="61"/>
      <c r="J14" s="6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8" customHeight="1">
      <c r="A15" s="64"/>
      <c r="B15" s="64"/>
      <c r="C15" s="64"/>
      <c r="D15" s="67"/>
      <c r="E15" s="66"/>
      <c r="F15" s="66"/>
      <c r="G15" s="66"/>
      <c r="H15" s="68"/>
      <c r="I15" s="61"/>
      <c r="J15" s="6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8" customHeight="1">
      <c r="A16" s="64"/>
      <c r="B16" s="64"/>
      <c r="C16" s="64"/>
      <c r="D16" s="67"/>
      <c r="E16" s="66"/>
      <c r="F16" s="66"/>
      <c r="G16" s="66"/>
      <c r="H16" s="68"/>
      <c r="I16" s="61"/>
      <c r="J16" s="6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8" customHeight="1">
      <c r="A17" s="64"/>
      <c r="B17" s="64"/>
      <c r="C17" s="64"/>
      <c r="D17" s="67"/>
      <c r="E17" s="66"/>
      <c r="F17" s="66"/>
      <c r="G17" s="66"/>
      <c r="H17" s="68"/>
      <c r="I17" s="61"/>
      <c r="J17" s="6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18" customHeight="1">
      <c r="A18" s="64"/>
      <c r="B18" s="64"/>
      <c r="C18" s="64"/>
      <c r="D18" s="67"/>
      <c r="E18" s="66"/>
      <c r="F18" s="66"/>
      <c r="G18" s="66"/>
      <c r="H18" s="68"/>
      <c r="I18" s="61"/>
      <c r="J18" s="6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8" customHeight="1">
      <c r="A19" s="64"/>
      <c r="B19" s="64"/>
      <c r="C19" s="64"/>
      <c r="D19" s="67"/>
      <c r="E19" s="66"/>
      <c r="F19" s="66"/>
      <c r="G19" s="66"/>
      <c r="H19" s="68"/>
      <c r="I19" s="61"/>
      <c r="J19" s="6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ht="18" customHeight="1">
      <c r="A20" s="64"/>
      <c r="B20" s="64"/>
      <c r="C20" s="64"/>
      <c r="D20" s="67"/>
      <c r="E20" s="66"/>
      <c r="F20" s="66"/>
      <c r="G20" s="66"/>
      <c r="H20" s="68"/>
      <c r="I20" s="61"/>
      <c r="J20" s="6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ht="18" customHeight="1">
      <c r="A21" s="64"/>
      <c r="B21" s="64"/>
      <c r="C21" s="64"/>
      <c r="D21" s="67"/>
      <c r="E21" s="66"/>
      <c r="F21" s="66"/>
      <c r="G21" s="66"/>
      <c r="H21" s="68"/>
      <c r="I21" s="61"/>
      <c r="J21" s="6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ht="18" customHeight="1">
      <c r="A22" s="64"/>
      <c r="B22" s="64"/>
      <c r="C22" s="64"/>
      <c r="D22" s="67"/>
      <c r="E22" s="66"/>
      <c r="F22" s="66"/>
      <c r="G22" s="66"/>
      <c r="H22" s="68"/>
      <c r="I22" s="61"/>
      <c r="J22" s="6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ht="18" customHeight="1">
      <c r="A23" s="64"/>
      <c r="B23" s="64"/>
      <c r="C23" s="64"/>
      <c r="D23" s="67"/>
      <c r="E23" s="66"/>
      <c r="F23" s="66"/>
      <c r="G23" s="66"/>
      <c r="H23" s="68"/>
      <c r="I23" s="61"/>
      <c r="J23" s="6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ht="18" customHeight="1">
      <c r="A24" s="64"/>
      <c r="B24" s="64"/>
      <c r="C24" s="64"/>
      <c r="D24" s="67"/>
      <c r="E24" s="66"/>
      <c r="F24" s="66"/>
      <c r="G24" s="66"/>
      <c r="H24" s="68"/>
      <c r="I24" s="61"/>
      <c r="J24" s="6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ht="18" customHeight="1">
      <c r="A25" s="64"/>
      <c r="B25" s="64"/>
      <c r="C25" s="64"/>
      <c r="D25" s="67"/>
      <c r="E25" s="66"/>
      <c r="F25" s="66"/>
      <c r="G25" s="66"/>
      <c r="H25" s="68"/>
      <c r="I25" s="61"/>
      <c r="J25" s="6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ht="18" customHeight="1">
      <c r="A26" s="64"/>
      <c r="B26" s="64"/>
      <c r="C26" s="64"/>
      <c r="D26" s="67"/>
      <c r="E26" s="66"/>
      <c r="F26" s="66"/>
      <c r="G26" s="66"/>
      <c r="H26" s="68"/>
      <c r="I26" s="61"/>
      <c r="J26" s="6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ht="18" customHeight="1">
      <c r="A27" s="64"/>
      <c r="B27" s="64"/>
      <c r="C27" s="64"/>
      <c r="D27" s="67"/>
      <c r="E27" s="66"/>
      <c r="F27" s="66"/>
      <c r="G27" s="66"/>
      <c r="H27" s="68"/>
      <c r="I27" s="61"/>
      <c r="J27" s="6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ht="18" customHeight="1">
      <c r="A28" s="64"/>
      <c r="B28" s="64"/>
      <c r="C28" s="64"/>
      <c r="D28" s="67"/>
      <c r="E28" s="66"/>
      <c r="F28" s="66"/>
      <c r="G28" s="66"/>
      <c r="H28" s="68"/>
      <c r="I28" s="61"/>
      <c r="J28" s="6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ht="18" customHeight="1">
      <c r="A29" s="64"/>
      <c r="B29" s="64"/>
      <c r="C29" s="64"/>
      <c r="D29" s="67"/>
      <c r="E29" s="66"/>
      <c r="F29" s="66"/>
      <c r="G29" s="66"/>
      <c r="H29" s="68"/>
      <c r="I29" s="61"/>
      <c r="J29" s="6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ht="18" customHeight="1">
      <c r="A30" s="64"/>
      <c r="B30" s="64"/>
      <c r="C30" s="64"/>
      <c r="D30" s="67"/>
      <c r="E30" s="66"/>
      <c r="F30" s="66"/>
      <c r="G30" s="66"/>
      <c r="H30" s="68"/>
      <c r="I30" s="61"/>
      <c r="J30" s="6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ht="18" customHeight="1">
      <c r="A31" s="64"/>
      <c r="B31" s="64"/>
      <c r="C31" s="64"/>
      <c r="D31" s="67"/>
      <c r="E31" s="66"/>
      <c r="F31" s="66"/>
      <c r="G31" s="66"/>
      <c r="H31" s="68"/>
      <c r="I31" s="61"/>
      <c r="J31" s="6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ht="18" customHeight="1">
      <c r="A32" s="64"/>
      <c r="B32" s="64"/>
      <c r="C32" s="64"/>
      <c r="D32" s="67"/>
      <c r="E32" s="66"/>
      <c r="F32" s="66"/>
      <c r="G32" s="66"/>
      <c r="H32" s="68"/>
      <c r="I32" s="61"/>
      <c r="J32" s="6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ht="18" customHeight="1">
      <c r="A33" s="64"/>
      <c r="B33" s="64"/>
      <c r="C33" s="64"/>
      <c r="D33" s="67"/>
      <c r="E33" s="66"/>
      <c r="F33" s="66"/>
      <c r="G33" s="66"/>
      <c r="H33" s="68"/>
      <c r="I33" s="61"/>
      <c r="J33" s="6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ht="18" customHeight="1">
      <c r="A34" s="64"/>
      <c r="B34" s="64"/>
      <c r="C34" s="64"/>
      <c r="D34" s="67"/>
      <c r="E34" s="66"/>
      <c r="F34" s="66"/>
      <c r="G34" s="66"/>
      <c r="H34" s="68"/>
      <c r="I34" s="61"/>
      <c r="J34" s="6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ht="18" customHeight="1">
      <c r="A35" s="64"/>
      <c r="B35" s="64"/>
      <c r="C35" s="64"/>
      <c r="D35" s="67"/>
      <c r="E35" s="66"/>
      <c r="F35" s="66"/>
      <c r="G35" s="66"/>
      <c r="H35" s="68"/>
      <c r="I35" s="61"/>
      <c r="J35" s="6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ht="18" customHeight="1">
      <c r="A36" s="64"/>
      <c r="B36" s="64"/>
      <c r="C36" s="64"/>
      <c r="D36" s="67"/>
      <c r="E36" s="66"/>
      <c r="F36" s="66"/>
      <c r="G36" s="66"/>
      <c r="H36" s="68"/>
      <c r="I36" s="61"/>
      <c r="J36" s="6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ht="18" customHeight="1">
      <c r="A37" s="64"/>
      <c r="B37" s="64"/>
      <c r="C37" s="64"/>
      <c r="D37" s="67"/>
      <c r="E37" s="66"/>
      <c r="F37" s="66"/>
      <c r="G37" s="66"/>
      <c r="H37" s="68"/>
      <c r="I37" s="61"/>
      <c r="J37" s="61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ht="18" customHeight="1">
      <c r="A38" s="64"/>
      <c r="B38" s="64"/>
      <c r="C38" s="64"/>
      <c r="D38" s="67"/>
      <c r="E38" s="66"/>
      <c r="F38" s="66"/>
      <c r="G38" s="66"/>
      <c r="H38" s="68"/>
      <c r="I38" s="61"/>
      <c r="J38" s="6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ht="18" customHeight="1">
      <c r="A39" s="64"/>
      <c r="B39" s="64"/>
      <c r="C39" s="64"/>
      <c r="D39" s="67"/>
      <c r="E39" s="66"/>
      <c r="F39" s="66"/>
      <c r="G39" s="66"/>
      <c r="H39" s="68"/>
      <c r="I39" s="61"/>
      <c r="J39" s="6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ht="18" customHeight="1">
      <c r="A40" s="64"/>
      <c r="B40" s="64"/>
      <c r="C40" s="64"/>
      <c r="D40" s="67"/>
      <c r="E40" s="66"/>
      <c r="F40" s="66"/>
      <c r="G40" s="66"/>
      <c r="H40" s="68"/>
      <c r="I40" s="61"/>
      <c r="J40" s="6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ht="18" customHeight="1">
      <c r="A41" s="64"/>
      <c r="B41" s="64"/>
      <c r="C41" s="64"/>
      <c r="D41" s="67"/>
      <c r="E41" s="66"/>
      <c r="F41" s="66"/>
      <c r="G41" s="66"/>
      <c r="H41" s="68"/>
      <c r="I41" s="61"/>
      <c r="J41" s="6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ht="18" customHeight="1">
      <c r="A42" s="64"/>
      <c r="B42" s="64"/>
      <c r="C42" s="64"/>
      <c r="D42" s="65"/>
      <c r="E42" s="66"/>
      <c r="F42" s="66"/>
      <c r="G42" s="66"/>
      <c r="H42" s="68"/>
      <c r="I42" s="61"/>
      <c r="J42" s="6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ht="18" customHeight="1">
      <c r="A43" s="64"/>
      <c r="B43" s="64"/>
      <c r="C43" s="64"/>
      <c r="D43" s="65"/>
      <c r="E43" s="66"/>
      <c r="F43" s="66"/>
      <c r="G43" s="66"/>
      <c r="H43" s="68"/>
      <c r="I43" s="61"/>
      <c r="J43" s="61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ht="18" customHeight="1">
      <c r="A44" s="64"/>
      <c r="B44" s="64"/>
      <c r="C44" s="64"/>
      <c r="D44" s="65"/>
      <c r="E44" s="66"/>
      <c r="F44" s="66"/>
      <c r="G44" s="66"/>
      <c r="H44" s="68"/>
      <c r="I44" s="61"/>
      <c r="J44" s="61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ht="18" customHeight="1">
      <c r="A45" s="64"/>
      <c r="B45" s="64"/>
      <c r="C45" s="64"/>
      <c r="D45" s="65"/>
      <c r="E45" s="66"/>
      <c r="F45" s="66"/>
      <c r="G45" s="66"/>
      <c r="H45" s="68"/>
      <c r="I45" s="61"/>
      <c r="J45" s="61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ht="18" customHeight="1">
      <c r="A46" s="64"/>
      <c r="B46" s="64"/>
      <c r="C46" s="64"/>
      <c r="D46" s="65"/>
      <c r="E46" s="66"/>
      <c r="F46" s="66"/>
      <c r="G46" s="66"/>
      <c r="H46" s="68"/>
      <c r="I46" s="61"/>
      <c r="J46" s="6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ht="18" customHeight="1">
      <c r="A47" s="64"/>
      <c r="B47" s="64"/>
      <c r="C47" s="64"/>
      <c r="D47" s="65"/>
      <c r="E47" s="66"/>
      <c r="F47" s="66"/>
      <c r="G47" s="66"/>
      <c r="H47" s="68"/>
      <c r="I47" s="61"/>
      <c r="J47" s="6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ht="18" customHeight="1">
      <c r="A48" s="64"/>
      <c r="B48" s="64"/>
      <c r="C48" s="64"/>
      <c r="D48" s="65"/>
      <c r="E48" s="66"/>
      <c r="F48" s="66"/>
      <c r="G48" s="66"/>
      <c r="H48" s="68"/>
      <c r="I48" s="61"/>
      <c r="J48" s="6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ht="18" customHeight="1">
      <c r="A49" s="64"/>
      <c r="B49" s="64"/>
      <c r="C49" s="64"/>
      <c r="D49" s="65"/>
      <c r="E49" s="66"/>
      <c r="F49" s="66"/>
      <c r="G49" s="66"/>
      <c r="H49" s="68"/>
      <c r="I49" s="61"/>
      <c r="J49" s="6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ht="18" customHeight="1">
      <c r="A50" s="64"/>
      <c r="B50" s="64"/>
      <c r="C50" s="64"/>
      <c r="D50" s="65"/>
      <c r="E50" s="66"/>
      <c r="F50" s="66"/>
      <c r="G50" s="66"/>
      <c r="H50" s="69"/>
      <c r="I50" s="61"/>
      <c r="J50" s="61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ht="18" customHeight="1">
      <c r="A51" s="64"/>
      <c r="B51" s="64"/>
      <c r="C51" s="64"/>
      <c r="D51" s="65"/>
      <c r="E51" s="66"/>
      <c r="F51" s="66"/>
      <c r="G51" s="66"/>
      <c r="H51" s="69"/>
      <c r="I51" s="61"/>
      <c r="J51" s="6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ht="18" customHeight="1">
      <c r="A52" s="64"/>
      <c r="B52" s="64"/>
      <c r="C52" s="64"/>
      <c r="D52" s="65"/>
      <c r="E52" s="66"/>
      <c r="F52" s="66"/>
      <c r="G52" s="66"/>
      <c r="H52" s="69"/>
      <c r="I52" s="61"/>
      <c r="J52" s="61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ht="18" customHeight="1">
      <c r="A53" s="64"/>
      <c r="B53" s="64"/>
      <c r="C53" s="64"/>
      <c r="D53" s="65"/>
      <c r="E53" s="66"/>
      <c r="F53" s="66"/>
      <c r="G53" s="66"/>
      <c r="H53" s="69"/>
      <c r="I53" s="61"/>
      <c r="J53" s="61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ht="18" customHeight="1">
      <c r="A54" s="64"/>
      <c r="B54" s="64"/>
      <c r="C54" s="64"/>
      <c r="D54" s="65"/>
      <c r="E54" s="66"/>
      <c r="F54" s="66"/>
      <c r="G54" s="66"/>
      <c r="H54" s="68"/>
      <c r="I54" s="61"/>
      <c r="J54" s="61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ht="18" customHeight="1">
      <c r="A55" s="60"/>
      <c r="B55" s="60"/>
      <c r="C55" s="60"/>
      <c r="D55" s="61"/>
      <c r="E55" s="62"/>
      <c r="F55" s="62"/>
      <c r="G55" s="62"/>
      <c r="H55" s="70"/>
      <c r="I55" s="61"/>
      <c r="J55" s="61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ht="18" customHeight="1">
      <c r="A56" s="60"/>
      <c r="B56" s="60"/>
      <c r="C56" s="60"/>
      <c r="D56" s="61"/>
      <c r="E56" s="62"/>
      <c r="F56" s="62"/>
      <c r="G56" s="62"/>
      <c r="H56" s="70"/>
      <c r="I56" s="61"/>
      <c r="J56" s="61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ht="18" customHeight="1">
      <c r="A57" s="60"/>
      <c r="B57" s="60"/>
      <c r="C57" s="60"/>
      <c r="D57" s="61"/>
      <c r="E57" s="62"/>
      <c r="F57" s="62"/>
      <c r="G57" s="62"/>
      <c r="H57" s="70"/>
      <c r="I57" s="61"/>
      <c r="J57" s="61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ht="18" customHeight="1">
      <c r="A58" s="60"/>
      <c r="B58" s="60"/>
      <c r="C58" s="60"/>
      <c r="D58" s="61"/>
      <c r="E58" s="62"/>
      <c r="F58" s="62"/>
      <c r="G58" s="62"/>
      <c r="H58" s="70"/>
      <c r="I58" s="61"/>
      <c r="J58" s="61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ht="18" customHeight="1">
      <c r="A59" s="60"/>
      <c r="B59" s="60"/>
      <c r="C59" s="60"/>
      <c r="D59" s="61"/>
      <c r="E59" s="62"/>
      <c r="F59" s="62"/>
      <c r="G59" s="62"/>
      <c r="H59" s="70"/>
      <c r="I59" s="61"/>
      <c r="J59" s="61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 ht="18" customHeight="1">
      <c r="A60" s="60"/>
      <c r="B60" s="60"/>
      <c r="C60" s="60"/>
      <c r="D60" s="61"/>
      <c r="E60" s="62"/>
      <c r="F60" s="62"/>
      <c r="G60" s="62"/>
      <c r="H60" s="70"/>
      <c r="I60" s="61"/>
      <c r="J60" s="61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1" ht="18" customHeight="1">
      <c r="A61" s="60"/>
      <c r="B61" s="60"/>
      <c r="C61" s="60"/>
      <c r="D61" s="61"/>
      <c r="E61" s="62"/>
      <c r="F61" s="62"/>
      <c r="G61" s="62"/>
      <c r="H61" s="70"/>
      <c r="I61" s="61"/>
      <c r="J61" s="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1" ht="18" customHeight="1">
      <c r="A62" s="60"/>
      <c r="B62" s="60"/>
      <c r="C62" s="60"/>
      <c r="D62" s="61"/>
      <c r="E62" s="62"/>
      <c r="F62" s="62"/>
      <c r="G62" s="62"/>
      <c r="H62" s="70"/>
      <c r="I62" s="61"/>
      <c r="J62" s="61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</row>
    <row r="63" spans="1:51" ht="18" customHeight="1">
      <c r="A63" s="60"/>
      <c r="B63" s="60"/>
      <c r="C63" s="60"/>
      <c r="D63" s="61"/>
      <c r="E63" s="60"/>
      <c r="F63" s="60"/>
      <c r="G63" s="60"/>
      <c r="H63" s="71"/>
      <c r="I63" s="61"/>
      <c r="J63" s="61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</row>
    <row r="64" spans="1:51" ht="18" customHeight="1">
      <c r="A64" s="60"/>
      <c r="B64" s="60"/>
      <c r="C64" s="60"/>
      <c r="D64" s="61"/>
      <c r="E64" s="60"/>
      <c r="F64" s="60"/>
      <c r="G64" s="60"/>
      <c r="H64" s="71"/>
      <c r="I64" s="61"/>
      <c r="J64" s="61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ht="18" customHeight="1">
      <c r="A65" s="60"/>
      <c r="B65" s="60"/>
      <c r="C65" s="60"/>
      <c r="D65" s="61"/>
      <c r="E65" s="60"/>
      <c r="F65" s="60"/>
      <c r="G65" s="60"/>
      <c r="H65" s="71"/>
      <c r="I65" s="61"/>
      <c r="J65" s="61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 ht="18" customHeight="1">
      <c r="A66" s="60"/>
      <c r="B66" s="60"/>
      <c r="C66" s="60"/>
      <c r="D66" s="61"/>
      <c r="E66" s="60"/>
      <c r="F66" s="60"/>
      <c r="G66" s="60"/>
      <c r="H66" s="71"/>
      <c r="I66" s="61"/>
      <c r="J66" s="61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ht="18" customHeight="1">
      <c r="A67" s="60"/>
      <c r="B67" s="60"/>
      <c r="C67" s="60"/>
      <c r="D67" s="61"/>
      <c r="E67" s="60"/>
      <c r="F67" s="60"/>
      <c r="G67" s="60"/>
      <c r="H67" s="60"/>
      <c r="I67" s="61"/>
      <c r="J67" s="61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ht="18" customHeight="1">
      <c r="A68" s="60"/>
      <c r="B68" s="60"/>
      <c r="C68" s="60"/>
      <c r="D68" s="61"/>
      <c r="E68" s="60"/>
      <c r="F68" s="60"/>
      <c r="G68" s="60"/>
      <c r="H68" s="60"/>
      <c r="I68" s="61"/>
      <c r="J68" s="6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1" ht="18" customHeight="1">
      <c r="A69" s="60"/>
      <c r="B69" s="60"/>
      <c r="C69" s="60"/>
      <c r="D69" s="61"/>
      <c r="E69" s="60"/>
      <c r="F69" s="60"/>
      <c r="G69" s="60"/>
      <c r="H69" s="60"/>
      <c r="I69" s="61"/>
      <c r="J69" s="61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1" ht="18" customHeight="1">
      <c r="A70" s="60"/>
      <c r="B70" s="60"/>
      <c r="C70" s="60"/>
      <c r="D70" s="61"/>
      <c r="E70" s="60"/>
      <c r="F70" s="60"/>
      <c r="G70" s="60"/>
      <c r="H70" s="60"/>
      <c r="I70" s="61"/>
      <c r="J70" s="61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1" ht="18" customHeight="1">
      <c r="A71" s="60"/>
      <c r="B71" s="60"/>
      <c r="C71" s="60"/>
      <c r="D71" s="61"/>
      <c r="E71" s="60"/>
      <c r="F71" s="60"/>
      <c r="G71" s="60"/>
      <c r="H71" s="60"/>
      <c r="I71" s="61"/>
      <c r="J71" s="6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ht="18" customHeight="1">
      <c r="A72" s="60"/>
      <c r="B72" s="60"/>
      <c r="C72" s="60"/>
      <c r="D72" s="61"/>
      <c r="E72" s="60"/>
      <c r="F72" s="60"/>
      <c r="G72" s="60"/>
      <c r="H72" s="60"/>
      <c r="I72" s="61"/>
      <c r="J72" s="61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ht="18" customHeight="1">
      <c r="A73" s="60"/>
      <c r="B73" s="60"/>
      <c r="C73" s="60"/>
      <c r="D73" s="61"/>
      <c r="E73" s="60"/>
      <c r="F73" s="60"/>
      <c r="G73" s="60"/>
      <c r="H73" s="60"/>
      <c r="I73" s="61"/>
      <c r="J73" s="61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ht="18" customHeight="1">
      <c r="A74" s="60"/>
      <c r="B74" s="60"/>
      <c r="C74" s="60"/>
      <c r="D74" s="61"/>
      <c r="E74" s="60"/>
      <c r="F74" s="60"/>
      <c r="G74" s="60"/>
      <c r="H74" s="60"/>
      <c r="I74" s="61"/>
      <c r="J74" s="61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ht="18" customHeight="1">
      <c r="A75" s="60"/>
      <c r="B75" s="60"/>
      <c r="C75" s="60"/>
      <c r="D75" s="61"/>
      <c r="E75" s="60"/>
      <c r="F75" s="60"/>
      <c r="G75" s="60"/>
      <c r="H75" s="60"/>
      <c r="I75" s="61"/>
      <c r="J75" s="61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ht="18" customHeight="1">
      <c r="A76" s="60"/>
      <c r="B76" s="60"/>
      <c r="C76" s="60"/>
      <c r="D76" s="61"/>
      <c r="E76" s="60"/>
      <c r="F76" s="60"/>
      <c r="G76" s="60"/>
      <c r="H76" s="60"/>
      <c r="I76" s="61"/>
      <c r="J76" s="61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ht="18" customHeight="1">
      <c r="A77" s="60"/>
      <c r="B77" s="60"/>
      <c r="C77" s="60"/>
      <c r="D77" s="61"/>
      <c r="E77" s="60"/>
      <c r="F77" s="60"/>
      <c r="G77" s="60"/>
      <c r="H77" s="60"/>
      <c r="I77" s="61"/>
      <c r="J77" s="61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ht="18" customHeight="1">
      <c r="A78" s="60"/>
      <c r="B78" s="60"/>
      <c r="C78" s="60"/>
      <c r="D78" s="61"/>
      <c r="E78" s="60"/>
      <c r="F78" s="60"/>
      <c r="G78" s="60"/>
      <c r="H78" s="60"/>
      <c r="I78" s="61"/>
      <c r="J78" s="61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ht="18" customHeight="1">
      <c r="A79" s="60"/>
      <c r="B79" s="60"/>
      <c r="C79" s="60"/>
      <c r="D79" s="61"/>
      <c r="E79" s="60"/>
      <c r="F79" s="60"/>
      <c r="G79" s="60"/>
      <c r="H79" s="60"/>
      <c r="I79" s="61"/>
      <c r="J79" s="61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ht="18" customHeight="1">
      <c r="A80" s="60"/>
      <c r="B80" s="60"/>
      <c r="C80" s="60"/>
      <c r="D80" s="61"/>
      <c r="E80" s="60"/>
      <c r="F80" s="60"/>
      <c r="G80" s="60"/>
      <c r="H80" s="60"/>
      <c r="I80" s="61"/>
      <c r="J80" s="61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1" ht="18" customHeight="1">
      <c r="A81" s="60"/>
      <c r="B81" s="60"/>
      <c r="C81" s="60"/>
      <c r="D81" s="61"/>
      <c r="E81" s="60"/>
      <c r="F81" s="60"/>
      <c r="G81" s="60"/>
      <c r="H81" s="60"/>
      <c r="I81" s="61"/>
      <c r="J81" s="6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1" ht="18" customHeight="1">
      <c r="A82" s="60"/>
      <c r="B82" s="60"/>
      <c r="C82" s="60"/>
      <c r="D82" s="61"/>
      <c r="E82" s="60"/>
      <c r="F82" s="60"/>
      <c r="G82" s="60"/>
      <c r="H82" s="60"/>
      <c r="I82" s="61"/>
      <c r="J82" s="61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1" ht="18" customHeight="1">
      <c r="A83" s="60"/>
      <c r="B83" s="60"/>
      <c r="C83" s="60"/>
      <c r="D83" s="61"/>
      <c r="E83" s="60"/>
      <c r="F83" s="60"/>
      <c r="G83" s="60"/>
      <c r="H83" s="60"/>
      <c r="I83" s="61"/>
      <c r="J83" s="61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1" ht="18" customHeight="1">
      <c r="A84" s="60"/>
      <c r="B84" s="60"/>
      <c r="C84" s="60"/>
      <c r="D84" s="61"/>
      <c r="E84" s="60"/>
      <c r="F84" s="60"/>
      <c r="G84" s="60"/>
      <c r="H84" s="60"/>
      <c r="I84" s="61"/>
      <c r="J84" s="61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1" ht="18" customHeight="1">
      <c r="A85" s="60"/>
      <c r="B85" s="60"/>
      <c r="C85" s="60"/>
      <c r="D85" s="61"/>
      <c r="E85" s="60"/>
      <c r="F85" s="60"/>
      <c r="G85" s="60"/>
      <c r="H85" s="60"/>
      <c r="I85" s="61"/>
      <c r="J85" s="61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1" ht="18" customHeight="1">
      <c r="A86" s="60"/>
      <c r="B86" s="60"/>
      <c r="C86" s="60"/>
      <c r="D86" s="61"/>
      <c r="E86" s="60"/>
      <c r="F86" s="60"/>
      <c r="G86" s="60"/>
      <c r="H86" s="60"/>
      <c r="I86" s="61"/>
      <c r="J86" s="61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1" ht="18" customHeight="1">
      <c r="A87" s="60"/>
      <c r="B87" s="60"/>
      <c r="C87" s="60"/>
      <c r="D87" s="61"/>
      <c r="E87" s="60"/>
      <c r="F87" s="60"/>
      <c r="G87" s="60"/>
      <c r="H87" s="60"/>
      <c r="I87" s="61"/>
      <c r="J87" s="61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1" ht="18" customHeight="1">
      <c r="A88" s="60"/>
      <c r="B88" s="60"/>
      <c r="C88" s="60"/>
      <c r="D88" s="61"/>
      <c r="E88" s="60"/>
      <c r="F88" s="60"/>
      <c r="G88" s="60"/>
      <c r="H88" s="60"/>
      <c r="I88" s="61"/>
      <c r="J88" s="61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1" ht="18" customHeight="1">
      <c r="A89" s="60"/>
      <c r="B89" s="60"/>
      <c r="C89" s="60"/>
      <c r="D89" s="61"/>
      <c r="E89" s="60"/>
      <c r="F89" s="60"/>
      <c r="G89" s="60"/>
      <c r="H89" s="60"/>
      <c r="I89" s="61"/>
      <c r="J89" s="61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ht="18" customHeight="1">
      <c r="A90" s="60"/>
      <c r="B90" s="60"/>
      <c r="C90" s="60"/>
      <c r="D90" s="61"/>
      <c r="E90" s="60"/>
      <c r="F90" s="60"/>
      <c r="G90" s="60"/>
      <c r="H90" s="60"/>
      <c r="I90" s="61"/>
      <c r="J90" s="61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1" ht="18" customHeight="1">
      <c r="A91" s="60"/>
      <c r="B91" s="60"/>
      <c r="C91" s="60"/>
      <c r="D91" s="61"/>
      <c r="E91" s="60"/>
      <c r="F91" s="60"/>
      <c r="G91" s="60"/>
      <c r="H91" s="60"/>
      <c r="I91" s="61"/>
      <c r="J91" s="6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1" ht="18" customHeight="1">
      <c r="A92" s="60"/>
      <c r="B92" s="60"/>
      <c r="C92" s="60"/>
      <c r="D92" s="61"/>
      <c r="E92" s="60"/>
      <c r="F92" s="60"/>
      <c r="G92" s="60"/>
      <c r="H92" s="60"/>
      <c r="I92" s="61"/>
      <c r="J92" s="61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1" ht="18" customHeight="1">
      <c r="A93" s="60"/>
      <c r="B93" s="60"/>
      <c r="C93" s="60"/>
      <c r="D93" s="61"/>
      <c r="E93" s="60"/>
      <c r="F93" s="60"/>
      <c r="G93" s="60"/>
      <c r="H93" s="60"/>
      <c r="I93" s="61"/>
      <c r="J93" s="61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</row>
    <row r="94" spans="1:51" ht="18" customHeight="1">
      <c r="A94" s="60"/>
      <c r="B94" s="60"/>
      <c r="C94" s="60"/>
      <c r="D94" s="61"/>
      <c r="E94" s="60"/>
      <c r="F94" s="60"/>
      <c r="G94" s="60"/>
      <c r="H94" s="60"/>
      <c r="I94" s="61"/>
      <c r="J94" s="61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</row>
    <row r="95" spans="1:51" ht="18" customHeight="1">
      <c r="A95" s="60"/>
      <c r="B95" s="60"/>
      <c r="C95" s="60"/>
      <c r="D95" s="61"/>
      <c r="E95" s="60"/>
      <c r="F95" s="60"/>
      <c r="G95" s="60"/>
      <c r="H95" s="60"/>
      <c r="I95" s="61"/>
      <c r="J95" s="6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1" ht="18" customHeight="1">
      <c r="A96" s="60"/>
      <c r="B96" s="60"/>
      <c r="C96" s="60"/>
      <c r="D96" s="61"/>
      <c r="E96" s="60"/>
      <c r="F96" s="60"/>
      <c r="G96" s="60"/>
      <c r="H96" s="60"/>
      <c r="I96" s="61"/>
      <c r="J96" s="61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</row>
    <row r="97" spans="1:51" ht="18" customHeight="1">
      <c r="A97" s="60"/>
      <c r="B97" s="60"/>
      <c r="C97" s="60"/>
      <c r="D97" s="61"/>
      <c r="E97" s="60"/>
      <c r="F97" s="60"/>
      <c r="G97" s="60"/>
      <c r="H97" s="60"/>
      <c r="I97" s="61"/>
      <c r="J97" s="61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1:51" ht="18" customHeight="1">
      <c r="A98" s="60"/>
      <c r="B98" s="60"/>
      <c r="C98" s="60"/>
      <c r="D98" s="61"/>
      <c r="E98" s="60"/>
      <c r="F98" s="60"/>
      <c r="G98" s="60"/>
      <c r="H98" s="60"/>
      <c r="I98" s="61"/>
      <c r="J98" s="61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1" ht="18" customHeight="1">
      <c r="A99" s="60"/>
      <c r="B99" s="60"/>
      <c r="C99" s="60"/>
      <c r="D99" s="61"/>
      <c r="E99" s="60"/>
      <c r="F99" s="60"/>
      <c r="G99" s="60"/>
      <c r="H99" s="60"/>
      <c r="I99" s="61"/>
      <c r="J99" s="61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ht="18" customHeight="1">
      <c r="A100" s="60"/>
      <c r="B100" s="60"/>
      <c r="C100" s="60"/>
      <c r="D100" s="61"/>
      <c r="E100" s="60"/>
      <c r="F100" s="60"/>
      <c r="G100" s="60"/>
      <c r="H100" s="60"/>
      <c r="I100" s="61"/>
      <c r="J100" s="6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1" ht="18" customHeight="1">
      <c r="A101" s="60"/>
      <c r="B101" s="60"/>
      <c r="C101" s="60"/>
      <c r="D101" s="61"/>
      <c r="E101" s="60"/>
      <c r="F101" s="60"/>
      <c r="G101" s="60"/>
      <c r="H101" s="60"/>
      <c r="I101" s="61"/>
      <c r="J101" s="6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ht="18" customHeight="1">
      <c r="A102" s="60"/>
      <c r="B102" s="60"/>
      <c r="C102" s="60"/>
      <c r="D102" s="61"/>
      <c r="E102" s="60"/>
      <c r="F102" s="60"/>
      <c r="G102" s="60"/>
      <c r="H102" s="60"/>
      <c r="I102" s="61"/>
      <c r="J102" s="61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1:51" ht="18" customHeight="1">
      <c r="A103" s="60"/>
      <c r="B103" s="60"/>
      <c r="C103" s="60"/>
      <c r="D103" s="61"/>
      <c r="E103" s="60"/>
      <c r="F103" s="60"/>
      <c r="G103" s="60"/>
      <c r="H103" s="60"/>
      <c r="I103" s="61"/>
      <c r="J103" s="61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1:51" ht="18" customHeight="1">
      <c r="A104" s="60"/>
      <c r="B104" s="60"/>
      <c r="C104" s="60"/>
      <c r="D104" s="61"/>
      <c r="E104" s="60"/>
      <c r="F104" s="60"/>
      <c r="G104" s="60"/>
      <c r="H104" s="60"/>
      <c r="I104" s="61"/>
      <c r="J104" s="61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1" ht="18" customHeight="1">
      <c r="A105" s="60"/>
      <c r="B105" s="60"/>
      <c r="C105" s="60"/>
      <c r="D105" s="61"/>
      <c r="E105" s="60"/>
      <c r="F105" s="60"/>
      <c r="G105" s="60"/>
      <c r="H105" s="60"/>
      <c r="I105" s="61"/>
      <c r="J105" s="61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1" ht="18" customHeight="1">
      <c r="A106" s="60"/>
      <c r="B106" s="60"/>
      <c r="C106" s="60"/>
      <c r="D106" s="61"/>
      <c r="E106" s="60"/>
      <c r="F106" s="60"/>
      <c r="G106" s="60"/>
      <c r="H106" s="60"/>
      <c r="I106" s="61"/>
      <c r="J106" s="61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1:51" ht="18" customHeight="1">
      <c r="A107" s="60"/>
      <c r="B107" s="60"/>
      <c r="C107" s="60"/>
      <c r="D107" s="61"/>
      <c r="E107" s="60"/>
      <c r="F107" s="60"/>
      <c r="G107" s="60"/>
      <c r="H107" s="60"/>
      <c r="I107" s="61"/>
      <c r="J107" s="6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1:51" ht="18" customHeight="1">
      <c r="A108" s="60"/>
      <c r="B108" s="60"/>
      <c r="C108" s="60"/>
      <c r="D108" s="61"/>
      <c r="E108" s="60"/>
      <c r="F108" s="60"/>
      <c r="G108" s="60"/>
      <c r="H108" s="60"/>
      <c r="I108" s="61"/>
      <c r="J108" s="61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1:51" ht="18" customHeight="1">
      <c r="A109" s="60"/>
      <c r="B109" s="60"/>
      <c r="C109" s="60"/>
      <c r="D109" s="61"/>
      <c r="E109" s="60"/>
      <c r="F109" s="60"/>
      <c r="G109" s="60"/>
      <c r="H109" s="60"/>
      <c r="I109" s="61"/>
      <c r="J109" s="61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1:51" ht="18" customHeight="1">
      <c r="A110" s="60"/>
      <c r="B110" s="60"/>
      <c r="C110" s="60"/>
      <c r="D110" s="61"/>
      <c r="E110" s="60"/>
      <c r="F110" s="60"/>
      <c r="G110" s="60"/>
      <c r="H110" s="60"/>
      <c r="I110" s="61"/>
      <c r="J110" s="61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1:51" ht="18" customHeight="1">
      <c r="A111" s="60"/>
      <c r="B111" s="60"/>
      <c r="C111" s="60"/>
      <c r="D111" s="61"/>
      <c r="E111" s="60"/>
      <c r="F111" s="60"/>
      <c r="G111" s="60"/>
      <c r="H111" s="60"/>
      <c r="I111" s="61"/>
      <c r="J111" s="6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ht="18" customHeight="1">
      <c r="A112" s="60"/>
      <c r="B112" s="60"/>
      <c r="C112" s="60"/>
      <c r="D112" s="61"/>
      <c r="E112" s="60"/>
      <c r="F112" s="60"/>
      <c r="G112" s="60"/>
      <c r="H112" s="60"/>
      <c r="I112" s="61"/>
      <c r="J112" s="61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1" ht="18" customHeight="1">
      <c r="A113" s="60"/>
      <c r="B113" s="60"/>
      <c r="C113" s="60"/>
      <c r="D113" s="61"/>
      <c r="E113" s="60"/>
      <c r="F113" s="60"/>
      <c r="G113" s="60"/>
      <c r="H113" s="60"/>
      <c r="I113" s="61"/>
      <c r="J113" s="6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1" ht="18" customHeight="1">
      <c r="A114" s="60"/>
      <c r="B114" s="60"/>
      <c r="C114" s="60"/>
      <c r="D114" s="61"/>
      <c r="E114" s="60"/>
      <c r="F114" s="60"/>
      <c r="G114" s="60"/>
      <c r="H114" s="60"/>
      <c r="I114" s="61"/>
      <c r="J114" s="6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</row>
    <row r="115" spans="1:51" ht="18" customHeight="1">
      <c r="A115" s="60"/>
      <c r="B115" s="60"/>
      <c r="C115" s="60"/>
      <c r="D115" s="61"/>
      <c r="E115" s="60"/>
      <c r="F115" s="60"/>
      <c r="G115" s="60"/>
      <c r="H115" s="60"/>
      <c r="I115" s="61"/>
      <c r="J115" s="6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 spans="1:51" ht="18" customHeight="1">
      <c r="A116" s="60"/>
      <c r="B116" s="60"/>
      <c r="C116" s="60"/>
      <c r="D116" s="61"/>
      <c r="E116" s="60"/>
      <c r="F116" s="60"/>
      <c r="G116" s="60"/>
      <c r="H116" s="60"/>
      <c r="I116" s="61"/>
      <c r="J116" s="6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1:51" ht="18" customHeight="1">
      <c r="A117" s="60"/>
      <c r="B117" s="60"/>
      <c r="C117" s="60"/>
      <c r="D117" s="61"/>
      <c r="E117" s="60"/>
      <c r="F117" s="60"/>
      <c r="G117" s="60"/>
      <c r="H117" s="60"/>
      <c r="I117" s="61"/>
      <c r="J117" s="6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1:51" ht="18" customHeight="1">
      <c r="A118" s="60"/>
      <c r="B118" s="60"/>
      <c r="C118" s="60"/>
      <c r="D118" s="61"/>
      <c r="E118" s="60"/>
      <c r="F118" s="60"/>
      <c r="G118" s="60"/>
      <c r="H118" s="60"/>
      <c r="I118" s="61"/>
      <c r="J118" s="61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1:51" ht="18" customHeight="1">
      <c r="A119" s="60"/>
      <c r="B119" s="60"/>
      <c r="C119" s="60"/>
      <c r="D119" s="61"/>
      <c r="E119" s="60"/>
      <c r="F119" s="60"/>
      <c r="G119" s="60"/>
      <c r="H119" s="60"/>
      <c r="I119" s="61"/>
      <c r="J119" s="61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1:51" ht="18" customHeight="1">
      <c r="A120" s="60"/>
      <c r="B120" s="60"/>
      <c r="C120" s="60"/>
      <c r="D120" s="61"/>
      <c r="E120" s="60"/>
      <c r="F120" s="60"/>
      <c r="G120" s="60"/>
      <c r="H120" s="60"/>
      <c r="I120" s="61"/>
      <c r="J120" s="61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1:51" ht="18" customHeight="1">
      <c r="A121" s="60"/>
      <c r="B121" s="60"/>
      <c r="C121" s="60"/>
      <c r="D121" s="61"/>
      <c r="E121" s="60"/>
      <c r="F121" s="60"/>
      <c r="G121" s="60"/>
      <c r="H121" s="60"/>
      <c r="I121" s="61"/>
      <c r="J121" s="6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2" spans="1:51" ht="18" customHeight="1">
      <c r="A122" s="60"/>
      <c r="B122" s="60"/>
      <c r="C122" s="60"/>
      <c r="D122" s="61"/>
      <c r="E122" s="60"/>
      <c r="F122" s="60"/>
      <c r="G122" s="60"/>
      <c r="H122" s="60"/>
      <c r="I122" s="61"/>
      <c r="J122" s="61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1:51" ht="18" customHeight="1">
      <c r="A123" s="60"/>
      <c r="B123" s="60"/>
      <c r="C123" s="60"/>
      <c r="D123" s="61"/>
      <c r="E123" s="60"/>
      <c r="F123" s="60"/>
      <c r="G123" s="60"/>
      <c r="H123" s="60"/>
      <c r="I123" s="61"/>
      <c r="J123" s="61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1:51" ht="18" customHeight="1">
      <c r="A124" s="60"/>
      <c r="B124" s="60"/>
      <c r="C124" s="60"/>
      <c r="D124" s="61"/>
      <c r="E124" s="60"/>
      <c r="F124" s="60"/>
      <c r="G124" s="60"/>
      <c r="H124" s="60"/>
      <c r="I124" s="61"/>
      <c r="J124" s="61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1:51" ht="18" customHeight="1">
      <c r="A125" s="60"/>
      <c r="B125" s="60"/>
      <c r="C125" s="60"/>
      <c r="D125" s="61"/>
      <c r="E125" s="60"/>
      <c r="F125" s="60"/>
      <c r="G125" s="60"/>
      <c r="H125" s="60"/>
      <c r="I125" s="61"/>
      <c r="J125" s="61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1:51" ht="18" customHeight="1">
      <c r="A126" s="60"/>
      <c r="B126" s="60"/>
      <c r="C126" s="60"/>
      <c r="D126" s="61"/>
      <c r="E126" s="60"/>
      <c r="F126" s="60"/>
      <c r="G126" s="60"/>
      <c r="H126" s="60"/>
      <c r="I126" s="61"/>
      <c r="J126" s="61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1:51" ht="18" customHeight="1">
      <c r="A127" s="60"/>
      <c r="B127" s="60"/>
      <c r="C127" s="60"/>
      <c r="D127" s="61"/>
      <c r="E127" s="60"/>
      <c r="F127" s="60"/>
      <c r="G127" s="60"/>
      <c r="H127" s="60"/>
      <c r="I127" s="61"/>
      <c r="J127" s="61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1:51" ht="18" customHeight="1">
      <c r="A128" s="60"/>
      <c r="B128" s="60"/>
      <c r="C128" s="60"/>
      <c r="D128" s="61"/>
      <c r="E128" s="60"/>
      <c r="F128" s="60"/>
      <c r="G128" s="60"/>
      <c r="H128" s="60"/>
      <c r="I128" s="61"/>
      <c r="J128" s="61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1:51" ht="18" customHeight="1">
      <c r="A129" s="60"/>
      <c r="B129" s="60"/>
      <c r="C129" s="60"/>
      <c r="D129" s="61"/>
      <c r="E129" s="60"/>
      <c r="F129" s="60"/>
      <c r="G129" s="60"/>
      <c r="H129" s="60"/>
      <c r="I129" s="61"/>
      <c r="J129" s="61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1:51" ht="18" customHeight="1">
      <c r="A130" s="60"/>
      <c r="B130" s="60"/>
      <c r="C130" s="60"/>
      <c r="D130" s="61"/>
      <c r="E130" s="60"/>
      <c r="F130" s="60"/>
      <c r="G130" s="60"/>
      <c r="H130" s="60"/>
      <c r="I130" s="61"/>
      <c r="J130" s="61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1:51" ht="18" customHeight="1">
      <c r="A131" s="60"/>
      <c r="B131" s="60"/>
      <c r="C131" s="60"/>
      <c r="D131" s="61"/>
      <c r="E131" s="60"/>
      <c r="F131" s="60"/>
      <c r="G131" s="60"/>
      <c r="H131" s="60"/>
      <c r="I131" s="61"/>
      <c r="J131" s="6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1:51" ht="18" customHeight="1">
      <c r="A132" s="60"/>
      <c r="B132" s="60"/>
      <c r="C132" s="60"/>
      <c r="D132" s="61"/>
      <c r="E132" s="60"/>
      <c r="F132" s="60"/>
      <c r="G132" s="60"/>
      <c r="H132" s="60"/>
      <c r="I132" s="61"/>
      <c r="J132" s="61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 spans="1:51" ht="18" customHeight="1">
      <c r="A133" s="60"/>
      <c r="B133" s="60"/>
      <c r="C133" s="60"/>
      <c r="D133" s="61"/>
      <c r="E133" s="60"/>
      <c r="F133" s="60"/>
      <c r="G133" s="60"/>
      <c r="H133" s="60"/>
      <c r="I133" s="61"/>
      <c r="J133" s="61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1:51" ht="18" customHeight="1">
      <c r="A134" s="60"/>
      <c r="B134" s="60"/>
      <c r="C134" s="60"/>
      <c r="D134" s="61"/>
      <c r="E134" s="60"/>
      <c r="F134" s="60"/>
      <c r="G134" s="60"/>
      <c r="H134" s="60"/>
      <c r="I134" s="61"/>
      <c r="J134" s="61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1:51" ht="18" customHeight="1">
      <c r="A135" s="60"/>
      <c r="B135" s="60"/>
      <c r="C135" s="60"/>
      <c r="D135" s="61"/>
      <c r="E135" s="60"/>
      <c r="F135" s="60"/>
      <c r="G135" s="60"/>
      <c r="H135" s="60"/>
      <c r="I135" s="61"/>
      <c r="J135" s="61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 spans="1:51" ht="18" customHeight="1">
      <c r="A136" s="60"/>
      <c r="B136" s="60"/>
      <c r="C136" s="60"/>
      <c r="D136" s="61"/>
      <c r="E136" s="60"/>
      <c r="F136" s="60"/>
      <c r="G136" s="60"/>
      <c r="H136" s="60"/>
      <c r="I136" s="61"/>
      <c r="J136" s="61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</row>
    <row r="137" spans="1:51" ht="18" customHeight="1">
      <c r="A137" s="60"/>
      <c r="B137" s="60"/>
      <c r="C137" s="60"/>
      <c r="D137" s="61"/>
      <c r="E137" s="60"/>
      <c r="F137" s="60"/>
      <c r="G137" s="60"/>
      <c r="H137" s="60"/>
      <c r="I137" s="61"/>
      <c r="J137" s="61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 spans="1:51" ht="18" customHeight="1">
      <c r="A138" s="60"/>
      <c r="B138" s="60"/>
      <c r="C138" s="60"/>
      <c r="D138" s="61"/>
      <c r="E138" s="60"/>
      <c r="F138" s="60"/>
      <c r="G138" s="60"/>
      <c r="H138" s="60"/>
      <c r="I138" s="61"/>
      <c r="J138" s="61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</row>
    <row r="139" spans="1:51" ht="18" customHeight="1">
      <c r="A139" s="60"/>
      <c r="B139" s="60"/>
      <c r="C139" s="60"/>
      <c r="D139" s="61"/>
      <c r="E139" s="60"/>
      <c r="F139" s="60"/>
      <c r="G139" s="60"/>
      <c r="H139" s="60"/>
      <c r="I139" s="61"/>
      <c r="J139" s="61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 spans="1:51" ht="18" customHeight="1">
      <c r="A140" s="60"/>
      <c r="B140" s="60"/>
      <c r="C140" s="60"/>
      <c r="D140" s="61"/>
      <c r="E140" s="60"/>
      <c r="F140" s="60"/>
      <c r="G140" s="60"/>
      <c r="H140" s="60"/>
      <c r="I140" s="61"/>
      <c r="J140" s="61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 spans="1:51" ht="18" customHeight="1">
      <c r="A141" s="60"/>
      <c r="B141" s="60"/>
      <c r="C141" s="60"/>
      <c r="D141" s="61"/>
      <c r="E141" s="60"/>
      <c r="F141" s="60"/>
      <c r="G141" s="60"/>
      <c r="H141" s="60"/>
      <c r="I141" s="61"/>
      <c r="J141" s="6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 spans="1:51" ht="18" customHeight="1">
      <c r="A142" s="60"/>
      <c r="B142" s="60"/>
      <c r="C142" s="60"/>
      <c r="D142" s="61"/>
      <c r="E142" s="60"/>
      <c r="F142" s="60"/>
      <c r="G142" s="60"/>
      <c r="H142" s="60"/>
      <c r="I142" s="61"/>
      <c r="J142" s="61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 spans="1:51" ht="18" customHeight="1">
      <c r="A143" s="60"/>
      <c r="B143" s="60"/>
      <c r="C143" s="60"/>
      <c r="D143" s="61"/>
      <c r="E143" s="60"/>
      <c r="F143" s="60"/>
      <c r="G143" s="60"/>
      <c r="H143" s="60"/>
      <c r="I143" s="61"/>
      <c r="J143" s="61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 spans="1:51" ht="18" customHeight="1">
      <c r="A144" s="60"/>
      <c r="B144" s="60"/>
      <c r="C144" s="60"/>
      <c r="D144" s="61"/>
      <c r="E144" s="60"/>
      <c r="F144" s="60"/>
      <c r="G144" s="60"/>
      <c r="H144" s="60"/>
      <c r="I144" s="61"/>
      <c r="J144" s="61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 spans="1:51" ht="18" customHeight="1">
      <c r="A145" s="60"/>
      <c r="B145" s="60"/>
      <c r="C145" s="60"/>
      <c r="D145" s="61"/>
      <c r="E145" s="60"/>
      <c r="F145" s="60"/>
      <c r="G145" s="60"/>
      <c r="H145" s="60"/>
      <c r="I145" s="61"/>
      <c r="J145" s="61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 spans="1:51" ht="18" customHeight="1">
      <c r="A146" s="60"/>
      <c r="B146" s="60"/>
      <c r="C146" s="60"/>
      <c r="D146" s="61"/>
      <c r="E146" s="60"/>
      <c r="F146" s="60"/>
      <c r="G146" s="60"/>
      <c r="H146" s="60"/>
      <c r="I146" s="61"/>
      <c r="J146" s="61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 spans="1:51" ht="18" customHeight="1">
      <c r="A147" s="60"/>
      <c r="B147" s="60"/>
      <c r="C147" s="60"/>
      <c r="D147" s="61"/>
      <c r="E147" s="60"/>
      <c r="F147" s="60"/>
      <c r="G147" s="60"/>
      <c r="H147" s="60"/>
      <c r="I147" s="61"/>
      <c r="J147" s="61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</row>
    <row r="148" spans="1:51" ht="18" customHeight="1">
      <c r="A148" s="60"/>
      <c r="B148" s="60"/>
      <c r="C148" s="60"/>
      <c r="D148" s="61"/>
      <c r="E148" s="60"/>
      <c r="F148" s="60"/>
      <c r="G148" s="60"/>
      <c r="H148" s="60"/>
      <c r="I148" s="61"/>
      <c r="J148" s="61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 spans="1:51" ht="18" customHeight="1">
      <c r="A149" s="60"/>
      <c r="B149" s="60"/>
      <c r="C149" s="60"/>
      <c r="D149" s="61"/>
      <c r="E149" s="60"/>
      <c r="F149" s="60"/>
      <c r="G149" s="60"/>
      <c r="H149" s="60"/>
      <c r="I149" s="61"/>
      <c r="J149" s="61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</row>
    <row r="150" spans="1:51" ht="18" customHeight="1">
      <c r="A150" s="60"/>
      <c r="B150" s="60"/>
      <c r="C150" s="60"/>
      <c r="D150" s="61"/>
      <c r="E150" s="60"/>
      <c r="F150" s="60"/>
      <c r="G150" s="60"/>
      <c r="H150" s="60"/>
      <c r="I150" s="61"/>
      <c r="J150" s="61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 spans="1:51" ht="18" customHeight="1">
      <c r="A151" s="60"/>
      <c r="B151" s="60"/>
      <c r="C151" s="60"/>
      <c r="D151" s="61"/>
      <c r="E151" s="60"/>
      <c r="F151" s="60"/>
      <c r="G151" s="60"/>
      <c r="H151" s="60"/>
      <c r="I151" s="61"/>
      <c r="J151" s="6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 spans="1:51" ht="18" customHeight="1">
      <c r="A152" s="60"/>
      <c r="B152" s="60"/>
      <c r="C152" s="60"/>
      <c r="D152" s="61"/>
      <c r="E152" s="60"/>
      <c r="F152" s="60"/>
      <c r="G152" s="60"/>
      <c r="H152" s="60"/>
      <c r="I152" s="61"/>
      <c r="J152" s="61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</row>
  </sheetData>
  <mergeCells count="2">
    <mergeCell ref="A1:J1"/>
    <mergeCell ref="B3:G3"/>
  </mergeCells>
  <conditionalFormatting sqref="G5:G6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{A65DC9C3-D1A4-4C66-9B4A-A94F119C170D}</x14:id>
        </ext>
      </extLst>
    </cfRule>
  </conditionalFormatting>
  <conditionalFormatting sqref="H5:H6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{ECFD0C17-5BDB-44E2-B99D-5C4A3A4E5E2D}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5DC9C3-D1A4-4C66-9B4A-A94F119C170D}">
            <x14:dataBar minLength="0" maxLength="100" negativeBarColorSameAsPositive="1" axisPosition="none">
              <x14:cfvo type="min"/>
              <x14:cfvo type="max"/>
            </x14:dataBar>
          </x14:cfRule>
          <xm:sqref>G5:G62</xm:sqref>
        </x14:conditionalFormatting>
        <x14:conditionalFormatting xmlns:xm="http://schemas.microsoft.com/office/excel/2006/main">
          <x14:cfRule type="dataBar" id="{ECFD0C17-5BDB-44E2-B99D-5C4A3A4E5E2D}">
            <x14:dataBar minLength="0" maxLength="100" negativeBarColorSameAsPositive="1" axisPosition="none">
              <x14:cfvo type="min"/>
              <x14:cfvo type="max"/>
            </x14:dataBar>
          </x14:cfRule>
          <xm:sqref>H5:H62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C427-FDDC-4DD7-8969-0F4A43E3237F}">
  <dimension ref="A1:AV160"/>
  <sheetViews>
    <sheetView showGridLines="0" workbookViewId="0">
      <selection activeCell="D21" sqref="D21"/>
    </sheetView>
  </sheetViews>
  <sheetFormatPr defaultRowHeight="14.45"/>
  <cols>
    <col min="1" max="1" width="13.5703125" style="35" customWidth="1"/>
    <col min="2" max="2" width="10" style="35" customWidth="1"/>
    <col min="3" max="3" width="8.42578125" style="35" bestFit="1" customWidth="1"/>
    <col min="4" max="4" width="19.7109375" style="35" bestFit="1" customWidth="1"/>
    <col min="5" max="5" width="43.85546875" style="35" customWidth="1"/>
    <col min="6" max="6" width="22" style="36" customWidth="1"/>
    <col min="7" max="13" width="14.28515625" style="35" hidden="1" customWidth="1"/>
    <col min="14" max="15" width="14.28515625" style="36" hidden="1" customWidth="1"/>
    <col min="16" max="22" width="14.28515625" style="35" hidden="1" customWidth="1"/>
    <col min="23" max="24" width="14.28515625" style="36" hidden="1" customWidth="1"/>
    <col min="25" max="31" width="14.28515625" style="35" hidden="1" customWidth="1"/>
    <col min="32" max="33" width="14.28515625" style="36" hidden="1" customWidth="1"/>
    <col min="34" max="41" width="14.28515625" style="35" hidden="1" customWidth="1"/>
    <col min="42" max="44" width="14.28515625" style="36" hidden="1" customWidth="1"/>
    <col min="45" max="45" width="18" style="36" customWidth="1"/>
    <col min="46" max="46" width="16.7109375" style="36" customWidth="1"/>
    <col min="47" max="47" width="16.28515625" style="37" customWidth="1"/>
    <col min="48" max="48" width="8" style="35" bestFit="1" customWidth="1"/>
  </cols>
  <sheetData>
    <row r="1" spans="1:48" ht="23.45">
      <c r="A1" s="107" t="s">
        <v>329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48" ht="29.1">
      <c r="A2" s="38" t="s">
        <v>330</v>
      </c>
      <c r="B2" s="93"/>
      <c r="D2" s="109"/>
      <c r="E2" s="110"/>
      <c r="F2" s="110"/>
      <c r="G2" s="110"/>
      <c r="H2" s="110"/>
      <c r="I2" s="110"/>
      <c r="J2" s="110"/>
      <c r="K2" s="110"/>
    </row>
    <row r="3" spans="1:48">
      <c r="D3" s="110"/>
      <c r="E3" s="110"/>
      <c r="F3" s="110"/>
      <c r="G3" s="110"/>
      <c r="H3" s="110"/>
      <c r="I3" s="110"/>
      <c r="J3" s="110"/>
      <c r="K3" s="110"/>
    </row>
    <row r="5" spans="1:48">
      <c r="A5" s="111" t="s">
        <v>331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48">
      <c r="A6" s="29" t="str" cm="1">
        <f t="array" ref="A6">_xlfn.LET(_xlpm.q,TRIM($B$2),_xlpm.data,'PM (Domestic)'!A2:AV1001,_xlpm.pm,'PM (Domestic)'!D2:D1001,_xlpm.code,IFERROR(_xlfn.TEXTBEFORE(_xlfn.TEXTAFTER(_xlpm.pm,"["),"]"),""),_xlpm.cleanHeaders,IF((ISNUMBER('PM (Domestic)'!A1:AV1))*('PM (Domestic)'!A1:AV1&gt;1000),TEXT('PM (Domestic)'!A1:AV1,"d-mmm"),'PM (Domestic)'!A1:AV1),_xlpm.headers,_xlfn.HSTACK("PM Code",_xlpm.cleanHeaders),_xlpm.out,_xlfn._xlws.FILTER(_xlfn.HSTACK(_xlpm.code,_xlpm.data),ISNUMBER(SEARCH(_xlpm.q,_xlpm.pm&amp;" "&amp;_xlpm.code))),IF(_xlpm.q="","Type a PM name or code in B2",IFERROR(_xlfn.VSTACK(_xlpm.headers,_xlpm.out),"No Data Found")))</f>
        <v>Type a PM name or code in B2</v>
      </c>
      <c r="B6" s="30"/>
      <c r="C6" s="30"/>
      <c r="D6" s="30"/>
      <c r="E6" s="30"/>
      <c r="F6" s="31"/>
      <c r="G6" s="32"/>
      <c r="H6" s="32"/>
      <c r="I6" s="32"/>
      <c r="J6" s="32"/>
      <c r="K6" s="32"/>
      <c r="L6" s="32"/>
      <c r="M6" s="32"/>
      <c r="N6" s="31"/>
      <c r="O6" s="31"/>
      <c r="P6" s="32"/>
      <c r="Q6" s="32"/>
      <c r="R6" s="32"/>
      <c r="S6" s="32"/>
      <c r="T6" s="32"/>
      <c r="U6" s="32"/>
      <c r="V6" s="32"/>
      <c r="W6" s="31"/>
      <c r="X6" s="31"/>
      <c r="Y6" s="32"/>
      <c r="Z6" s="32"/>
      <c r="AA6" s="32"/>
      <c r="AB6" s="32"/>
      <c r="AC6" s="32"/>
      <c r="AD6" s="32"/>
      <c r="AE6" s="32"/>
      <c r="AF6" s="31"/>
      <c r="AG6" s="31"/>
      <c r="AH6" s="32"/>
      <c r="AI6" s="32"/>
      <c r="AJ6" s="32"/>
      <c r="AK6" s="32"/>
      <c r="AL6" s="32"/>
      <c r="AM6" s="32"/>
      <c r="AN6" s="32"/>
      <c r="AO6" s="32"/>
      <c r="AP6" s="31"/>
      <c r="AQ6" s="31"/>
      <c r="AR6" s="31"/>
      <c r="AS6" s="31"/>
      <c r="AT6" s="31"/>
      <c r="AU6" s="33"/>
      <c r="AV6" s="34"/>
    </row>
    <row r="7" spans="1:48">
      <c r="A7" s="39"/>
      <c r="B7" s="40"/>
      <c r="C7" s="40"/>
      <c r="D7" s="40"/>
      <c r="E7" s="40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2"/>
      <c r="AV7" s="43"/>
    </row>
    <row r="8" spans="1:48">
      <c r="A8" s="39"/>
      <c r="B8" s="40"/>
      <c r="C8" s="40"/>
      <c r="D8" s="40"/>
      <c r="E8" s="4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2"/>
      <c r="AV8" s="43"/>
    </row>
    <row r="9" spans="1:48">
      <c r="A9" s="39"/>
      <c r="B9" s="40"/>
      <c r="C9" s="40"/>
      <c r="D9" s="40"/>
      <c r="E9" s="4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2"/>
      <c r="AV9" s="43"/>
    </row>
    <row r="10" spans="1:48">
      <c r="A10" s="39"/>
      <c r="B10" s="40"/>
      <c r="C10" s="40"/>
      <c r="D10" s="40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2"/>
      <c r="AV10" s="43"/>
    </row>
    <row r="11" spans="1:48">
      <c r="A11" s="39"/>
      <c r="B11" s="40"/>
      <c r="C11" s="40"/>
      <c r="D11" s="40"/>
      <c r="E11" s="40"/>
      <c r="F11" s="41"/>
      <c r="G11" s="40"/>
      <c r="H11" s="40"/>
      <c r="I11" s="40"/>
      <c r="J11" s="40"/>
      <c r="K11" s="40"/>
      <c r="L11" s="40"/>
      <c r="M11" s="40"/>
      <c r="N11" s="44"/>
      <c r="O11" s="44"/>
      <c r="P11" s="40"/>
      <c r="Q11" s="40"/>
      <c r="R11" s="40"/>
      <c r="S11" s="40"/>
      <c r="T11" s="40"/>
      <c r="U11" s="40"/>
      <c r="V11" s="40"/>
      <c r="W11" s="44"/>
      <c r="X11" s="44"/>
      <c r="Y11" s="40"/>
      <c r="Z11" s="40"/>
      <c r="AA11" s="40"/>
      <c r="AB11" s="40"/>
      <c r="AC11" s="40"/>
      <c r="AD11" s="40"/>
      <c r="AE11" s="40"/>
      <c r="AF11" s="44"/>
      <c r="AG11" s="44"/>
      <c r="AH11" s="40"/>
      <c r="AI11" s="40"/>
      <c r="AJ11" s="40"/>
      <c r="AK11" s="40"/>
      <c r="AL11" s="40"/>
      <c r="AM11" s="40"/>
      <c r="AN11" s="40"/>
      <c r="AO11" s="40"/>
      <c r="AP11" s="44"/>
      <c r="AQ11" s="44"/>
      <c r="AR11" s="44"/>
      <c r="AS11" s="41"/>
      <c r="AT11" s="41"/>
      <c r="AU11" s="42"/>
      <c r="AV11" s="43"/>
    </row>
    <row r="12" spans="1:48">
      <c r="A12" s="39"/>
      <c r="B12" s="40"/>
      <c r="C12" s="40"/>
      <c r="D12" s="40"/>
      <c r="E12" s="40"/>
      <c r="F12" s="41"/>
      <c r="G12" s="40"/>
      <c r="H12" s="40"/>
      <c r="I12" s="40"/>
      <c r="J12" s="40"/>
      <c r="K12" s="40"/>
      <c r="L12" s="40"/>
      <c r="M12" s="40"/>
      <c r="N12" s="44"/>
      <c r="O12" s="44"/>
      <c r="P12" s="40"/>
      <c r="Q12" s="40"/>
      <c r="R12" s="40"/>
      <c r="S12" s="40"/>
      <c r="T12" s="40"/>
      <c r="U12" s="40"/>
      <c r="V12" s="40"/>
      <c r="W12" s="44"/>
      <c r="X12" s="44"/>
      <c r="Y12" s="40"/>
      <c r="Z12" s="40"/>
      <c r="AA12" s="40"/>
      <c r="AB12" s="40"/>
      <c r="AC12" s="40"/>
      <c r="AD12" s="40"/>
      <c r="AE12" s="40"/>
      <c r="AF12" s="44"/>
      <c r="AG12" s="44"/>
      <c r="AH12" s="40"/>
      <c r="AI12" s="40"/>
      <c r="AJ12" s="40"/>
      <c r="AK12" s="40"/>
      <c r="AL12" s="40"/>
      <c r="AM12" s="40"/>
      <c r="AN12" s="40"/>
      <c r="AO12" s="40"/>
      <c r="AP12" s="44"/>
      <c r="AQ12" s="44"/>
      <c r="AR12" s="44"/>
      <c r="AS12" s="41"/>
      <c r="AT12" s="41"/>
      <c r="AU12" s="42"/>
      <c r="AV12" s="43"/>
    </row>
    <row r="13" spans="1:48">
      <c r="A13" s="39"/>
      <c r="B13" s="40"/>
      <c r="C13" s="40"/>
      <c r="D13" s="40"/>
      <c r="E13" s="40"/>
      <c r="F13" s="41"/>
      <c r="G13" s="40"/>
      <c r="H13" s="40"/>
      <c r="I13" s="40"/>
      <c r="J13" s="40"/>
      <c r="K13" s="40"/>
      <c r="L13" s="40"/>
      <c r="M13" s="40"/>
      <c r="N13" s="44"/>
      <c r="O13" s="44"/>
      <c r="P13" s="40"/>
      <c r="Q13" s="40"/>
      <c r="R13" s="40"/>
      <c r="S13" s="40"/>
      <c r="T13" s="40"/>
      <c r="U13" s="40"/>
      <c r="V13" s="40"/>
      <c r="W13" s="44"/>
      <c r="X13" s="44"/>
      <c r="Y13" s="40"/>
      <c r="Z13" s="40"/>
      <c r="AA13" s="40"/>
      <c r="AB13" s="40"/>
      <c r="AC13" s="40"/>
      <c r="AD13" s="40"/>
      <c r="AE13" s="40"/>
      <c r="AF13" s="44"/>
      <c r="AG13" s="44"/>
      <c r="AH13" s="40"/>
      <c r="AI13" s="40"/>
      <c r="AJ13" s="40"/>
      <c r="AK13" s="40"/>
      <c r="AL13" s="40"/>
      <c r="AM13" s="40"/>
      <c r="AN13" s="40"/>
      <c r="AO13" s="40"/>
      <c r="AP13" s="44"/>
      <c r="AQ13" s="44"/>
      <c r="AR13" s="44"/>
      <c r="AS13" s="41"/>
      <c r="AT13" s="41"/>
      <c r="AU13" s="42"/>
      <c r="AV13" s="43"/>
    </row>
    <row r="14" spans="1:48">
      <c r="A14" s="39"/>
      <c r="B14" s="40"/>
      <c r="C14" s="40"/>
      <c r="D14" s="40"/>
      <c r="E14" s="40"/>
      <c r="F14" s="41"/>
      <c r="G14" s="40"/>
      <c r="H14" s="40"/>
      <c r="I14" s="40"/>
      <c r="J14" s="40"/>
      <c r="K14" s="40"/>
      <c r="L14" s="40"/>
      <c r="M14" s="40"/>
      <c r="N14" s="44"/>
      <c r="O14" s="44"/>
      <c r="P14" s="40"/>
      <c r="Q14" s="40"/>
      <c r="R14" s="40"/>
      <c r="S14" s="40"/>
      <c r="T14" s="40"/>
      <c r="U14" s="40"/>
      <c r="V14" s="40"/>
      <c r="W14" s="44"/>
      <c r="X14" s="44"/>
      <c r="Y14" s="40"/>
      <c r="Z14" s="40"/>
      <c r="AA14" s="40"/>
      <c r="AB14" s="40"/>
      <c r="AC14" s="40"/>
      <c r="AD14" s="40"/>
      <c r="AE14" s="40"/>
      <c r="AF14" s="44"/>
      <c r="AG14" s="44"/>
      <c r="AH14" s="40"/>
      <c r="AI14" s="40"/>
      <c r="AJ14" s="40"/>
      <c r="AK14" s="40"/>
      <c r="AL14" s="40"/>
      <c r="AM14" s="40"/>
      <c r="AN14" s="40"/>
      <c r="AO14" s="40"/>
      <c r="AP14" s="44"/>
      <c r="AQ14" s="44"/>
      <c r="AR14" s="44"/>
      <c r="AS14" s="41"/>
      <c r="AT14" s="41"/>
      <c r="AU14" s="42"/>
      <c r="AV14" s="43"/>
    </row>
    <row r="15" spans="1:48">
      <c r="A15" s="39"/>
      <c r="B15" s="40"/>
      <c r="C15" s="40"/>
      <c r="D15" s="40"/>
      <c r="E15" s="40"/>
      <c r="F15" s="41"/>
      <c r="G15" s="40"/>
      <c r="H15" s="40"/>
      <c r="I15" s="40"/>
      <c r="J15" s="40"/>
      <c r="K15" s="40"/>
      <c r="L15" s="40"/>
      <c r="M15" s="40"/>
      <c r="N15" s="44"/>
      <c r="O15" s="44"/>
      <c r="P15" s="40"/>
      <c r="Q15" s="40"/>
      <c r="R15" s="40"/>
      <c r="S15" s="40"/>
      <c r="T15" s="40"/>
      <c r="U15" s="40"/>
      <c r="V15" s="40"/>
      <c r="W15" s="44"/>
      <c r="X15" s="44"/>
      <c r="Y15" s="40"/>
      <c r="Z15" s="40"/>
      <c r="AA15" s="40"/>
      <c r="AB15" s="40"/>
      <c r="AC15" s="40"/>
      <c r="AD15" s="40"/>
      <c r="AE15" s="40"/>
      <c r="AF15" s="44"/>
      <c r="AG15" s="44"/>
      <c r="AH15" s="40"/>
      <c r="AI15" s="40"/>
      <c r="AJ15" s="40"/>
      <c r="AK15" s="40"/>
      <c r="AL15" s="40"/>
      <c r="AM15" s="40"/>
      <c r="AN15" s="40"/>
      <c r="AO15" s="40"/>
      <c r="AP15" s="44"/>
      <c r="AQ15" s="44"/>
      <c r="AR15" s="44"/>
      <c r="AS15" s="41"/>
      <c r="AT15" s="41"/>
      <c r="AU15" s="42"/>
      <c r="AV15" s="43"/>
    </row>
    <row r="16" spans="1:48">
      <c r="A16" s="39"/>
      <c r="B16" s="40"/>
      <c r="C16" s="40"/>
      <c r="D16" s="40"/>
      <c r="E16" s="40"/>
      <c r="F16" s="41"/>
      <c r="G16" s="40"/>
      <c r="H16" s="40"/>
      <c r="I16" s="40"/>
      <c r="J16" s="40"/>
      <c r="K16" s="40"/>
      <c r="L16" s="40"/>
      <c r="M16" s="40"/>
      <c r="N16" s="44"/>
      <c r="O16" s="44"/>
      <c r="P16" s="40"/>
      <c r="Q16" s="40"/>
      <c r="R16" s="40"/>
      <c r="S16" s="40"/>
      <c r="T16" s="40"/>
      <c r="U16" s="40"/>
      <c r="V16" s="40"/>
      <c r="W16" s="44"/>
      <c r="X16" s="44"/>
      <c r="Y16" s="40"/>
      <c r="Z16" s="40"/>
      <c r="AA16" s="40"/>
      <c r="AB16" s="40"/>
      <c r="AC16" s="40"/>
      <c r="AD16" s="40"/>
      <c r="AE16" s="40"/>
      <c r="AF16" s="44"/>
      <c r="AG16" s="44"/>
      <c r="AH16" s="40"/>
      <c r="AI16" s="40"/>
      <c r="AJ16" s="40"/>
      <c r="AK16" s="40"/>
      <c r="AL16" s="40"/>
      <c r="AM16" s="40"/>
      <c r="AN16" s="40"/>
      <c r="AO16" s="40"/>
      <c r="AP16" s="44"/>
      <c r="AQ16" s="44"/>
      <c r="AR16" s="44"/>
      <c r="AS16" s="41"/>
      <c r="AT16" s="41"/>
      <c r="AU16" s="42"/>
      <c r="AV16" s="43"/>
    </row>
    <row r="17" spans="1:48">
      <c r="A17" s="39"/>
      <c r="B17" s="40"/>
      <c r="C17" s="40"/>
      <c r="D17" s="40"/>
      <c r="E17" s="40"/>
      <c r="F17" s="41"/>
      <c r="G17" s="40"/>
      <c r="H17" s="40"/>
      <c r="I17" s="40"/>
      <c r="J17" s="40"/>
      <c r="K17" s="40"/>
      <c r="L17" s="40"/>
      <c r="M17" s="40"/>
      <c r="N17" s="44"/>
      <c r="O17" s="44"/>
      <c r="P17" s="40"/>
      <c r="Q17" s="40"/>
      <c r="R17" s="40"/>
      <c r="S17" s="40"/>
      <c r="T17" s="40"/>
      <c r="U17" s="40"/>
      <c r="V17" s="40"/>
      <c r="W17" s="44"/>
      <c r="X17" s="44"/>
      <c r="Y17" s="40"/>
      <c r="Z17" s="40"/>
      <c r="AA17" s="40"/>
      <c r="AB17" s="40"/>
      <c r="AC17" s="40"/>
      <c r="AD17" s="40"/>
      <c r="AE17" s="40"/>
      <c r="AF17" s="44"/>
      <c r="AG17" s="44"/>
      <c r="AH17" s="40"/>
      <c r="AI17" s="40"/>
      <c r="AJ17" s="40"/>
      <c r="AK17" s="40"/>
      <c r="AL17" s="40"/>
      <c r="AM17" s="40"/>
      <c r="AN17" s="40"/>
      <c r="AO17" s="40"/>
      <c r="AP17" s="44"/>
      <c r="AQ17" s="44"/>
      <c r="AR17" s="44"/>
      <c r="AS17" s="41"/>
      <c r="AT17" s="41"/>
      <c r="AU17" s="42"/>
      <c r="AV17" s="43"/>
    </row>
    <row r="18" spans="1:48">
      <c r="A18" s="39"/>
      <c r="B18" s="40"/>
      <c r="C18" s="40"/>
      <c r="D18" s="40"/>
      <c r="E18" s="40"/>
      <c r="F18" s="41"/>
      <c r="G18" s="40"/>
      <c r="H18" s="40"/>
      <c r="I18" s="40"/>
      <c r="J18" s="40"/>
      <c r="K18" s="40"/>
      <c r="L18" s="40"/>
      <c r="M18" s="40"/>
      <c r="N18" s="44"/>
      <c r="O18" s="44"/>
      <c r="P18" s="40"/>
      <c r="Q18" s="40"/>
      <c r="R18" s="40"/>
      <c r="S18" s="40"/>
      <c r="T18" s="40"/>
      <c r="U18" s="40"/>
      <c r="V18" s="40"/>
      <c r="W18" s="44"/>
      <c r="X18" s="44"/>
      <c r="Y18" s="40"/>
      <c r="Z18" s="40"/>
      <c r="AA18" s="40"/>
      <c r="AB18" s="40"/>
      <c r="AC18" s="40"/>
      <c r="AD18" s="40"/>
      <c r="AE18" s="40"/>
      <c r="AF18" s="44"/>
      <c r="AG18" s="44"/>
      <c r="AH18" s="40"/>
      <c r="AI18" s="40"/>
      <c r="AJ18" s="40"/>
      <c r="AK18" s="40"/>
      <c r="AL18" s="40"/>
      <c r="AM18" s="40"/>
      <c r="AN18" s="40"/>
      <c r="AO18" s="40"/>
      <c r="AP18" s="44"/>
      <c r="AQ18" s="44"/>
      <c r="AR18" s="44"/>
      <c r="AS18" s="41"/>
      <c r="AT18" s="41"/>
      <c r="AU18" s="42"/>
      <c r="AV18" s="43"/>
    </row>
    <row r="19" spans="1:48">
      <c r="A19" s="39"/>
      <c r="B19" s="40"/>
      <c r="C19" s="40"/>
      <c r="D19" s="40"/>
      <c r="E19" s="40"/>
      <c r="F19" s="44"/>
      <c r="G19" s="40"/>
      <c r="H19" s="40"/>
      <c r="I19" s="40"/>
      <c r="J19" s="40"/>
      <c r="K19" s="40"/>
      <c r="L19" s="40"/>
      <c r="M19" s="40"/>
      <c r="N19" s="44"/>
      <c r="O19" s="44"/>
      <c r="P19" s="40"/>
      <c r="Q19" s="40"/>
      <c r="R19" s="40"/>
      <c r="S19" s="40"/>
      <c r="T19" s="40"/>
      <c r="U19" s="40"/>
      <c r="V19" s="40"/>
      <c r="W19" s="44"/>
      <c r="X19" s="44"/>
      <c r="Y19" s="40"/>
      <c r="Z19" s="40"/>
      <c r="AA19" s="40"/>
      <c r="AB19" s="40"/>
      <c r="AC19" s="40"/>
      <c r="AD19" s="40"/>
      <c r="AE19" s="40"/>
      <c r="AF19" s="44"/>
      <c r="AG19" s="44"/>
      <c r="AH19" s="40"/>
      <c r="AI19" s="40"/>
      <c r="AJ19" s="40"/>
      <c r="AK19" s="40"/>
      <c r="AL19" s="40"/>
      <c r="AM19" s="40"/>
      <c r="AN19" s="40"/>
      <c r="AO19" s="40"/>
      <c r="AP19" s="44"/>
      <c r="AQ19" s="44"/>
      <c r="AR19" s="44"/>
      <c r="AS19" s="41"/>
      <c r="AT19" s="41"/>
      <c r="AU19" s="42"/>
      <c r="AV19" s="43"/>
    </row>
    <row r="20" spans="1:48">
      <c r="A20" s="39"/>
      <c r="B20" s="40"/>
      <c r="C20" s="40"/>
      <c r="D20" s="40"/>
      <c r="E20" s="40"/>
      <c r="F20" s="44"/>
      <c r="G20" s="40"/>
      <c r="H20" s="40"/>
      <c r="I20" s="40"/>
      <c r="J20" s="40"/>
      <c r="K20" s="40"/>
      <c r="L20" s="40"/>
      <c r="M20" s="40"/>
      <c r="N20" s="44"/>
      <c r="O20" s="44"/>
      <c r="P20" s="40"/>
      <c r="Q20" s="40"/>
      <c r="R20" s="40"/>
      <c r="S20" s="40"/>
      <c r="T20" s="40"/>
      <c r="U20" s="40"/>
      <c r="V20" s="40"/>
      <c r="W20" s="44"/>
      <c r="X20" s="44"/>
      <c r="Y20" s="40"/>
      <c r="Z20" s="40"/>
      <c r="AA20" s="40"/>
      <c r="AB20" s="40"/>
      <c r="AC20" s="40"/>
      <c r="AD20" s="40"/>
      <c r="AE20" s="40"/>
      <c r="AF20" s="44"/>
      <c r="AG20" s="44"/>
      <c r="AH20" s="40"/>
      <c r="AI20" s="40"/>
      <c r="AJ20" s="40"/>
      <c r="AK20" s="40"/>
      <c r="AL20" s="40"/>
      <c r="AM20" s="40"/>
      <c r="AN20" s="40"/>
      <c r="AO20" s="40"/>
      <c r="AP20" s="44"/>
      <c r="AQ20" s="44"/>
      <c r="AR20" s="44"/>
      <c r="AS20" s="41"/>
      <c r="AT20" s="41"/>
      <c r="AU20" s="42"/>
      <c r="AV20" s="43"/>
    </row>
    <row r="21" spans="1:48">
      <c r="A21" s="39"/>
      <c r="B21" s="40"/>
      <c r="C21" s="40"/>
      <c r="D21" s="40"/>
      <c r="E21" s="40"/>
      <c r="F21" s="44"/>
      <c r="G21" s="40"/>
      <c r="H21" s="40"/>
      <c r="I21" s="40"/>
      <c r="J21" s="40"/>
      <c r="K21" s="40"/>
      <c r="L21" s="40"/>
      <c r="M21" s="40"/>
      <c r="N21" s="44"/>
      <c r="O21" s="44"/>
      <c r="P21" s="40"/>
      <c r="Q21" s="40"/>
      <c r="R21" s="40"/>
      <c r="S21" s="40"/>
      <c r="T21" s="40"/>
      <c r="U21" s="40"/>
      <c r="V21" s="40"/>
      <c r="W21" s="44"/>
      <c r="X21" s="44"/>
      <c r="Y21" s="40"/>
      <c r="Z21" s="40"/>
      <c r="AA21" s="40"/>
      <c r="AB21" s="40"/>
      <c r="AC21" s="40"/>
      <c r="AD21" s="40"/>
      <c r="AE21" s="40"/>
      <c r="AF21" s="44"/>
      <c r="AG21" s="44"/>
      <c r="AH21" s="40"/>
      <c r="AI21" s="40"/>
      <c r="AJ21" s="40"/>
      <c r="AK21" s="40"/>
      <c r="AL21" s="40"/>
      <c r="AM21" s="40"/>
      <c r="AN21" s="40"/>
      <c r="AO21" s="40"/>
      <c r="AP21" s="44"/>
      <c r="AQ21" s="44"/>
      <c r="AR21" s="44"/>
      <c r="AS21" s="41"/>
      <c r="AT21" s="41"/>
      <c r="AU21" s="42"/>
      <c r="AV21" s="43"/>
    </row>
    <row r="22" spans="1:48">
      <c r="A22" s="39"/>
      <c r="B22" s="40"/>
      <c r="C22" s="40"/>
      <c r="D22" s="40"/>
      <c r="E22" s="40"/>
      <c r="F22" s="44"/>
      <c r="G22" s="40"/>
      <c r="H22" s="40"/>
      <c r="I22" s="40"/>
      <c r="J22" s="40"/>
      <c r="K22" s="40"/>
      <c r="L22" s="40"/>
      <c r="M22" s="40"/>
      <c r="N22" s="44"/>
      <c r="O22" s="44"/>
      <c r="P22" s="40"/>
      <c r="Q22" s="40"/>
      <c r="R22" s="40"/>
      <c r="S22" s="40"/>
      <c r="T22" s="40"/>
      <c r="U22" s="40"/>
      <c r="V22" s="40"/>
      <c r="W22" s="44"/>
      <c r="X22" s="44"/>
      <c r="Y22" s="40"/>
      <c r="Z22" s="40"/>
      <c r="AA22" s="40"/>
      <c r="AB22" s="40"/>
      <c r="AC22" s="40"/>
      <c r="AD22" s="40"/>
      <c r="AE22" s="40"/>
      <c r="AF22" s="44"/>
      <c r="AG22" s="44"/>
      <c r="AH22" s="40"/>
      <c r="AI22" s="40"/>
      <c r="AJ22" s="40"/>
      <c r="AK22" s="40"/>
      <c r="AL22" s="40"/>
      <c r="AM22" s="40"/>
      <c r="AN22" s="40"/>
      <c r="AO22" s="40"/>
      <c r="AP22" s="44"/>
      <c r="AQ22" s="44"/>
      <c r="AR22" s="44"/>
      <c r="AS22" s="41"/>
      <c r="AT22" s="41"/>
      <c r="AU22" s="42"/>
      <c r="AV22" s="43"/>
    </row>
    <row r="23" spans="1:48">
      <c r="A23" s="39"/>
      <c r="B23" s="40"/>
      <c r="C23" s="40"/>
      <c r="D23" s="40"/>
      <c r="E23" s="40"/>
      <c r="F23" s="44"/>
      <c r="G23" s="40"/>
      <c r="H23" s="40"/>
      <c r="I23" s="40"/>
      <c r="J23" s="40"/>
      <c r="K23" s="40"/>
      <c r="L23" s="40"/>
      <c r="M23" s="40"/>
      <c r="N23" s="44"/>
      <c r="O23" s="44"/>
      <c r="P23" s="40"/>
      <c r="Q23" s="40"/>
      <c r="R23" s="40"/>
      <c r="S23" s="40"/>
      <c r="T23" s="40"/>
      <c r="U23" s="40"/>
      <c r="V23" s="40"/>
      <c r="W23" s="44"/>
      <c r="X23" s="44"/>
      <c r="Y23" s="40"/>
      <c r="Z23" s="40"/>
      <c r="AA23" s="40"/>
      <c r="AB23" s="40"/>
      <c r="AC23" s="40"/>
      <c r="AD23" s="40"/>
      <c r="AE23" s="40"/>
      <c r="AF23" s="44"/>
      <c r="AG23" s="44"/>
      <c r="AH23" s="40"/>
      <c r="AI23" s="40"/>
      <c r="AJ23" s="40"/>
      <c r="AK23" s="40"/>
      <c r="AL23" s="40"/>
      <c r="AM23" s="40"/>
      <c r="AN23" s="40"/>
      <c r="AO23" s="40"/>
      <c r="AP23" s="44"/>
      <c r="AQ23" s="44"/>
      <c r="AR23" s="44"/>
      <c r="AS23" s="44"/>
      <c r="AT23" s="44"/>
      <c r="AU23" s="42"/>
      <c r="AV23" s="43"/>
    </row>
    <row r="24" spans="1:48">
      <c r="A24" s="39"/>
      <c r="B24" s="40"/>
      <c r="C24" s="40"/>
      <c r="D24" s="40"/>
      <c r="E24" s="40"/>
      <c r="F24" s="44"/>
      <c r="G24" s="40"/>
      <c r="H24" s="40"/>
      <c r="I24" s="40"/>
      <c r="J24" s="40"/>
      <c r="K24" s="40"/>
      <c r="L24" s="40"/>
      <c r="M24" s="40"/>
      <c r="N24" s="44"/>
      <c r="O24" s="44"/>
      <c r="P24" s="40"/>
      <c r="Q24" s="40"/>
      <c r="R24" s="40"/>
      <c r="S24" s="40"/>
      <c r="T24" s="40"/>
      <c r="U24" s="40"/>
      <c r="V24" s="40"/>
      <c r="W24" s="44"/>
      <c r="X24" s="44"/>
      <c r="Y24" s="40"/>
      <c r="Z24" s="40"/>
      <c r="AA24" s="40"/>
      <c r="AB24" s="40"/>
      <c r="AC24" s="40"/>
      <c r="AD24" s="40"/>
      <c r="AE24" s="40"/>
      <c r="AF24" s="44"/>
      <c r="AG24" s="44"/>
      <c r="AH24" s="40"/>
      <c r="AI24" s="40"/>
      <c r="AJ24" s="40"/>
      <c r="AK24" s="40"/>
      <c r="AL24" s="40"/>
      <c r="AM24" s="40"/>
      <c r="AN24" s="40"/>
      <c r="AO24" s="40"/>
      <c r="AP24" s="44"/>
      <c r="AQ24" s="44"/>
      <c r="AR24" s="44"/>
      <c r="AS24" s="44"/>
      <c r="AT24" s="44"/>
      <c r="AU24" s="42"/>
      <c r="AV24" s="43"/>
    </row>
    <row r="25" spans="1:48">
      <c r="A25" s="39"/>
      <c r="B25" s="40"/>
      <c r="C25" s="40"/>
      <c r="D25" s="40"/>
      <c r="E25" s="40"/>
      <c r="F25" s="44"/>
      <c r="G25" s="40"/>
      <c r="H25" s="40"/>
      <c r="I25" s="40"/>
      <c r="J25" s="40"/>
      <c r="K25" s="40"/>
      <c r="L25" s="40"/>
      <c r="M25" s="40"/>
      <c r="N25" s="44"/>
      <c r="O25" s="44"/>
      <c r="P25" s="40"/>
      <c r="Q25" s="40"/>
      <c r="R25" s="40"/>
      <c r="S25" s="40"/>
      <c r="T25" s="40"/>
      <c r="U25" s="40"/>
      <c r="V25" s="40"/>
      <c r="W25" s="44"/>
      <c r="X25" s="44"/>
      <c r="Y25" s="40"/>
      <c r="Z25" s="40"/>
      <c r="AA25" s="40"/>
      <c r="AB25" s="40"/>
      <c r="AC25" s="40"/>
      <c r="AD25" s="40"/>
      <c r="AE25" s="40"/>
      <c r="AF25" s="44"/>
      <c r="AG25" s="44"/>
      <c r="AH25" s="40"/>
      <c r="AI25" s="40"/>
      <c r="AJ25" s="40"/>
      <c r="AK25" s="40"/>
      <c r="AL25" s="40"/>
      <c r="AM25" s="40"/>
      <c r="AN25" s="40"/>
      <c r="AO25" s="40"/>
      <c r="AP25" s="44"/>
      <c r="AQ25" s="44"/>
      <c r="AR25" s="44"/>
      <c r="AS25" s="44"/>
      <c r="AT25" s="44"/>
      <c r="AU25" s="42"/>
      <c r="AV25" s="43"/>
    </row>
    <row r="26" spans="1:48">
      <c r="A26" s="39"/>
      <c r="B26" s="40"/>
      <c r="C26" s="40"/>
      <c r="D26" s="40"/>
      <c r="E26" s="40"/>
      <c r="F26" s="44"/>
      <c r="G26" s="40"/>
      <c r="H26" s="40"/>
      <c r="I26" s="40"/>
      <c r="J26" s="40"/>
      <c r="K26" s="40"/>
      <c r="L26" s="40"/>
      <c r="M26" s="40"/>
      <c r="N26" s="44"/>
      <c r="O26" s="44"/>
      <c r="P26" s="40"/>
      <c r="Q26" s="40"/>
      <c r="R26" s="40"/>
      <c r="S26" s="40"/>
      <c r="T26" s="40"/>
      <c r="U26" s="40"/>
      <c r="V26" s="40"/>
      <c r="W26" s="44"/>
      <c r="X26" s="44"/>
      <c r="Y26" s="40"/>
      <c r="Z26" s="40"/>
      <c r="AA26" s="40"/>
      <c r="AB26" s="40"/>
      <c r="AC26" s="40"/>
      <c r="AD26" s="40"/>
      <c r="AE26" s="40"/>
      <c r="AF26" s="44"/>
      <c r="AG26" s="44"/>
      <c r="AH26" s="40"/>
      <c r="AI26" s="40"/>
      <c r="AJ26" s="40"/>
      <c r="AK26" s="40"/>
      <c r="AL26" s="40"/>
      <c r="AM26" s="40"/>
      <c r="AN26" s="40"/>
      <c r="AO26" s="40"/>
      <c r="AP26" s="44"/>
      <c r="AQ26" s="44"/>
      <c r="AR26" s="44"/>
      <c r="AS26" s="44"/>
      <c r="AT26" s="44"/>
      <c r="AU26" s="42"/>
      <c r="AV26" s="43"/>
    </row>
    <row r="27" spans="1:48">
      <c r="A27" s="39"/>
      <c r="B27" s="40"/>
      <c r="C27" s="40"/>
      <c r="D27" s="40"/>
      <c r="E27" s="40"/>
      <c r="F27" s="44"/>
      <c r="G27" s="40"/>
      <c r="H27" s="40"/>
      <c r="I27" s="40"/>
      <c r="J27" s="40"/>
      <c r="K27" s="40"/>
      <c r="L27" s="40"/>
      <c r="M27" s="40"/>
      <c r="N27" s="44"/>
      <c r="O27" s="44"/>
      <c r="P27" s="40"/>
      <c r="Q27" s="40"/>
      <c r="R27" s="40"/>
      <c r="S27" s="40"/>
      <c r="T27" s="40"/>
      <c r="U27" s="40"/>
      <c r="V27" s="40"/>
      <c r="W27" s="44"/>
      <c r="X27" s="44"/>
      <c r="Y27" s="40"/>
      <c r="Z27" s="40"/>
      <c r="AA27" s="40"/>
      <c r="AB27" s="40"/>
      <c r="AC27" s="40"/>
      <c r="AD27" s="40"/>
      <c r="AE27" s="40"/>
      <c r="AF27" s="44"/>
      <c r="AG27" s="44"/>
      <c r="AH27" s="40"/>
      <c r="AI27" s="40"/>
      <c r="AJ27" s="40"/>
      <c r="AK27" s="40"/>
      <c r="AL27" s="40"/>
      <c r="AM27" s="40"/>
      <c r="AN27" s="40"/>
      <c r="AO27" s="40"/>
      <c r="AP27" s="44"/>
      <c r="AQ27" s="44"/>
      <c r="AR27" s="44"/>
      <c r="AS27" s="44"/>
      <c r="AT27" s="44"/>
      <c r="AU27" s="42"/>
      <c r="AV27" s="43"/>
    </row>
    <row r="28" spans="1:48">
      <c r="A28" s="39"/>
      <c r="B28" s="40"/>
      <c r="C28" s="40"/>
      <c r="D28" s="40"/>
      <c r="E28" s="40"/>
      <c r="F28" s="44"/>
      <c r="G28" s="40"/>
      <c r="H28" s="40"/>
      <c r="I28" s="40"/>
      <c r="J28" s="40"/>
      <c r="K28" s="40"/>
      <c r="L28" s="40"/>
      <c r="M28" s="40"/>
      <c r="N28" s="44"/>
      <c r="O28" s="44"/>
      <c r="P28" s="40"/>
      <c r="Q28" s="40"/>
      <c r="R28" s="40"/>
      <c r="S28" s="40"/>
      <c r="T28" s="40"/>
      <c r="U28" s="40"/>
      <c r="V28" s="40"/>
      <c r="W28" s="44"/>
      <c r="X28" s="44"/>
      <c r="Y28" s="40"/>
      <c r="Z28" s="40"/>
      <c r="AA28" s="40"/>
      <c r="AB28" s="40"/>
      <c r="AC28" s="40"/>
      <c r="AD28" s="40"/>
      <c r="AE28" s="40"/>
      <c r="AF28" s="44"/>
      <c r="AG28" s="44"/>
      <c r="AH28" s="40"/>
      <c r="AI28" s="40"/>
      <c r="AJ28" s="40"/>
      <c r="AK28" s="40"/>
      <c r="AL28" s="40"/>
      <c r="AM28" s="40"/>
      <c r="AN28" s="40"/>
      <c r="AO28" s="40"/>
      <c r="AP28" s="44"/>
      <c r="AQ28" s="44"/>
      <c r="AR28" s="44"/>
      <c r="AS28" s="44"/>
      <c r="AT28" s="44"/>
      <c r="AU28" s="42"/>
      <c r="AV28" s="43"/>
    </row>
    <row r="29" spans="1:48">
      <c r="A29" s="39"/>
      <c r="B29" s="40"/>
      <c r="C29" s="40"/>
      <c r="D29" s="40"/>
      <c r="E29" s="40"/>
      <c r="F29" s="44"/>
      <c r="G29" s="40"/>
      <c r="H29" s="40"/>
      <c r="I29" s="40"/>
      <c r="J29" s="40"/>
      <c r="K29" s="40"/>
      <c r="L29" s="40"/>
      <c r="M29" s="40"/>
      <c r="N29" s="44"/>
      <c r="O29" s="44"/>
      <c r="P29" s="40"/>
      <c r="Q29" s="40"/>
      <c r="R29" s="40"/>
      <c r="S29" s="40"/>
      <c r="T29" s="40"/>
      <c r="U29" s="40"/>
      <c r="V29" s="40"/>
      <c r="W29" s="44"/>
      <c r="X29" s="44"/>
      <c r="Y29" s="40"/>
      <c r="Z29" s="40"/>
      <c r="AA29" s="40"/>
      <c r="AB29" s="40"/>
      <c r="AC29" s="40"/>
      <c r="AD29" s="40"/>
      <c r="AE29" s="40"/>
      <c r="AF29" s="44"/>
      <c r="AG29" s="44"/>
      <c r="AH29" s="40"/>
      <c r="AI29" s="40"/>
      <c r="AJ29" s="40"/>
      <c r="AK29" s="40"/>
      <c r="AL29" s="40"/>
      <c r="AM29" s="40"/>
      <c r="AN29" s="40"/>
      <c r="AO29" s="40"/>
      <c r="AP29" s="44"/>
      <c r="AQ29" s="44"/>
      <c r="AR29" s="44"/>
      <c r="AS29" s="44"/>
      <c r="AT29" s="44"/>
      <c r="AU29" s="42"/>
      <c r="AV29" s="43"/>
    </row>
    <row r="30" spans="1:48">
      <c r="A30" s="39"/>
      <c r="B30" s="40"/>
      <c r="C30" s="40"/>
      <c r="D30" s="40"/>
      <c r="E30" s="40"/>
      <c r="F30" s="44"/>
      <c r="G30" s="40"/>
      <c r="H30" s="40"/>
      <c r="I30" s="40"/>
      <c r="J30" s="40"/>
      <c r="K30" s="40"/>
      <c r="L30" s="40"/>
      <c r="M30" s="40"/>
      <c r="N30" s="44"/>
      <c r="O30" s="44"/>
      <c r="P30" s="40"/>
      <c r="Q30" s="40"/>
      <c r="R30" s="40"/>
      <c r="S30" s="40"/>
      <c r="T30" s="40"/>
      <c r="U30" s="40"/>
      <c r="V30" s="40"/>
      <c r="W30" s="44"/>
      <c r="X30" s="44"/>
      <c r="Y30" s="40"/>
      <c r="Z30" s="40"/>
      <c r="AA30" s="40"/>
      <c r="AB30" s="40"/>
      <c r="AC30" s="40"/>
      <c r="AD30" s="40"/>
      <c r="AE30" s="40"/>
      <c r="AF30" s="44"/>
      <c r="AG30" s="44"/>
      <c r="AH30" s="40"/>
      <c r="AI30" s="40"/>
      <c r="AJ30" s="40"/>
      <c r="AK30" s="40"/>
      <c r="AL30" s="40"/>
      <c r="AM30" s="40"/>
      <c r="AN30" s="40"/>
      <c r="AO30" s="40"/>
      <c r="AP30" s="44"/>
      <c r="AQ30" s="44"/>
      <c r="AR30" s="44"/>
      <c r="AS30" s="44"/>
      <c r="AT30" s="44"/>
      <c r="AU30" s="42"/>
      <c r="AV30" s="43"/>
    </row>
    <row r="31" spans="1:48">
      <c r="A31" s="39"/>
      <c r="B31" s="40"/>
      <c r="C31" s="40"/>
      <c r="D31" s="40"/>
      <c r="E31" s="40"/>
      <c r="F31" s="44"/>
      <c r="G31" s="40"/>
      <c r="H31" s="40"/>
      <c r="I31" s="40"/>
      <c r="J31" s="40"/>
      <c r="K31" s="40"/>
      <c r="L31" s="40"/>
      <c r="M31" s="40"/>
      <c r="N31" s="44"/>
      <c r="O31" s="44"/>
      <c r="P31" s="40"/>
      <c r="Q31" s="40"/>
      <c r="R31" s="40"/>
      <c r="S31" s="40"/>
      <c r="T31" s="40"/>
      <c r="U31" s="40"/>
      <c r="V31" s="40"/>
      <c r="W31" s="44"/>
      <c r="X31" s="44"/>
      <c r="Y31" s="40"/>
      <c r="Z31" s="40"/>
      <c r="AA31" s="40"/>
      <c r="AB31" s="40"/>
      <c r="AC31" s="40"/>
      <c r="AD31" s="40"/>
      <c r="AE31" s="40"/>
      <c r="AF31" s="44"/>
      <c r="AG31" s="44"/>
      <c r="AH31" s="40"/>
      <c r="AI31" s="40"/>
      <c r="AJ31" s="40"/>
      <c r="AK31" s="40"/>
      <c r="AL31" s="40"/>
      <c r="AM31" s="40"/>
      <c r="AN31" s="40"/>
      <c r="AO31" s="40"/>
      <c r="AP31" s="44"/>
      <c r="AQ31" s="44"/>
      <c r="AR31" s="44"/>
      <c r="AS31" s="44"/>
      <c r="AT31" s="44"/>
      <c r="AU31" s="42"/>
      <c r="AV31" s="43"/>
    </row>
    <row r="32" spans="1:48">
      <c r="A32" s="39"/>
      <c r="B32" s="40"/>
      <c r="C32" s="40"/>
      <c r="D32" s="40"/>
      <c r="E32" s="40"/>
      <c r="F32" s="44"/>
      <c r="G32" s="40"/>
      <c r="H32" s="40"/>
      <c r="I32" s="40"/>
      <c r="J32" s="40"/>
      <c r="K32" s="40"/>
      <c r="L32" s="40"/>
      <c r="M32" s="40"/>
      <c r="N32" s="44"/>
      <c r="O32" s="44"/>
      <c r="P32" s="40"/>
      <c r="Q32" s="40"/>
      <c r="R32" s="40"/>
      <c r="S32" s="40"/>
      <c r="T32" s="40"/>
      <c r="U32" s="40"/>
      <c r="V32" s="40"/>
      <c r="W32" s="44"/>
      <c r="X32" s="44"/>
      <c r="Y32" s="40"/>
      <c r="Z32" s="40"/>
      <c r="AA32" s="40"/>
      <c r="AB32" s="40"/>
      <c r="AC32" s="40"/>
      <c r="AD32" s="40"/>
      <c r="AE32" s="40"/>
      <c r="AF32" s="44"/>
      <c r="AG32" s="44"/>
      <c r="AH32" s="40"/>
      <c r="AI32" s="40"/>
      <c r="AJ32" s="40"/>
      <c r="AK32" s="40"/>
      <c r="AL32" s="40"/>
      <c r="AM32" s="40"/>
      <c r="AN32" s="40"/>
      <c r="AO32" s="40"/>
      <c r="AP32" s="44"/>
      <c r="AQ32" s="44"/>
      <c r="AR32" s="44"/>
      <c r="AS32" s="44"/>
      <c r="AT32" s="44"/>
      <c r="AU32" s="42"/>
      <c r="AV32" s="43"/>
    </row>
    <row r="33" spans="1:48">
      <c r="A33" s="39"/>
      <c r="B33" s="40"/>
      <c r="C33" s="40"/>
      <c r="D33" s="40"/>
      <c r="E33" s="40"/>
      <c r="F33" s="44"/>
      <c r="G33" s="40"/>
      <c r="H33" s="40"/>
      <c r="I33" s="40"/>
      <c r="J33" s="40"/>
      <c r="K33" s="40"/>
      <c r="L33" s="40"/>
      <c r="M33" s="40"/>
      <c r="N33" s="44"/>
      <c r="O33" s="44"/>
      <c r="P33" s="40"/>
      <c r="Q33" s="40"/>
      <c r="R33" s="40"/>
      <c r="S33" s="40"/>
      <c r="T33" s="40"/>
      <c r="U33" s="40"/>
      <c r="V33" s="40"/>
      <c r="W33" s="44"/>
      <c r="X33" s="44"/>
      <c r="Y33" s="40"/>
      <c r="Z33" s="40"/>
      <c r="AA33" s="40"/>
      <c r="AB33" s="40"/>
      <c r="AC33" s="40"/>
      <c r="AD33" s="40"/>
      <c r="AE33" s="40"/>
      <c r="AF33" s="44"/>
      <c r="AG33" s="44"/>
      <c r="AH33" s="40"/>
      <c r="AI33" s="40"/>
      <c r="AJ33" s="40"/>
      <c r="AK33" s="40"/>
      <c r="AL33" s="40"/>
      <c r="AM33" s="40"/>
      <c r="AN33" s="40"/>
      <c r="AO33" s="40"/>
      <c r="AP33" s="44"/>
      <c r="AQ33" s="44"/>
      <c r="AR33" s="44"/>
      <c r="AS33" s="44"/>
      <c r="AT33" s="44"/>
      <c r="AU33" s="42"/>
      <c r="AV33" s="43"/>
    </row>
    <row r="34" spans="1:48">
      <c r="A34" s="39"/>
      <c r="B34" s="40"/>
      <c r="C34" s="40"/>
      <c r="D34" s="40"/>
      <c r="E34" s="40"/>
      <c r="F34" s="44"/>
      <c r="G34" s="40"/>
      <c r="H34" s="40"/>
      <c r="I34" s="40"/>
      <c r="J34" s="40"/>
      <c r="K34" s="40"/>
      <c r="L34" s="40"/>
      <c r="M34" s="40"/>
      <c r="N34" s="44"/>
      <c r="O34" s="44"/>
      <c r="P34" s="40"/>
      <c r="Q34" s="40"/>
      <c r="R34" s="40"/>
      <c r="S34" s="40"/>
      <c r="T34" s="40"/>
      <c r="U34" s="40"/>
      <c r="V34" s="40"/>
      <c r="W34" s="44"/>
      <c r="X34" s="44"/>
      <c r="Y34" s="40"/>
      <c r="Z34" s="40"/>
      <c r="AA34" s="40"/>
      <c r="AB34" s="40"/>
      <c r="AC34" s="40"/>
      <c r="AD34" s="40"/>
      <c r="AE34" s="40"/>
      <c r="AF34" s="44"/>
      <c r="AG34" s="44"/>
      <c r="AH34" s="40"/>
      <c r="AI34" s="40"/>
      <c r="AJ34" s="40"/>
      <c r="AK34" s="40"/>
      <c r="AL34" s="40"/>
      <c r="AM34" s="40"/>
      <c r="AN34" s="40"/>
      <c r="AO34" s="40"/>
      <c r="AP34" s="44"/>
      <c r="AQ34" s="44"/>
      <c r="AR34" s="44"/>
      <c r="AS34" s="44"/>
      <c r="AT34" s="44"/>
      <c r="AU34" s="42"/>
      <c r="AV34" s="43"/>
    </row>
    <row r="35" spans="1:48">
      <c r="A35" s="39"/>
      <c r="B35" s="40"/>
      <c r="C35" s="40"/>
      <c r="D35" s="40"/>
      <c r="E35" s="40"/>
      <c r="F35" s="44"/>
      <c r="G35" s="40"/>
      <c r="H35" s="40"/>
      <c r="I35" s="40"/>
      <c r="J35" s="40"/>
      <c r="K35" s="40"/>
      <c r="L35" s="40"/>
      <c r="M35" s="40"/>
      <c r="N35" s="44"/>
      <c r="O35" s="44"/>
      <c r="P35" s="40"/>
      <c r="Q35" s="40"/>
      <c r="R35" s="40"/>
      <c r="S35" s="40"/>
      <c r="T35" s="40"/>
      <c r="U35" s="40"/>
      <c r="V35" s="40"/>
      <c r="W35" s="44"/>
      <c r="X35" s="44"/>
      <c r="Y35" s="40"/>
      <c r="Z35" s="40"/>
      <c r="AA35" s="40"/>
      <c r="AB35" s="40"/>
      <c r="AC35" s="40"/>
      <c r="AD35" s="40"/>
      <c r="AE35" s="40"/>
      <c r="AF35" s="44"/>
      <c r="AG35" s="44"/>
      <c r="AH35" s="40"/>
      <c r="AI35" s="40"/>
      <c r="AJ35" s="40"/>
      <c r="AK35" s="40"/>
      <c r="AL35" s="40"/>
      <c r="AM35" s="40"/>
      <c r="AN35" s="40"/>
      <c r="AO35" s="40"/>
      <c r="AP35" s="44"/>
      <c r="AQ35" s="44"/>
      <c r="AR35" s="44"/>
      <c r="AS35" s="44"/>
      <c r="AT35" s="44"/>
      <c r="AU35" s="42"/>
      <c r="AV35" s="43"/>
    </row>
    <row r="36" spans="1:48">
      <c r="A36" s="39"/>
      <c r="B36" s="40"/>
      <c r="C36" s="40"/>
      <c r="D36" s="40"/>
      <c r="E36" s="40"/>
      <c r="F36" s="44"/>
      <c r="G36" s="40"/>
      <c r="H36" s="40"/>
      <c r="I36" s="40"/>
      <c r="J36" s="40"/>
      <c r="K36" s="40"/>
      <c r="L36" s="40"/>
      <c r="M36" s="40"/>
      <c r="N36" s="44"/>
      <c r="O36" s="44"/>
      <c r="P36" s="40"/>
      <c r="Q36" s="40"/>
      <c r="R36" s="40"/>
      <c r="S36" s="40"/>
      <c r="T36" s="40"/>
      <c r="U36" s="40"/>
      <c r="V36" s="40"/>
      <c r="W36" s="44"/>
      <c r="X36" s="44"/>
      <c r="Y36" s="40"/>
      <c r="Z36" s="40"/>
      <c r="AA36" s="40"/>
      <c r="AB36" s="40"/>
      <c r="AC36" s="40"/>
      <c r="AD36" s="40"/>
      <c r="AE36" s="40"/>
      <c r="AF36" s="44"/>
      <c r="AG36" s="44"/>
      <c r="AH36" s="40"/>
      <c r="AI36" s="40"/>
      <c r="AJ36" s="40"/>
      <c r="AK36" s="40"/>
      <c r="AL36" s="40"/>
      <c r="AM36" s="40"/>
      <c r="AN36" s="40"/>
      <c r="AO36" s="40"/>
      <c r="AP36" s="44"/>
      <c r="AQ36" s="44"/>
      <c r="AR36" s="44"/>
      <c r="AS36" s="44"/>
      <c r="AT36" s="44"/>
      <c r="AU36" s="42"/>
      <c r="AV36" s="43"/>
    </row>
    <row r="37" spans="1:48">
      <c r="A37" s="39"/>
      <c r="B37" s="40"/>
      <c r="C37" s="40"/>
      <c r="D37" s="40"/>
      <c r="E37" s="40"/>
      <c r="F37" s="44"/>
      <c r="G37" s="40"/>
      <c r="H37" s="40"/>
      <c r="I37" s="40"/>
      <c r="J37" s="40"/>
      <c r="K37" s="40"/>
      <c r="L37" s="40"/>
      <c r="M37" s="40"/>
      <c r="N37" s="44"/>
      <c r="O37" s="44"/>
      <c r="P37" s="40"/>
      <c r="Q37" s="40"/>
      <c r="R37" s="40"/>
      <c r="S37" s="40"/>
      <c r="T37" s="40"/>
      <c r="U37" s="40"/>
      <c r="V37" s="40"/>
      <c r="W37" s="44"/>
      <c r="X37" s="44"/>
      <c r="Y37" s="40"/>
      <c r="Z37" s="40"/>
      <c r="AA37" s="40"/>
      <c r="AB37" s="40"/>
      <c r="AC37" s="40"/>
      <c r="AD37" s="40"/>
      <c r="AE37" s="40"/>
      <c r="AF37" s="44"/>
      <c r="AG37" s="44"/>
      <c r="AH37" s="40"/>
      <c r="AI37" s="40"/>
      <c r="AJ37" s="40"/>
      <c r="AK37" s="40"/>
      <c r="AL37" s="40"/>
      <c r="AM37" s="40"/>
      <c r="AN37" s="40"/>
      <c r="AO37" s="40"/>
      <c r="AP37" s="44"/>
      <c r="AQ37" s="44"/>
      <c r="AR37" s="44"/>
      <c r="AS37" s="44"/>
      <c r="AT37" s="44"/>
      <c r="AU37" s="42"/>
      <c r="AV37" s="43"/>
    </row>
    <row r="38" spans="1:48">
      <c r="A38" s="39"/>
      <c r="B38" s="40"/>
      <c r="C38" s="40"/>
      <c r="D38" s="40"/>
      <c r="E38" s="40"/>
      <c r="F38" s="44"/>
      <c r="G38" s="40"/>
      <c r="H38" s="40"/>
      <c r="I38" s="40"/>
      <c r="J38" s="40"/>
      <c r="K38" s="40"/>
      <c r="L38" s="40"/>
      <c r="M38" s="40"/>
      <c r="N38" s="44"/>
      <c r="O38" s="44"/>
      <c r="P38" s="40"/>
      <c r="Q38" s="40"/>
      <c r="R38" s="40"/>
      <c r="S38" s="40"/>
      <c r="T38" s="40"/>
      <c r="U38" s="40"/>
      <c r="V38" s="40"/>
      <c r="W38" s="44"/>
      <c r="X38" s="44"/>
      <c r="Y38" s="40"/>
      <c r="Z38" s="40"/>
      <c r="AA38" s="40"/>
      <c r="AB38" s="40"/>
      <c r="AC38" s="40"/>
      <c r="AD38" s="40"/>
      <c r="AE38" s="40"/>
      <c r="AF38" s="44"/>
      <c r="AG38" s="44"/>
      <c r="AH38" s="40"/>
      <c r="AI38" s="40"/>
      <c r="AJ38" s="40"/>
      <c r="AK38" s="40"/>
      <c r="AL38" s="40"/>
      <c r="AM38" s="40"/>
      <c r="AN38" s="40"/>
      <c r="AO38" s="40"/>
      <c r="AP38" s="44"/>
      <c r="AQ38" s="44"/>
      <c r="AR38" s="44"/>
      <c r="AS38" s="44"/>
      <c r="AT38" s="44"/>
      <c r="AU38" s="42"/>
      <c r="AV38" s="43"/>
    </row>
    <row r="39" spans="1:48">
      <c r="A39" s="39"/>
      <c r="B39" s="40"/>
      <c r="C39" s="40"/>
      <c r="D39" s="40"/>
      <c r="E39" s="40"/>
      <c r="F39" s="44"/>
      <c r="G39" s="40"/>
      <c r="H39" s="40"/>
      <c r="I39" s="40"/>
      <c r="J39" s="40"/>
      <c r="K39" s="40"/>
      <c r="L39" s="40"/>
      <c r="M39" s="40"/>
      <c r="N39" s="44"/>
      <c r="O39" s="44"/>
      <c r="P39" s="40"/>
      <c r="Q39" s="40"/>
      <c r="R39" s="40"/>
      <c r="S39" s="40"/>
      <c r="T39" s="40"/>
      <c r="U39" s="40"/>
      <c r="V39" s="40"/>
      <c r="W39" s="44"/>
      <c r="X39" s="44"/>
      <c r="Y39" s="40"/>
      <c r="Z39" s="40"/>
      <c r="AA39" s="40"/>
      <c r="AB39" s="40"/>
      <c r="AC39" s="40"/>
      <c r="AD39" s="40"/>
      <c r="AE39" s="40"/>
      <c r="AF39" s="44"/>
      <c r="AG39" s="44"/>
      <c r="AH39" s="40"/>
      <c r="AI39" s="40"/>
      <c r="AJ39" s="40"/>
      <c r="AK39" s="40"/>
      <c r="AL39" s="40"/>
      <c r="AM39" s="40"/>
      <c r="AN39" s="40"/>
      <c r="AO39" s="40"/>
      <c r="AP39" s="44"/>
      <c r="AQ39" s="44"/>
      <c r="AR39" s="44"/>
      <c r="AS39" s="44"/>
      <c r="AT39" s="44"/>
      <c r="AU39" s="42"/>
      <c r="AV39" s="43"/>
    </row>
    <row r="40" spans="1:48">
      <c r="A40" s="39"/>
      <c r="B40" s="40"/>
      <c r="C40" s="40"/>
      <c r="D40" s="40"/>
      <c r="E40" s="40"/>
      <c r="F40" s="44"/>
      <c r="G40" s="40"/>
      <c r="H40" s="40"/>
      <c r="I40" s="40"/>
      <c r="J40" s="40"/>
      <c r="K40" s="40"/>
      <c r="L40" s="40"/>
      <c r="M40" s="40"/>
      <c r="N40" s="44"/>
      <c r="O40" s="44"/>
      <c r="P40" s="40"/>
      <c r="Q40" s="40"/>
      <c r="R40" s="40"/>
      <c r="S40" s="40"/>
      <c r="T40" s="40"/>
      <c r="U40" s="40"/>
      <c r="V40" s="40"/>
      <c r="W40" s="44"/>
      <c r="X40" s="44"/>
      <c r="Y40" s="40"/>
      <c r="Z40" s="40"/>
      <c r="AA40" s="40"/>
      <c r="AB40" s="40"/>
      <c r="AC40" s="40"/>
      <c r="AD40" s="40"/>
      <c r="AE40" s="40"/>
      <c r="AF40" s="44"/>
      <c r="AG40" s="44"/>
      <c r="AH40" s="40"/>
      <c r="AI40" s="40"/>
      <c r="AJ40" s="40"/>
      <c r="AK40" s="40"/>
      <c r="AL40" s="40"/>
      <c r="AM40" s="40"/>
      <c r="AN40" s="40"/>
      <c r="AO40" s="40"/>
      <c r="AP40" s="44"/>
      <c r="AQ40" s="44"/>
      <c r="AR40" s="44"/>
      <c r="AS40" s="44"/>
      <c r="AT40" s="44"/>
      <c r="AU40" s="42"/>
      <c r="AV40" s="43"/>
    </row>
    <row r="41" spans="1:48">
      <c r="A41" s="39"/>
      <c r="B41" s="40"/>
      <c r="C41" s="40"/>
      <c r="D41" s="40"/>
      <c r="E41" s="40"/>
      <c r="F41" s="44"/>
      <c r="G41" s="40"/>
      <c r="H41" s="40"/>
      <c r="I41" s="40"/>
      <c r="J41" s="40"/>
      <c r="K41" s="40"/>
      <c r="L41" s="40"/>
      <c r="M41" s="40"/>
      <c r="N41" s="44"/>
      <c r="O41" s="44"/>
      <c r="P41" s="40"/>
      <c r="Q41" s="40"/>
      <c r="R41" s="40"/>
      <c r="S41" s="40"/>
      <c r="T41" s="40"/>
      <c r="U41" s="40"/>
      <c r="V41" s="40"/>
      <c r="W41" s="44"/>
      <c r="X41" s="44"/>
      <c r="Y41" s="40"/>
      <c r="Z41" s="40"/>
      <c r="AA41" s="40"/>
      <c r="AB41" s="40"/>
      <c r="AC41" s="40"/>
      <c r="AD41" s="40"/>
      <c r="AE41" s="40"/>
      <c r="AF41" s="44"/>
      <c r="AG41" s="44"/>
      <c r="AH41" s="40"/>
      <c r="AI41" s="40"/>
      <c r="AJ41" s="40"/>
      <c r="AK41" s="40"/>
      <c r="AL41" s="40"/>
      <c r="AM41" s="40"/>
      <c r="AN41" s="40"/>
      <c r="AO41" s="40"/>
      <c r="AP41" s="44"/>
      <c r="AQ41" s="44"/>
      <c r="AR41" s="44"/>
      <c r="AS41" s="44"/>
      <c r="AT41" s="44"/>
      <c r="AU41" s="42"/>
      <c r="AV41" s="43"/>
    </row>
    <row r="42" spans="1:48">
      <c r="A42" s="39"/>
      <c r="B42" s="40"/>
      <c r="C42" s="40"/>
      <c r="D42" s="40"/>
      <c r="E42" s="40"/>
      <c r="F42" s="44"/>
      <c r="G42" s="40"/>
      <c r="H42" s="40"/>
      <c r="I42" s="40"/>
      <c r="J42" s="40"/>
      <c r="K42" s="40"/>
      <c r="L42" s="40"/>
      <c r="M42" s="40"/>
      <c r="N42" s="44"/>
      <c r="O42" s="44"/>
      <c r="P42" s="40"/>
      <c r="Q42" s="40"/>
      <c r="R42" s="40"/>
      <c r="S42" s="40"/>
      <c r="T42" s="40"/>
      <c r="U42" s="40"/>
      <c r="V42" s="40"/>
      <c r="W42" s="44"/>
      <c r="X42" s="44"/>
      <c r="Y42" s="40"/>
      <c r="Z42" s="40"/>
      <c r="AA42" s="40"/>
      <c r="AB42" s="40"/>
      <c r="AC42" s="40"/>
      <c r="AD42" s="40"/>
      <c r="AE42" s="40"/>
      <c r="AF42" s="44"/>
      <c r="AG42" s="44"/>
      <c r="AH42" s="40"/>
      <c r="AI42" s="40"/>
      <c r="AJ42" s="40"/>
      <c r="AK42" s="40"/>
      <c r="AL42" s="40"/>
      <c r="AM42" s="40"/>
      <c r="AN42" s="40"/>
      <c r="AO42" s="40"/>
      <c r="AP42" s="44"/>
      <c r="AQ42" s="44"/>
      <c r="AR42" s="44"/>
      <c r="AS42" s="44"/>
      <c r="AT42" s="44"/>
      <c r="AU42" s="42"/>
      <c r="AV42" s="43"/>
    </row>
    <row r="43" spans="1:48">
      <c r="A43" s="39"/>
      <c r="B43" s="40"/>
      <c r="C43" s="40"/>
      <c r="D43" s="40"/>
      <c r="E43" s="40"/>
      <c r="F43" s="44"/>
      <c r="G43" s="40"/>
      <c r="H43" s="40"/>
      <c r="I43" s="40"/>
      <c r="J43" s="40"/>
      <c r="K43" s="40"/>
      <c r="L43" s="40"/>
      <c r="M43" s="40"/>
      <c r="N43" s="44"/>
      <c r="O43" s="44"/>
      <c r="P43" s="40"/>
      <c r="Q43" s="40"/>
      <c r="R43" s="40"/>
      <c r="S43" s="40"/>
      <c r="T43" s="40"/>
      <c r="U43" s="40"/>
      <c r="V43" s="40"/>
      <c r="W43" s="44"/>
      <c r="X43" s="44"/>
      <c r="Y43" s="40"/>
      <c r="Z43" s="40"/>
      <c r="AA43" s="40"/>
      <c r="AB43" s="40"/>
      <c r="AC43" s="40"/>
      <c r="AD43" s="40"/>
      <c r="AE43" s="40"/>
      <c r="AF43" s="44"/>
      <c r="AG43" s="44"/>
      <c r="AH43" s="40"/>
      <c r="AI43" s="40"/>
      <c r="AJ43" s="40"/>
      <c r="AK43" s="40"/>
      <c r="AL43" s="40"/>
      <c r="AM43" s="40"/>
      <c r="AN43" s="40"/>
      <c r="AO43" s="40"/>
      <c r="AP43" s="44"/>
      <c r="AQ43" s="44"/>
      <c r="AR43" s="44"/>
      <c r="AS43" s="44"/>
      <c r="AT43" s="44"/>
      <c r="AU43" s="42"/>
      <c r="AV43" s="43"/>
    </row>
    <row r="44" spans="1:48">
      <c r="A44" s="39"/>
      <c r="B44" s="40"/>
      <c r="C44" s="40"/>
      <c r="D44" s="40"/>
      <c r="E44" s="40"/>
      <c r="F44" s="44"/>
      <c r="G44" s="40"/>
      <c r="H44" s="40"/>
      <c r="I44" s="40"/>
      <c r="J44" s="40"/>
      <c r="K44" s="40"/>
      <c r="L44" s="40"/>
      <c r="M44" s="40"/>
      <c r="N44" s="44"/>
      <c r="O44" s="44"/>
      <c r="P44" s="40"/>
      <c r="Q44" s="40"/>
      <c r="R44" s="40"/>
      <c r="S44" s="40"/>
      <c r="T44" s="40"/>
      <c r="U44" s="40"/>
      <c r="V44" s="40"/>
      <c r="W44" s="44"/>
      <c r="X44" s="44"/>
      <c r="Y44" s="40"/>
      <c r="Z44" s="40"/>
      <c r="AA44" s="40"/>
      <c r="AB44" s="40"/>
      <c r="AC44" s="40"/>
      <c r="AD44" s="40"/>
      <c r="AE44" s="40"/>
      <c r="AF44" s="44"/>
      <c r="AG44" s="44"/>
      <c r="AH44" s="40"/>
      <c r="AI44" s="40"/>
      <c r="AJ44" s="40"/>
      <c r="AK44" s="40"/>
      <c r="AL44" s="40"/>
      <c r="AM44" s="40"/>
      <c r="AN44" s="40"/>
      <c r="AO44" s="40"/>
      <c r="AP44" s="44"/>
      <c r="AQ44" s="44"/>
      <c r="AR44" s="44"/>
      <c r="AS44" s="44"/>
      <c r="AT44" s="44"/>
      <c r="AU44" s="42"/>
      <c r="AV44" s="43"/>
    </row>
    <row r="45" spans="1:48">
      <c r="A45" s="39"/>
      <c r="B45" s="40"/>
      <c r="C45" s="40"/>
      <c r="D45" s="40"/>
      <c r="E45" s="40"/>
      <c r="F45" s="44"/>
      <c r="G45" s="40"/>
      <c r="H45" s="40"/>
      <c r="I45" s="40"/>
      <c r="J45" s="40"/>
      <c r="K45" s="40"/>
      <c r="L45" s="40"/>
      <c r="M45" s="40"/>
      <c r="N45" s="44"/>
      <c r="O45" s="44"/>
      <c r="P45" s="40"/>
      <c r="Q45" s="40"/>
      <c r="R45" s="40"/>
      <c r="S45" s="40"/>
      <c r="T45" s="40"/>
      <c r="U45" s="40"/>
      <c r="V45" s="40"/>
      <c r="W45" s="44"/>
      <c r="X45" s="44"/>
      <c r="Y45" s="40"/>
      <c r="Z45" s="40"/>
      <c r="AA45" s="40"/>
      <c r="AB45" s="40"/>
      <c r="AC45" s="40"/>
      <c r="AD45" s="40"/>
      <c r="AE45" s="40"/>
      <c r="AF45" s="44"/>
      <c r="AG45" s="44"/>
      <c r="AH45" s="40"/>
      <c r="AI45" s="40"/>
      <c r="AJ45" s="40"/>
      <c r="AK45" s="40"/>
      <c r="AL45" s="40"/>
      <c r="AM45" s="40"/>
      <c r="AN45" s="40"/>
      <c r="AO45" s="40"/>
      <c r="AP45" s="44"/>
      <c r="AQ45" s="44"/>
      <c r="AR45" s="44"/>
      <c r="AS45" s="44"/>
      <c r="AT45" s="44"/>
      <c r="AU45" s="42"/>
      <c r="AV45" s="43"/>
    </row>
    <row r="46" spans="1:48">
      <c r="A46" s="39"/>
      <c r="B46" s="40"/>
      <c r="C46" s="40"/>
      <c r="D46" s="40"/>
      <c r="E46" s="40"/>
      <c r="F46" s="44"/>
      <c r="G46" s="40"/>
      <c r="H46" s="40"/>
      <c r="I46" s="40"/>
      <c r="J46" s="40"/>
      <c r="K46" s="40"/>
      <c r="L46" s="40"/>
      <c r="M46" s="40"/>
      <c r="N46" s="44"/>
      <c r="O46" s="44"/>
      <c r="P46" s="40"/>
      <c r="Q46" s="40"/>
      <c r="R46" s="40"/>
      <c r="S46" s="40"/>
      <c r="T46" s="40"/>
      <c r="U46" s="40"/>
      <c r="V46" s="40"/>
      <c r="W46" s="44"/>
      <c r="X46" s="44"/>
      <c r="Y46" s="40"/>
      <c r="Z46" s="40"/>
      <c r="AA46" s="40"/>
      <c r="AB46" s="40"/>
      <c r="AC46" s="40"/>
      <c r="AD46" s="40"/>
      <c r="AE46" s="40"/>
      <c r="AF46" s="44"/>
      <c r="AG46" s="44"/>
      <c r="AH46" s="40"/>
      <c r="AI46" s="40"/>
      <c r="AJ46" s="40"/>
      <c r="AK46" s="40"/>
      <c r="AL46" s="40"/>
      <c r="AM46" s="40"/>
      <c r="AN46" s="40"/>
      <c r="AO46" s="40"/>
      <c r="AP46" s="44"/>
      <c r="AQ46" s="44"/>
      <c r="AR46" s="44"/>
      <c r="AS46" s="44"/>
      <c r="AT46" s="44"/>
      <c r="AU46" s="42"/>
      <c r="AV46" s="43"/>
    </row>
    <row r="47" spans="1:48">
      <c r="A47" s="39"/>
      <c r="B47" s="40"/>
      <c r="C47" s="40"/>
      <c r="D47" s="40"/>
      <c r="E47" s="40"/>
      <c r="F47" s="44"/>
      <c r="G47" s="40"/>
      <c r="H47" s="40"/>
      <c r="I47" s="40"/>
      <c r="J47" s="40"/>
      <c r="K47" s="40"/>
      <c r="L47" s="40"/>
      <c r="M47" s="40"/>
      <c r="N47" s="44"/>
      <c r="O47" s="44"/>
      <c r="P47" s="40"/>
      <c r="Q47" s="40"/>
      <c r="R47" s="40"/>
      <c r="S47" s="40"/>
      <c r="T47" s="40"/>
      <c r="U47" s="40"/>
      <c r="V47" s="40"/>
      <c r="W47" s="44"/>
      <c r="X47" s="44"/>
      <c r="Y47" s="40"/>
      <c r="Z47" s="40"/>
      <c r="AA47" s="40"/>
      <c r="AB47" s="40"/>
      <c r="AC47" s="40"/>
      <c r="AD47" s="40"/>
      <c r="AE47" s="40"/>
      <c r="AF47" s="44"/>
      <c r="AG47" s="44"/>
      <c r="AH47" s="40"/>
      <c r="AI47" s="40"/>
      <c r="AJ47" s="40"/>
      <c r="AK47" s="40"/>
      <c r="AL47" s="40"/>
      <c r="AM47" s="40"/>
      <c r="AN47" s="40"/>
      <c r="AO47" s="40"/>
      <c r="AP47" s="44"/>
      <c r="AQ47" s="44"/>
      <c r="AR47" s="44"/>
      <c r="AS47" s="44"/>
      <c r="AT47" s="44"/>
      <c r="AU47" s="42"/>
      <c r="AV47" s="43"/>
    </row>
    <row r="48" spans="1:48">
      <c r="A48" s="39"/>
      <c r="B48" s="40"/>
      <c r="C48" s="40"/>
      <c r="D48" s="40"/>
      <c r="E48" s="40"/>
      <c r="F48" s="44"/>
      <c r="G48" s="40"/>
      <c r="H48" s="40"/>
      <c r="I48" s="40"/>
      <c r="J48" s="40"/>
      <c r="K48" s="40"/>
      <c r="L48" s="40"/>
      <c r="M48" s="40"/>
      <c r="N48" s="44"/>
      <c r="O48" s="44"/>
      <c r="P48" s="40"/>
      <c r="Q48" s="40"/>
      <c r="R48" s="40"/>
      <c r="S48" s="40"/>
      <c r="T48" s="40"/>
      <c r="U48" s="40"/>
      <c r="V48" s="40"/>
      <c r="W48" s="44"/>
      <c r="X48" s="44"/>
      <c r="Y48" s="40"/>
      <c r="Z48" s="40"/>
      <c r="AA48" s="40"/>
      <c r="AB48" s="40"/>
      <c r="AC48" s="40"/>
      <c r="AD48" s="40"/>
      <c r="AE48" s="40"/>
      <c r="AF48" s="44"/>
      <c r="AG48" s="44"/>
      <c r="AH48" s="40"/>
      <c r="AI48" s="40"/>
      <c r="AJ48" s="40"/>
      <c r="AK48" s="40"/>
      <c r="AL48" s="40"/>
      <c r="AM48" s="40"/>
      <c r="AN48" s="40"/>
      <c r="AO48" s="40"/>
      <c r="AP48" s="44"/>
      <c r="AQ48" s="44"/>
      <c r="AR48" s="44"/>
      <c r="AS48" s="44"/>
      <c r="AT48" s="44"/>
      <c r="AU48" s="42"/>
      <c r="AV48" s="43"/>
    </row>
    <row r="49" spans="1:48">
      <c r="A49" s="39"/>
      <c r="B49" s="40"/>
      <c r="C49" s="40"/>
      <c r="D49" s="40"/>
      <c r="E49" s="40"/>
      <c r="F49" s="44"/>
      <c r="G49" s="40"/>
      <c r="H49" s="40"/>
      <c r="I49" s="40"/>
      <c r="J49" s="40"/>
      <c r="K49" s="40"/>
      <c r="L49" s="40"/>
      <c r="M49" s="40"/>
      <c r="N49" s="44"/>
      <c r="O49" s="44"/>
      <c r="P49" s="40"/>
      <c r="Q49" s="40"/>
      <c r="R49" s="40"/>
      <c r="S49" s="40"/>
      <c r="T49" s="40"/>
      <c r="U49" s="40"/>
      <c r="V49" s="40"/>
      <c r="W49" s="44"/>
      <c r="X49" s="44"/>
      <c r="Y49" s="40"/>
      <c r="Z49" s="40"/>
      <c r="AA49" s="40"/>
      <c r="AB49" s="40"/>
      <c r="AC49" s="40"/>
      <c r="AD49" s="40"/>
      <c r="AE49" s="40"/>
      <c r="AF49" s="44"/>
      <c r="AG49" s="44"/>
      <c r="AH49" s="40"/>
      <c r="AI49" s="40"/>
      <c r="AJ49" s="40"/>
      <c r="AK49" s="40"/>
      <c r="AL49" s="40"/>
      <c r="AM49" s="40"/>
      <c r="AN49" s="40"/>
      <c r="AO49" s="40"/>
      <c r="AP49" s="44"/>
      <c r="AQ49" s="44"/>
      <c r="AR49" s="44"/>
      <c r="AS49" s="44"/>
      <c r="AT49" s="44"/>
      <c r="AU49" s="42"/>
      <c r="AV49" s="43"/>
    </row>
    <row r="50" spans="1:48">
      <c r="A50" s="39"/>
      <c r="B50" s="40"/>
      <c r="C50" s="40"/>
      <c r="D50" s="40"/>
      <c r="E50" s="40"/>
      <c r="F50" s="44"/>
      <c r="G50" s="40"/>
      <c r="H50" s="40"/>
      <c r="I50" s="40"/>
      <c r="J50" s="40"/>
      <c r="K50" s="40"/>
      <c r="L50" s="40"/>
      <c r="M50" s="40"/>
      <c r="N50" s="44"/>
      <c r="O50" s="44"/>
      <c r="P50" s="40"/>
      <c r="Q50" s="40"/>
      <c r="R50" s="40"/>
      <c r="S50" s="40"/>
      <c r="T50" s="40"/>
      <c r="U50" s="40"/>
      <c r="V50" s="40"/>
      <c r="W50" s="44"/>
      <c r="X50" s="44"/>
      <c r="Y50" s="40"/>
      <c r="Z50" s="40"/>
      <c r="AA50" s="40"/>
      <c r="AB50" s="40"/>
      <c r="AC50" s="40"/>
      <c r="AD50" s="40"/>
      <c r="AE50" s="40"/>
      <c r="AF50" s="44"/>
      <c r="AG50" s="44"/>
      <c r="AH50" s="40"/>
      <c r="AI50" s="40"/>
      <c r="AJ50" s="40"/>
      <c r="AK50" s="40"/>
      <c r="AL50" s="40"/>
      <c r="AM50" s="40"/>
      <c r="AN50" s="40"/>
      <c r="AO50" s="40"/>
      <c r="AP50" s="44"/>
      <c r="AQ50" s="44"/>
      <c r="AR50" s="44"/>
      <c r="AS50" s="44"/>
      <c r="AT50" s="44"/>
      <c r="AU50" s="42"/>
      <c r="AV50" s="43"/>
    </row>
    <row r="51" spans="1:48">
      <c r="A51" s="39"/>
      <c r="B51" s="40"/>
      <c r="C51" s="40"/>
      <c r="D51" s="40"/>
      <c r="E51" s="40"/>
      <c r="F51" s="44"/>
      <c r="G51" s="40"/>
      <c r="H51" s="40"/>
      <c r="I51" s="40"/>
      <c r="J51" s="40"/>
      <c r="K51" s="40"/>
      <c r="L51" s="40"/>
      <c r="M51" s="40"/>
      <c r="N51" s="44"/>
      <c r="O51" s="44"/>
      <c r="P51" s="40"/>
      <c r="Q51" s="40"/>
      <c r="R51" s="40"/>
      <c r="S51" s="40"/>
      <c r="T51" s="40"/>
      <c r="U51" s="40"/>
      <c r="V51" s="40"/>
      <c r="W51" s="44"/>
      <c r="X51" s="44"/>
      <c r="Y51" s="40"/>
      <c r="Z51" s="40"/>
      <c r="AA51" s="40"/>
      <c r="AB51" s="40"/>
      <c r="AC51" s="40"/>
      <c r="AD51" s="40"/>
      <c r="AE51" s="40"/>
      <c r="AF51" s="44"/>
      <c r="AG51" s="44"/>
      <c r="AH51" s="40"/>
      <c r="AI51" s="40"/>
      <c r="AJ51" s="40"/>
      <c r="AK51" s="40"/>
      <c r="AL51" s="40"/>
      <c r="AM51" s="40"/>
      <c r="AN51" s="40"/>
      <c r="AO51" s="40"/>
      <c r="AP51" s="44"/>
      <c r="AQ51" s="44"/>
      <c r="AR51" s="44"/>
      <c r="AS51" s="44"/>
      <c r="AT51" s="44"/>
      <c r="AU51" s="42"/>
      <c r="AV51" s="43"/>
    </row>
    <row r="52" spans="1:48">
      <c r="A52" s="39"/>
      <c r="B52" s="40"/>
      <c r="C52" s="40"/>
      <c r="D52" s="40"/>
      <c r="E52" s="40"/>
      <c r="F52" s="44"/>
      <c r="G52" s="40"/>
      <c r="H52" s="40"/>
      <c r="I52" s="40"/>
      <c r="J52" s="40"/>
      <c r="K52" s="40"/>
      <c r="L52" s="40"/>
      <c r="M52" s="40"/>
      <c r="N52" s="44"/>
      <c r="O52" s="44"/>
      <c r="P52" s="40"/>
      <c r="Q52" s="40"/>
      <c r="R52" s="40"/>
      <c r="S52" s="40"/>
      <c r="T52" s="40"/>
      <c r="U52" s="40"/>
      <c r="V52" s="40"/>
      <c r="W52" s="44"/>
      <c r="X52" s="44"/>
      <c r="Y52" s="40"/>
      <c r="Z52" s="40"/>
      <c r="AA52" s="40"/>
      <c r="AB52" s="40"/>
      <c r="AC52" s="40"/>
      <c r="AD52" s="40"/>
      <c r="AE52" s="40"/>
      <c r="AF52" s="44"/>
      <c r="AG52" s="44"/>
      <c r="AH52" s="40"/>
      <c r="AI52" s="40"/>
      <c r="AJ52" s="40"/>
      <c r="AK52" s="40"/>
      <c r="AL52" s="40"/>
      <c r="AM52" s="40"/>
      <c r="AN52" s="40"/>
      <c r="AO52" s="40"/>
      <c r="AP52" s="44"/>
      <c r="AQ52" s="44"/>
      <c r="AR52" s="44"/>
      <c r="AS52" s="44"/>
      <c r="AT52" s="44"/>
      <c r="AU52" s="42"/>
      <c r="AV52" s="43"/>
    </row>
    <row r="53" spans="1:48">
      <c r="A53" s="39"/>
      <c r="B53" s="40"/>
      <c r="C53" s="40"/>
      <c r="D53" s="40"/>
      <c r="E53" s="40"/>
      <c r="F53" s="44"/>
      <c r="G53" s="40"/>
      <c r="H53" s="40"/>
      <c r="I53" s="40"/>
      <c r="J53" s="40"/>
      <c r="K53" s="40"/>
      <c r="L53" s="40"/>
      <c r="M53" s="40"/>
      <c r="N53" s="44"/>
      <c r="O53" s="44"/>
      <c r="P53" s="40"/>
      <c r="Q53" s="40"/>
      <c r="R53" s="40"/>
      <c r="S53" s="40"/>
      <c r="T53" s="40"/>
      <c r="U53" s="40"/>
      <c r="V53" s="40"/>
      <c r="W53" s="44"/>
      <c r="X53" s="44"/>
      <c r="Y53" s="40"/>
      <c r="Z53" s="40"/>
      <c r="AA53" s="40"/>
      <c r="AB53" s="40"/>
      <c r="AC53" s="40"/>
      <c r="AD53" s="40"/>
      <c r="AE53" s="40"/>
      <c r="AF53" s="44"/>
      <c r="AG53" s="44"/>
      <c r="AH53" s="40"/>
      <c r="AI53" s="40"/>
      <c r="AJ53" s="40"/>
      <c r="AK53" s="40"/>
      <c r="AL53" s="40"/>
      <c r="AM53" s="40"/>
      <c r="AN53" s="40"/>
      <c r="AO53" s="40"/>
      <c r="AP53" s="44"/>
      <c r="AQ53" s="44"/>
      <c r="AR53" s="44"/>
      <c r="AS53" s="44"/>
      <c r="AT53" s="44"/>
      <c r="AU53" s="42"/>
      <c r="AV53" s="43"/>
    </row>
    <row r="54" spans="1:48">
      <c r="A54" s="39"/>
      <c r="B54" s="40"/>
      <c r="C54" s="40"/>
      <c r="D54" s="40"/>
      <c r="E54" s="40"/>
      <c r="F54" s="44"/>
      <c r="G54" s="40"/>
      <c r="H54" s="40"/>
      <c r="I54" s="40"/>
      <c r="J54" s="40"/>
      <c r="K54" s="40"/>
      <c r="L54" s="40"/>
      <c r="M54" s="40"/>
      <c r="N54" s="44"/>
      <c r="O54" s="44"/>
      <c r="P54" s="40"/>
      <c r="Q54" s="40"/>
      <c r="R54" s="40"/>
      <c r="S54" s="40"/>
      <c r="T54" s="40"/>
      <c r="U54" s="40"/>
      <c r="V54" s="40"/>
      <c r="W54" s="44"/>
      <c r="X54" s="44"/>
      <c r="Y54" s="40"/>
      <c r="Z54" s="40"/>
      <c r="AA54" s="40"/>
      <c r="AB54" s="40"/>
      <c r="AC54" s="40"/>
      <c r="AD54" s="40"/>
      <c r="AE54" s="40"/>
      <c r="AF54" s="44"/>
      <c r="AG54" s="44"/>
      <c r="AH54" s="40"/>
      <c r="AI54" s="40"/>
      <c r="AJ54" s="40"/>
      <c r="AK54" s="40"/>
      <c r="AL54" s="40"/>
      <c r="AM54" s="40"/>
      <c r="AN54" s="40"/>
      <c r="AO54" s="40"/>
      <c r="AP54" s="44"/>
      <c r="AQ54" s="44"/>
      <c r="AR54" s="44"/>
      <c r="AS54" s="44"/>
      <c r="AT54" s="44"/>
      <c r="AU54" s="42"/>
      <c r="AV54" s="43"/>
    </row>
    <row r="55" spans="1:48">
      <c r="A55" s="39"/>
      <c r="B55" s="40"/>
      <c r="C55" s="40"/>
      <c r="D55" s="40"/>
      <c r="E55" s="40"/>
      <c r="F55" s="44"/>
      <c r="G55" s="40"/>
      <c r="H55" s="40"/>
      <c r="I55" s="40"/>
      <c r="J55" s="40"/>
      <c r="K55" s="40"/>
      <c r="L55" s="40"/>
      <c r="M55" s="40"/>
      <c r="N55" s="44"/>
      <c r="O55" s="44"/>
      <c r="P55" s="40"/>
      <c r="Q55" s="40"/>
      <c r="R55" s="40"/>
      <c r="S55" s="40"/>
      <c r="T55" s="40"/>
      <c r="U55" s="40"/>
      <c r="V55" s="40"/>
      <c r="W55" s="44"/>
      <c r="X55" s="44"/>
      <c r="Y55" s="40"/>
      <c r="Z55" s="40"/>
      <c r="AA55" s="40"/>
      <c r="AB55" s="40"/>
      <c r="AC55" s="40"/>
      <c r="AD55" s="40"/>
      <c r="AE55" s="40"/>
      <c r="AF55" s="44"/>
      <c r="AG55" s="44"/>
      <c r="AH55" s="40"/>
      <c r="AI55" s="40"/>
      <c r="AJ55" s="40"/>
      <c r="AK55" s="40"/>
      <c r="AL55" s="40"/>
      <c r="AM55" s="40"/>
      <c r="AN55" s="40"/>
      <c r="AO55" s="40"/>
      <c r="AP55" s="44"/>
      <c r="AQ55" s="44"/>
      <c r="AR55" s="44"/>
      <c r="AS55" s="44"/>
      <c r="AT55" s="44"/>
      <c r="AU55" s="42"/>
      <c r="AV55" s="43"/>
    </row>
    <row r="56" spans="1:48">
      <c r="A56" s="39"/>
      <c r="B56" s="40"/>
      <c r="C56" s="40"/>
      <c r="D56" s="40"/>
      <c r="E56" s="40"/>
      <c r="F56" s="44"/>
      <c r="G56" s="40"/>
      <c r="H56" s="40"/>
      <c r="I56" s="40"/>
      <c r="J56" s="40"/>
      <c r="K56" s="40"/>
      <c r="L56" s="40"/>
      <c r="M56" s="40"/>
      <c r="N56" s="44"/>
      <c r="O56" s="44"/>
      <c r="P56" s="40"/>
      <c r="Q56" s="40"/>
      <c r="R56" s="40"/>
      <c r="S56" s="40"/>
      <c r="T56" s="40"/>
      <c r="U56" s="40"/>
      <c r="V56" s="40"/>
      <c r="W56" s="44"/>
      <c r="X56" s="44"/>
      <c r="Y56" s="40"/>
      <c r="Z56" s="40"/>
      <c r="AA56" s="40"/>
      <c r="AB56" s="40"/>
      <c r="AC56" s="40"/>
      <c r="AD56" s="40"/>
      <c r="AE56" s="40"/>
      <c r="AF56" s="44"/>
      <c r="AG56" s="44"/>
      <c r="AH56" s="40"/>
      <c r="AI56" s="40"/>
      <c r="AJ56" s="40"/>
      <c r="AK56" s="40"/>
      <c r="AL56" s="40"/>
      <c r="AM56" s="40"/>
      <c r="AN56" s="40"/>
      <c r="AO56" s="40"/>
      <c r="AP56" s="44"/>
      <c r="AQ56" s="44"/>
      <c r="AR56" s="44"/>
      <c r="AS56" s="44"/>
      <c r="AT56" s="44"/>
      <c r="AU56" s="42"/>
      <c r="AV56" s="43"/>
    </row>
    <row r="57" spans="1:48">
      <c r="A57" s="39"/>
      <c r="B57" s="40"/>
      <c r="C57" s="40"/>
      <c r="D57" s="40"/>
      <c r="E57" s="40"/>
      <c r="F57" s="44"/>
      <c r="G57" s="40"/>
      <c r="H57" s="40"/>
      <c r="I57" s="40"/>
      <c r="J57" s="40"/>
      <c r="K57" s="40"/>
      <c r="L57" s="40"/>
      <c r="M57" s="40"/>
      <c r="N57" s="44"/>
      <c r="O57" s="44"/>
      <c r="P57" s="40"/>
      <c r="Q57" s="40"/>
      <c r="R57" s="40"/>
      <c r="S57" s="40"/>
      <c r="T57" s="40"/>
      <c r="U57" s="40"/>
      <c r="V57" s="40"/>
      <c r="W57" s="44"/>
      <c r="X57" s="44"/>
      <c r="Y57" s="40"/>
      <c r="Z57" s="40"/>
      <c r="AA57" s="40"/>
      <c r="AB57" s="40"/>
      <c r="AC57" s="40"/>
      <c r="AD57" s="40"/>
      <c r="AE57" s="40"/>
      <c r="AF57" s="44"/>
      <c r="AG57" s="44"/>
      <c r="AH57" s="40"/>
      <c r="AI57" s="40"/>
      <c r="AJ57" s="40"/>
      <c r="AK57" s="40"/>
      <c r="AL57" s="40"/>
      <c r="AM57" s="40"/>
      <c r="AN57" s="40"/>
      <c r="AO57" s="40"/>
      <c r="AP57" s="44"/>
      <c r="AQ57" s="44"/>
      <c r="AR57" s="44"/>
      <c r="AS57" s="44"/>
      <c r="AT57" s="44"/>
      <c r="AU57" s="42"/>
      <c r="AV57" s="43"/>
    </row>
    <row r="58" spans="1:48">
      <c r="A58" s="39"/>
      <c r="B58" s="40"/>
      <c r="C58" s="40"/>
      <c r="D58" s="40"/>
      <c r="E58" s="40"/>
      <c r="F58" s="44"/>
      <c r="G58" s="40"/>
      <c r="H58" s="40"/>
      <c r="I58" s="40"/>
      <c r="J58" s="40"/>
      <c r="K58" s="40"/>
      <c r="L58" s="40"/>
      <c r="M58" s="40"/>
      <c r="N58" s="44"/>
      <c r="O58" s="44"/>
      <c r="P58" s="40"/>
      <c r="Q58" s="40"/>
      <c r="R58" s="40"/>
      <c r="S58" s="40"/>
      <c r="T58" s="40"/>
      <c r="U58" s="40"/>
      <c r="V58" s="40"/>
      <c r="W58" s="44"/>
      <c r="X58" s="44"/>
      <c r="Y58" s="40"/>
      <c r="Z58" s="40"/>
      <c r="AA58" s="40"/>
      <c r="AB58" s="40"/>
      <c r="AC58" s="40"/>
      <c r="AD58" s="40"/>
      <c r="AE58" s="40"/>
      <c r="AF58" s="44"/>
      <c r="AG58" s="44"/>
      <c r="AH58" s="40"/>
      <c r="AI58" s="40"/>
      <c r="AJ58" s="40"/>
      <c r="AK58" s="40"/>
      <c r="AL58" s="40"/>
      <c r="AM58" s="40"/>
      <c r="AN58" s="40"/>
      <c r="AO58" s="40"/>
      <c r="AP58" s="44"/>
      <c r="AQ58" s="44"/>
      <c r="AR58" s="44"/>
      <c r="AS58" s="44"/>
      <c r="AT58" s="44"/>
      <c r="AU58" s="42"/>
      <c r="AV58" s="43"/>
    </row>
    <row r="59" spans="1:48">
      <c r="A59" s="39"/>
      <c r="B59" s="40"/>
      <c r="C59" s="40"/>
      <c r="D59" s="40"/>
      <c r="E59" s="40"/>
      <c r="F59" s="44"/>
      <c r="G59" s="40"/>
      <c r="H59" s="40"/>
      <c r="I59" s="40"/>
      <c r="J59" s="40"/>
      <c r="K59" s="40"/>
      <c r="L59" s="40"/>
      <c r="M59" s="40"/>
      <c r="N59" s="44"/>
      <c r="O59" s="44"/>
      <c r="P59" s="40"/>
      <c r="Q59" s="40"/>
      <c r="R59" s="40"/>
      <c r="S59" s="40"/>
      <c r="T59" s="40"/>
      <c r="U59" s="40"/>
      <c r="V59" s="40"/>
      <c r="W59" s="44"/>
      <c r="X59" s="44"/>
      <c r="Y59" s="40"/>
      <c r="Z59" s="40"/>
      <c r="AA59" s="40"/>
      <c r="AB59" s="40"/>
      <c r="AC59" s="40"/>
      <c r="AD59" s="40"/>
      <c r="AE59" s="40"/>
      <c r="AF59" s="44"/>
      <c r="AG59" s="44"/>
      <c r="AH59" s="40"/>
      <c r="AI59" s="40"/>
      <c r="AJ59" s="40"/>
      <c r="AK59" s="40"/>
      <c r="AL59" s="40"/>
      <c r="AM59" s="40"/>
      <c r="AN59" s="40"/>
      <c r="AO59" s="40"/>
      <c r="AP59" s="44"/>
      <c r="AQ59" s="44"/>
      <c r="AR59" s="44"/>
      <c r="AS59" s="44"/>
      <c r="AT59" s="44"/>
      <c r="AU59" s="42"/>
      <c r="AV59" s="43"/>
    </row>
    <row r="60" spans="1:48">
      <c r="A60" s="39"/>
      <c r="B60" s="40"/>
      <c r="C60" s="40"/>
      <c r="D60" s="40"/>
      <c r="E60" s="40"/>
      <c r="F60" s="44"/>
      <c r="G60" s="40"/>
      <c r="H60" s="40"/>
      <c r="I60" s="40"/>
      <c r="J60" s="40"/>
      <c r="K60" s="40"/>
      <c r="L60" s="40"/>
      <c r="M60" s="40"/>
      <c r="N60" s="44"/>
      <c r="O60" s="44"/>
      <c r="P60" s="40"/>
      <c r="Q60" s="40"/>
      <c r="R60" s="40"/>
      <c r="S60" s="40"/>
      <c r="T60" s="40"/>
      <c r="U60" s="40"/>
      <c r="V60" s="40"/>
      <c r="W60" s="44"/>
      <c r="X60" s="44"/>
      <c r="Y60" s="40"/>
      <c r="Z60" s="40"/>
      <c r="AA60" s="40"/>
      <c r="AB60" s="40"/>
      <c r="AC60" s="40"/>
      <c r="AD60" s="40"/>
      <c r="AE60" s="40"/>
      <c r="AF60" s="44"/>
      <c r="AG60" s="44"/>
      <c r="AH60" s="40"/>
      <c r="AI60" s="40"/>
      <c r="AJ60" s="40"/>
      <c r="AK60" s="40"/>
      <c r="AL60" s="40"/>
      <c r="AM60" s="40"/>
      <c r="AN60" s="40"/>
      <c r="AO60" s="40"/>
      <c r="AP60" s="44"/>
      <c r="AQ60" s="44"/>
      <c r="AR60" s="44"/>
      <c r="AS60" s="44"/>
      <c r="AT60" s="44"/>
      <c r="AU60" s="42"/>
      <c r="AV60" s="43"/>
    </row>
    <row r="61" spans="1:48">
      <c r="A61" s="39"/>
      <c r="B61" s="40"/>
      <c r="C61" s="40"/>
      <c r="D61" s="40"/>
      <c r="E61" s="40"/>
      <c r="F61" s="44"/>
      <c r="G61" s="40"/>
      <c r="H61" s="40"/>
      <c r="I61" s="40"/>
      <c r="J61" s="40"/>
      <c r="K61" s="40"/>
      <c r="L61" s="40"/>
      <c r="M61" s="40"/>
      <c r="N61" s="44"/>
      <c r="O61" s="44"/>
      <c r="P61" s="40"/>
      <c r="Q61" s="40"/>
      <c r="R61" s="40"/>
      <c r="S61" s="40"/>
      <c r="T61" s="40"/>
      <c r="U61" s="40"/>
      <c r="V61" s="40"/>
      <c r="W61" s="44"/>
      <c r="X61" s="44"/>
      <c r="Y61" s="40"/>
      <c r="Z61" s="40"/>
      <c r="AA61" s="40"/>
      <c r="AB61" s="40"/>
      <c r="AC61" s="40"/>
      <c r="AD61" s="40"/>
      <c r="AE61" s="40"/>
      <c r="AF61" s="44"/>
      <c r="AG61" s="44"/>
      <c r="AH61" s="40"/>
      <c r="AI61" s="40"/>
      <c r="AJ61" s="40"/>
      <c r="AK61" s="40"/>
      <c r="AL61" s="40"/>
      <c r="AM61" s="40"/>
      <c r="AN61" s="40"/>
      <c r="AO61" s="40"/>
      <c r="AP61" s="44"/>
      <c r="AQ61" s="44"/>
      <c r="AR61" s="44"/>
      <c r="AS61" s="44"/>
      <c r="AT61" s="44"/>
      <c r="AU61" s="42"/>
      <c r="AV61" s="43"/>
    </row>
    <row r="62" spans="1:48">
      <c r="A62" s="39"/>
      <c r="B62" s="40"/>
      <c r="C62" s="40"/>
      <c r="D62" s="40"/>
      <c r="E62" s="40"/>
      <c r="F62" s="44"/>
      <c r="G62" s="40"/>
      <c r="H62" s="40"/>
      <c r="I62" s="40"/>
      <c r="J62" s="40"/>
      <c r="K62" s="40"/>
      <c r="L62" s="40"/>
      <c r="M62" s="40"/>
      <c r="N62" s="44"/>
      <c r="O62" s="44"/>
      <c r="P62" s="40"/>
      <c r="Q62" s="40"/>
      <c r="R62" s="40"/>
      <c r="S62" s="40"/>
      <c r="T62" s="40"/>
      <c r="U62" s="40"/>
      <c r="V62" s="40"/>
      <c r="W62" s="44"/>
      <c r="X62" s="44"/>
      <c r="Y62" s="40"/>
      <c r="Z62" s="40"/>
      <c r="AA62" s="40"/>
      <c r="AB62" s="40"/>
      <c r="AC62" s="40"/>
      <c r="AD62" s="40"/>
      <c r="AE62" s="40"/>
      <c r="AF62" s="44"/>
      <c r="AG62" s="44"/>
      <c r="AH62" s="40"/>
      <c r="AI62" s="40"/>
      <c r="AJ62" s="40"/>
      <c r="AK62" s="40"/>
      <c r="AL62" s="40"/>
      <c r="AM62" s="40"/>
      <c r="AN62" s="40"/>
      <c r="AO62" s="40"/>
      <c r="AP62" s="44"/>
      <c r="AQ62" s="44"/>
      <c r="AR62" s="44"/>
      <c r="AS62" s="44"/>
      <c r="AT62" s="44"/>
      <c r="AU62" s="42"/>
      <c r="AV62" s="43"/>
    </row>
    <row r="63" spans="1:48">
      <c r="A63" s="39"/>
      <c r="B63" s="40"/>
      <c r="C63" s="40"/>
      <c r="D63" s="40"/>
      <c r="E63" s="40"/>
      <c r="F63" s="44"/>
      <c r="G63" s="40"/>
      <c r="H63" s="40"/>
      <c r="I63" s="40"/>
      <c r="J63" s="40"/>
      <c r="K63" s="40"/>
      <c r="L63" s="40"/>
      <c r="M63" s="40"/>
      <c r="N63" s="44"/>
      <c r="O63" s="44"/>
      <c r="P63" s="40"/>
      <c r="Q63" s="40"/>
      <c r="R63" s="40"/>
      <c r="S63" s="40"/>
      <c r="T63" s="40"/>
      <c r="U63" s="40"/>
      <c r="V63" s="40"/>
      <c r="W63" s="44"/>
      <c r="X63" s="44"/>
      <c r="Y63" s="40"/>
      <c r="Z63" s="40"/>
      <c r="AA63" s="40"/>
      <c r="AB63" s="40"/>
      <c r="AC63" s="40"/>
      <c r="AD63" s="40"/>
      <c r="AE63" s="40"/>
      <c r="AF63" s="44"/>
      <c r="AG63" s="44"/>
      <c r="AH63" s="40"/>
      <c r="AI63" s="40"/>
      <c r="AJ63" s="40"/>
      <c r="AK63" s="40"/>
      <c r="AL63" s="40"/>
      <c r="AM63" s="40"/>
      <c r="AN63" s="40"/>
      <c r="AO63" s="40"/>
      <c r="AP63" s="44"/>
      <c r="AQ63" s="44"/>
      <c r="AR63" s="44"/>
      <c r="AS63" s="44"/>
      <c r="AT63" s="44"/>
      <c r="AU63" s="42"/>
      <c r="AV63" s="43"/>
    </row>
    <row r="64" spans="1:48">
      <c r="A64" s="39"/>
      <c r="B64" s="40"/>
      <c r="C64" s="40"/>
      <c r="D64" s="40"/>
      <c r="E64" s="40"/>
      <c r="F64" s="44"/>
      <c r="G64" s="40"/>
      <c r="H64" s="40"/>
      <c r="I64" s="40"/>
      <c r="J64" s="40"/>
      <c r="K64" s="40"/>
      <c r="L64" s="40"/>
      <c r="M64" s="40"/>
      <c r="N64" s="44"/>
      <c r="O64" s="44"/>
      <c r="P64" s="40"/>
      <c r="Q64" s="40"/>
      <c r="R64" s="40"/>
      <c r="S64" s="40"/>
      <c r="T64" s="40"/>
      <c r="U64" s="40"/>
      <c r="V64" s="40"/>
      <c r="W64" s="44"/>
      <c r="X64" s="44"/>
      <c r="Y64" s="40"/>
      <c r="Z64" s="40"/>
      <c r="AA64" s="40"/>
      <c r="AB64" s="40"/>
      <c r="AC64" s="40"/>
      <c r="AD64" s="40"/>
      <c r="AE64" s="40"/>
      <c r="AF64" s="44"/>
      <c r="AG64" s="44"/>
      <c r="AH64" s="40"/>
      <c r="AI64" s="40"/>
      <c r="AJ64" s="40"/>
      <c r="AK64" s="40"/>
      <c r="AL64" s="40"/>
      <c r="AM64" s="40"/>
      <c r="AN64" s="40"/>
      <c r="AO64" s="40"/>
      <c r="AP64" s="44"/>
      <c r="AQ64" s="44"/>
      <c r="AR64" s="44"/>
      <c r="AS64" s="44"/>
      <c r="AT64" s="44"/>
      <c r="AU64" s="42"/>
      <c r="AV64" s="43"/>
    </row>
    <row r="65" spans="1:48">
      <c r="A65" s="39"/>
      <c r="B65" s="40"/>
      <c r="C65" s="40"/>
      <c r="D65" s="40"/>
      <c r="E65" s="40"/>
      <c r="F65" s="44"/>
      <c r="G65" s="40"/>
      <c r="H65" s="40"/>
      <c r="I65" s="40"/>
      <c r="J65" s="40"/>
      <c r="K65" s="40"/>
      <c r="L65" s="40"/>
      <c r="M65" s="40"/>
      <c r="N65" s="44"/>
      <c r="O65" s="44"/>
      <c r="P65" s="40"/>
      <c r="Q65" s="40"/>
      <c r="R65" s="40"/>
      <c r="S65" s="40"/>
      <c r="T65" s="40"/>
      <c r="U65" s="40"/>
      <c r="V65" s="40"/>
      <c r="W65" s="44"/>
      <c r="X65" s="44"/>
      <c r="Y65" s="40"/>
      <c r="Z65" s="40"/>
      <c r="AA65" s="40"/>
      <c r="AB65" s="40"/>
      <c r="AC65" s="40"/>
      <c r="AD65" s="40"/>
      <c r="AE65" s="40"/>
      <c r="AF65" s="44"/>
      <c r="AG65" s="44"/>
      <c r="AH65" s="40"/>
      <c r="AI65" s="40"/>
      <c r="AJ65" s="40"/>
      <c r="AK65" s="40"/>
      <c r="AL65" s="40"/>
      <c r="AM65" s="40"/>
      <c r="AN65" s="40"/>
      <c r="AO65" s="40"/>
      <c r="AP65" s="44"/>
      <c r="AQ65" s="44"/>
      <c r="AR65" s="44"/>
      <c r="AS65" s="44"/>
      <c r="AT65" s="44"/>
      <c r="AU65" s="42"/>
      <c r="AV65" s="43"/>
    </row>
    <row r="66" spans="1:48">
      <c r="A66" s="39"/>
      <c r="B66" s="40"/>
      <c r="C66" s="40"/>
      <c r="D66" s="40"/>
      <c r="E66" s="40"/>
      <c r="F66" s="44"/>
      <c r="G66" s="40"/>
      <c r="H66" s="40"/>
      <c r="I66" s="40"/>
      <c r="J66" s="40"/>
      <c r="K66" s="40"/>
      <c r="L66" s="40"/>
      <c r="M66" s="40"/>
      <c r="N66" s="44"/>
      <c r="O66" s="44"/>
      <c r="P66" s="40"/>
      <c r="Q66" s="40"/>
      <c r="R66" s="40"/>
      <c r="S66" s="40"/>
      <c r="T66" s="40"/>
      <c r="U66" s="40"/>
      <c r="V66" s="40"/>
      <c r="W66" s="44"/>
      <c r="X66" s="44"/>
      <c r="Y66" s="40"/>
      <c r="Z66" s="40"/>
      <c r="AA66" s="40"/>
      <c r="AB66" s="40"/>
      <c r="AC66" s="40"/>
      <c r="AD66" s="40"/>
      <c r="AE66" s="40"/>
      <c r="AF66" s="44"/>
      <c r="AG66" s="44"/>
      <c r="AH66" s="40"/>
      <c r="AI66" s="40"/>
      <c r="AJ66" s="40"/>
      <c r="AK66" s="40"/>
      <c r="AL66" s="40"/>
      <c r="AM66" s="40"/>
      <c r="AN66" s="40"/>
      <c r="AO66" s="40"/>
      <c r="AP66" s="44"/>
      <c r="AQ66" s="44"/>
      <c r="AR66" s="44"/>
      <c r="AS66" s="44"/>
      <c r="AT66" s="44"/>
      <c r="AU66" s="42"/>
      <c r="AV66" s="43"/>
    </row>
    <row r="67" spans="1:48">
      <c r="A67" s="39"/>
      <c r="B67" s="40"/>
      <c r="C67" s="40"/>
      <c r="D67" s="40"/>
      <c r="E67" s="40"/>
      <c r="F67" s="44"/>
      <c r="G67" s="40"/>
      <c r="H67" s="40"/>
      <c r="I67" s="40"/>
      <c r="J67" s="40"/>
      <c r="K67" s="40"/>
      <c r="L67" s="40"/>
      <c r="M67" s="40"/>
      <c r="N67" s="44"/>
      <c r="O67" s="44"/>
      <c r="P67" s="40"/>
      <c r="Q67" s="40"/>
      <c r="R67" s="40"/>
      <c r="S67" s="40"/>
      <c r="T67" s="40"/>
      <c r="U67" s="40"/>
      <c r="V67" s="40"/>
      <c r="W67" s="44"/>
      <c r="X67" s="44"/>
      <c r="Y67" s="40"/>
      <c r="Z67" s="40"/>
      <c r="AA67" s="40"/>
      <c r="AB67" s="40"/>
      <c r="AC67" s="40"/>
      <c r="AD67" s="40"/>
      <c r="AE67" s="40"/>
      <c r="AF67" s="44"/>
      <c r="AG67" s="44"/>
      <c r="AH67" s="40"/>
      <c r="AI67" s="40"/>
      <c r="AJ67" s="40"/>
      <c r="AK67" s="40"/>
      <c r="AL67" s="40"/>
      <c r="AM67" s="40"/>
      <c r="AN67" s="40"/>
      <c r="AO67" s="40"/>
      <c r="AP67" s="44"/>
      <c r="AQ67" s="44"/>
      <c r="AR67" s="44"/>
      <c r="AS67" s="44"/>
      <c r="AT67" s="44"/>
      <c r="AU67" s="42"/>
      <c r="AV67" s="43"/>
    </row>
    <row r="68" spans="1:48">
      <c r="A68" s="39"/>
      <c r="B68" s="40"/>
      <c r="C68" s="40"/>
      <c r="D68" s="40"/>
      <c r="E68" s="40"/>
      <c r="F68" s="44"/>
      <c r="G68" s="40"/>
      <c r="H68" s="40"/>
      <c r="I68" s="40"/>
      <c r="J68" s="40"/>
      <c r="K68" s="40"/>
      <c r="L68" s="40"/>
      <c r="M68" s="40"/>
      <c r="N68" s="44"/>
      <c r="O68" s="44"/>
      <c r="P68" s="40"/>
      <c r="Q68" s="40"/>
      <c r="R68" s="40"/>
      <c r="S68" s="40"/>
      <c r="T68" s="40"/>
      <c r="U68" s="40"/>
      <c r="V68" s="40"/>
      <c r="W68" s="44"/>
      <c r="X68" s="44"/>
      <c r="Y68" s="40"/>
      <c r="Z68" s="40"/>
      <c r="AA68" s="40"/>
      <c r="AB68" s="40"/>
      <c r="AC68" s="40"/>
      <c r="AD68" s="40"/>
      <c r="AE68" s="40"/>
      <c r="AF68" s="44"/>
      <c r="AG68" s="44"/>
      <c r="AH68" s="40"/>
      <c r="AI68" s="40"/>
      <c r="AJ68" s="40"/>
      <c r="AK68" s="40"/>
      <c r="AL68" s="40"/>
      <c r="AM68" s="40"/>
      <c r="AN68" s="40"/>
      <c r="AO68" s="40"/>
      <c r="AP68" s="44"/>
      <c r="AQ68" s="44"/>
      <c r="AR68" s="44"/>
      <c r="AS68" s="44"/>
      <c r="AT68" s="44"/>
      <c r="AU68" s="42"/>
      <c r="AV68" s="43"/>
    </row>
    <row r="69" spans="1:48">
      <c r="A69" s="39"/>
      <c r="B69" s="40"/>
      <c r="C69" s="40"/>
      <c r="D69" s="40"/>
      <c r="E69" s="40"/>
      <c r="F69" s="44"/>
      <c r="G69" s="40"/>
      <c r="H69" s="40"/>
      <c r="I69" s="40"/>
      <c r="J69" s="40"/>
      <c r="K69" s="40"/>
      <c r="L69" s="40"/>
      <c r="M69" s="40"/>
      <c r="N69" s="44"/>
      <c r="O69" s="44"/>
      <c r="P69" s="40"/>
      <c r="Q69" s="40"/>
      <c r="R69" s="40"/>
      <c r="S69" s="40"/>
      <c r="T69" s="40"/>
      <c r="U69" s="40"/>
      <c r="V69" s="40"/>
      <c r="W69" s="44"/>
      <c r="X69" s="44"/>
      <c r="Y69" s="40"/>
      <c r="Z69" s="40"/>
      <c r="AA69" s="40"/>
      <c r="AB69" s="40"/>
      <c r="AC69" s="40"/>
      <c r="AD69" s="40"/>
      <c r="AE69" s="40"/>
      <c r="AF69" s="44"/>
      <c r="AG69" s="44"/>
      <c r="AH69" s="40"/>
      <c r="AI69" s="40"/>
      <c r="AJ69" s="40"/>
      <c r="AK69" s="40"/>
      <c r="AL69" s="40"/>
      <c r="AM69" s="40"/>
      <c r="AN69" s="40"/>
      <c r="AO69" s="40"/>
      <c r="AP69" s="44"/>
      <c r="AQ69" s="44"/>
      <c r="AR69" s="44"/>
      <c r="AS69" s="44"/>
      <c r="AT69" s="44"/>
      <c r="AU69" s="42"/>
      <c r="AV69" s="43"/>
    </row>
    <row r="70" spans="1:48">
      <c r="A70" s="39"/>
      <c r="B70" s="40"/>
      <c r="C70" s="40"/>
      <c r="D70" s="40"/>
      <c r="E70" s="40"/>
      <c r="F70" s="44"/>
      <c r="G70" s="40"/>
      <c r="H70" s="40"/>
      <c r="I70" s="40"/>
      <c r="J70" s="40"/>
      <c r="K70" s="40"/>
      <c r="L70" s="40"/>
      <c r="M70" s="40"/>
      <c r="N70" s="44"/>
      <c r="O70" s="44"/>
      <c r="P70" s="40"/>
      <c r="Q70" s="40"/>
      <c r="R70" s="40"/>
      <c r="S70" s="40"/>
      <c r="T70" s="40"/>
      <c r="U70" s="40"/>
      <c r="V70" s="40"/>
      <c r="W70" s="44"/>
      <c r="X70" s="44"/>
      <c r="Y70" s="40"/>
      <c r="Z70" s="40"/>
      <c r="AA70" s="40"/>
      <c r="AB70" s="40"/>
      <c r="AC70" s="40"/>
      <c r="AD70" s="40"/>
      <c r="AE70" s="40"/>
      <c r="AF70" s="44"/>
      <c r="AG70" s="44"/>
      <c r="AH70" s="40"/>
      <c r="AI70" s="40"/>
      <c r="AJ70" s="40"/>
      <c r="AK70" s="40"/>
      <c r="AL70" s="40"/>
      <c r="AM70" s="40"/>
      <c r="AN70" s="40"/>
      <c r="AO70" s="40"/>
      <c r="AP70" s="44"/>
      <c r="AQ70" s="44"/>
      <c r="AR70" s="44"/>
      <c r="AS70" s="44"/>
      <c r="AT70" s="44"/>
      <c r="AU70" s="42"/>
      <c r="AV70" s="43"/>
    </row>
    <row r="71" spans="1:48">
      <c r="A71" s="39"/>
      <c r="B71" s="40"/>
      <c r="C71" s="40"/>
      <c r="D71" s="40"/>
      <c r="E71" s="40"/>
      <c r="F71" s="44"/>
      <c r="G71" s="40"/>
      <c r="H71" s="40"/>
      <c r="I71" s="40"/>
      <c r="J71" s="40"/>
      <c r="K71" s="40"/>
      <c r="L71" s="40"/>
      <c r="M71" s="40"/>
      <c r="N71" s="44"/>
      <c r="O71" s="44"/>
      <c r="P71" s="40"/>
      <c r="Q71" s="40"/>
      <c r="R71" s="40"/>
      <c r="S71" s="40"/>
      <c r="T71" s="40"/>
      <c r="U71" s="40"/>
      <c r="V71" s="40"/>
      <c r="W71" s="44"/>
      <c r="X71" s="44"/>
      <c r="Y71" s="40"/>
      <c r="Z71" s="40"/>
      <c r="AA71" s="40"/>
      <c r="AB71" s="40"/>
      <c r="AC71" s="40"/>
      <c r="AD71" s="40"/>
      <c r="AE71" s="40"/>
      <c r="AF71" s="44"/>
      <c r="AG71" s="44"/>
      <c r="AH71" s="40"/>
      <c r="AI71" s="40"/>
      <c r="AJ71" s="40"/>
      <c r="AK71" s="40"/>
      <c r="AL71" s="40"/>
      <c r="AM71" s="40"/>
      <c r="AN71" s="40"/>
      <c r="AO71" s="40"/>
      <c r="AP71" s="44"/>
      <c r="AQ71" s="44"/>
      <c r="AR71" s="44"/>
      <c r="AS71" s="44"/>
      <c r="AT71" s="44"/>
      <c r="AU71" s="42"/>
      <c r="AV71" s="43"/>
    </row>
    <row r="72" spans="1:48">
      <c r="A72" s="39"/>
      <c r="B72" s="40"/>
      <c r="C72" s="40"/>
      <c r="D72" s="40"/>
      <c r="E72" s="40"/>
      <c r="F72" s="44"/>
      <c r="G72" s="40"/>
      <c r="H72" s="40"/>
      <c r="I72" s="40"/>
      <c r="J72" s="40"/>
      <c r="K72" s="40"/>
      <c r="L72" s="40"/>
      <c r="M72" s="40"/>
      <c r="N72" s="44"/>
      <c r="O72" s="44"/>
      <c r="P72" s="40"/>
      <c r="Q72" s="40"/>
      <c r="R72" s="40"/>
      <c r="S72" s="40"/>
      <c r="T72" s="40"/>
      <c r="U72" s="40"/>
      <c r="V72" s="40"/>
      <c r="W72" s="44"/>
      <c r="X72" s="44"/>
      <c r="Y72" s="40"/>
      <c r="Z72" s="40"/>
      <c r="AA72" s="40"/>
      <c r="AB72" s="40"/>
      <c r="AC72" s="40"/>
      <c r="AD72" s="40"/>
      <c r="AE72" s="40"/>
      <c r="AF72" s="44"/>
      <c r="AG72" s="44"/>
      <c r="AH72" s="40"/>
      <c r="AI72" s="40"/>
      <c r="AJ72" s="40"/>
      <c r="AK72" s="40"/>
      <c r="AL72" s="40"/>
      <c r="AM72" s="40"/>
      <c r="AN72" s="40"/>
      <c r="AO72" s="40"/>
      <c r="AP72" s="44"/>
      <c r="AQ72" s="44"/>
      <c r="AR72" s="44"/>
      <c r="AS72" s="44"/>
      <c r="AT72" s="44"/>
      <c r="AU72" s="42"/>
      <c r="AV72" s="43"/>
    </row>
    <row r="73" spans="1:48">
      <c r="A73" s="39"/>
      <c r="B73" s="40"/>
      <c r="C73" s="40"/>
      <c r="D73" s="40"/>
      <c r="E73" s="40"/>
      <c r="F73" s="44"/>
      <c r="G73" s="40"/>
      <c r="H73" s="40"/>
      <c r="I73" s="40"/>
      <c r="J73" s="40"/>
      <c r="K73" s="40"/>
      <c r="L73" s="40"/>
      <c r="M73" s="40"/>
      <c r="N73" s="44"/>
      <c r="O73" s="44"/>
      <c r="P73" s="40"/>
      <c r="Q73" s="40"/>
      <c r="R73" s="40"/>
      <c r="S73" s="40"/>
      <c r="T73" s="40"/>
      <c r="U73" s="40"/>
      <c r="V73" s="40"/>
      <c r="W73" s="44"/>
      <c r="X73" s="44"/>
      <c r="Y73" s="40"/>
      <c r="Z73" s="40"/>
      <c r="AA73" s="40"/>
      <c r="AB73" s="40"/>
      <c r="AC73" s="40"/>
      <c r="AD73" s="40"/>
      <c r="AE73" s="40"/>
      <c r="AF73" s="44"/>
      <c r="AG73" s="44"/>
      <c r="AH73" s="40"/>
      <c r="AI73" s="40"/>
      <c r="AJ73" s="40"/>
      <c r="AK73" s="40"/>
      <c r="AL73" s="40"/>
      <c r="AM73" s="40"/>
      <c r="AN73" s="40"/>
      <c r="AO73" s="40"/>
      <c r="AP73" s="44"/>
      <c r="AQ73" s="44"/>
      <c r="AR73" s="44"/>
      <c r="AS73" s="44"/>
      <c r="AT73" s="44"/>
      <c r="AU73" s="42"/>
      <c r="AV73" s="43"/>
    </row>
    <row r="74" spans="1:48">
      <c r="A74" s="39"/>
      <c r="B74" s="40"/>
      <c r="C74" s="40"/>
      <c r="D74" s="40"/>
      <c r="E74" s="40"/>
      <c r="F74" s="44"/>
      <c r="G74" s="40"/>
      <c r="H74" s="40"/>
      <c r="I74" s="40"/>
      <c r="J74" s="40"/>
      <c r="K74" s="40"/>
      <c r="L74" s="40"/>
      <c r="M74" s="40"/>
      <c r="N74" s="44"/>
      <c r="O74" s="44"/>
      <c r="P74" s="40"/>
      <c r="Q74" s="40"/>
      <c r="R74" s="40"/>
      <c r="S74" s="40"/>
      <c r="T74" s="40"/>
      <c r="U74" s="40"/>
      <c r="V74" s="40"/>
      <c r="W74" s="44"/>
      <c r="X74" s="44"/>
      <c r="Y74" s="40"/>
      <c r="Z74" s="40"/>
      <c r="AA74" s="40"/>
      <c r="AB74" s="40"/>
      <c r="AC74" s="40"/>
      <c r="AD74" s="40"/>
      <c r="AE74" s="40"/>
      <c r="AF74" s="44"/>
      <c r="AG74" s="44"/>
      <c r="AH74" s="40"/>
      <c r="AI74" s="40"/>
      <c r="AJ74" s="40"/>
      <c r="AK74" s="40"/>
      <c r="AL74" s="40"/>
      <c r="AM74" s="40"/>
      <c r="AN74" s="40"/>
      <c r="AO74" s="40"/>
      <c r="AP74" s="44"/>
      <c r="AQ74" s="44"/>
      <c r="AR74" s="44"/>
      <c r="AS74" s="44"/>
      <c r="AT74" s="44"/>
      <c r="AU74" s="42"/>
      <c r="AV74" s="43"/>
    </row>
    <row r="75" spans="1:48">
      <c r="A75" s="39"/>
      <c r="B75" s="40"/>
      <c r="C75" s="40"/>
      <c r="D75" s="40"/>
      <c r="E75" s="40"/>
      <c r="F75" s="44"/>
      <c r="G75" s="40"/>
      <c r="H75" s="40"/>
      <c r="I75" s="40"/>
      <c r="J75" s="40"/>
      <c r="K75" s="40"/>
      <c r="L75" s="40"/>
      <c r="M75" s="40"/>
      <c r="N75" s="44"/>
      <c r="O75" s="44"/>
      <c r="P75" s="40"/>
      <c r="Q75" s="40"/>
      <c r="R75" s="40"/>
      <c r="S75" s="40"/>
      <c r="T75" s="40"/>
      <c r="U75" s="40"/>
      <c r="V75" s="40"/>
      <c r="W75" s="44"/>
      <c r="X75" s="44"/>
      <c r="Y75" s="40"/>
      <c r="Z75" s="40"/>
      <c r="AA75" s="40"/>
      <c r="AB75" s="40"/>
      <c r="AC75" s="40"/>
      <c r="AD75" s="40"/>
      <c r="AE75" s="40"/>
      <c r="AF75" s="44"/>
      <c r="AG75" s="44"/>
      <c r="AH75" s="40"/>
      <c r="AI75" s="40"/>
      <c r="AJ75" s="40"/>
      <c r="AK75" s="40"/>
      <c r="AL75" s="40"/>
      <c r="AM75" s="40"/>
      <c r="AN75" s="40"/>
      <c r="AO75" s="40"/>
      <c r="AP75" s="44"/>
      <c r="AQ75" s="44"/>
      <c r="AR75" s="44"/>
      <c r="AS75" s="44"/>
      <c r="AT75" s="44"/>
      <c r="AU75" s="42"/>
      <c r="AV75" s="43"/>
    </row>
    <row r="76" spans="1:48">
      <c r="A76" s="39"/>
      <c r="B76" s="40"/>
      <c r="C76" s="40"/>
      <c r="D76" s="40"/>
      <c r="E76" s="40"/>
      <c r="F76" s="44"/>
      <c r="G76" s="40"/>
      <c r="H76" s="40"/>
      <c r="I76" s="40"/>
      <c r="J76" s="40"/>
      <c r="K76" s="40"/>
      <c r="L76" s="40"/>
      <c r="M76" s="40"/>
      <c r="N76" s="44"/>
      <c r="O76" s="44"/>
      <c r="P76" s="40"/>
      <c r="Q76" s="40"/>
      <c r="R76" s="40"/>
      <c r="S76" s="40"/>
      <c r="T76" s="40"/>
      <c r="U76" s="40"/>
      <c r="V76" s="40"/>
      <c r="W76" s="44"/>
      <c r="X76" s="44"/>
      <c r="Y76" s="40"/>
      <c r="Z76" s="40"/>
      <c r="AA76" s="40"/>
      <c r="AB76" s="40"/>
      <c r="AC76" s="40"/>
      <c r="AD76" s="40"/>
      <c r="AE76" s="40"/>
      <c r="AF76" s="44"/>
      <c r="AG76" s="44"/>
      <c r="AH76" s="40"/>
      <c r="AI76" s="40"/>
      <c r="AJ76" s="40"/>
      <c r="AK76" s="40"/>
      <c r="AL76" s="40"/>
      <c r="AM76" s="40"/>
      <c r="AN76" s="40"/>
      <c r="AO76" s="40"/>
      <c r="AP76" s="44"/>
      <c r="AQ76" s="44"/>
      <c r="AR76" s="44"/>
      <c r="AS76" s="44"/>
      <c r="AT76" s="44"/>
      <c r="AU76" s="42"/>
      <c r="AV76" s="43"/>
    </row>
    <row r="77" spans="1:48">
      <c r="A77" s="39"/>
      <c r="B77" s="40"/>
      <c r="C77" s="40"/>
      <c r="D77" s="40"/>
      <c r="E77" s="40"/>
      <c r="F77" s="44"/>
      <c r="G77" s="40"/>
      <c r="H77" s="40"/>
      <c r="I77" s="40"/>
      <c r="J77" s="40"/>
      <c r="K77" s="40"/>
      <c r="L77" s="40"/>
      <c r="M77" s="40"/>
      <c r="N77" s="44"/>
      <c r="O77" s="44"/>
      <c r="P77" s="40"/>
      <c r="Q77" s="40"/>
      <c r="R77" s="40"/>
      <c r="S77" s="40"/>
      <c r="T77" s="40"/>
      <c r="U77" s="40"/>
      <c r="V77" s="40"/>
      <c r="W77" s="44"/>
      <c r="X77" s="44"/>
      <c r="Y77" s="40"/>
      <c r="Z77" s="40"/>
      <c r="AA77" s="40"/>
      <c r="AB77" s="40"/>
      <c r="AC77" s="40"/>
      <c r="AD77" s="40"/>
      <c r="AE77" s="40"/>
      <c r="AF77" s="44"/>
      <c r="AG77" s="44"/>
      <c r="AH77" s="40"/>
      <c r="AI77" s="40"/>
      <c r="AJ77" s="40"/>
      <c r="AK77" s="40"/>
      <c r="AL77" s="40"/>
      <c r="AM77" s="40"/>
      <c r="AN77" s="40"/>
      <c r="AO77" s="40"/>
      <c r="AP77" s="44"/>
      <c r="AQ77" s="44"/>
      <c r="AR77" s="44"/>
      <c r="AS77" s="44"/>
      <c r="AT77" s="44"/>
      <c r="AU77" s="42"/>
      <c r="AV77" s="43"/>
    </row>
    <row r="78" spans="1:48">
      <c r="A78" s="39"/>
      <c r="B78" s="40"/>
      <c r="C78" s="40"/>
      <c r="D78" s="40"/>
      <c r="E78" s="40"/>
      <c r="F78" s="44"/>
      <c r="G78" s="40"/>
      <c r="H78" s="40"/>
      <c r="I78" s="40"/>
      <c r="J78" s="40"/>
      <c r="K78" s="40"/>
      <c r="L78" s="40"/>
      <c r="M78" s="40"/>
      <c r="N78" s="44"/>
      <c r="O78" s="44"/>
      <c r="P78" s="40"/>
      <c r="Q78" s="40"/>
      <c r="R78" s="40"/>
      <c r="S78" s="40"/>
      <c r="T78" s="40"/>
      <c r="U78" s="40"/>
      <c r="V78" s="40"/>
      <c r="W78" s="44"/>
      <c r="X78" s="44"/>
      <c r="Y78" s="40"/>
      <c r="Z78" s="40"/>
      <c r="AA78" s="40"/>
      <c r="AB78" s="40"/>
      <c r="AC78" s="40"/>
      <c r="AD78" s="40"/>
      <c r="AE78" s="40"/>
      <c r="AF78" s="44"/>
      <c r="AG78" s="44"/>
      <c r="AH78" s="40"/>
      <c r="AI78" s="40"/>
      <c r="AJ78" s="40"/>
      <c r="AK78" s="40"/>
      <c r="AL78" s="40"/>
      <c r="AM78" s="40"/>
      <c r="AN78" s="40"/>
      <c r="AO78" s="40"/>
      <c r="AP78" s="44"/>
      <c r="AQ78" s="44"/>
      <c r="AR78" s="44"/>
      <c r="AS78" s="44"/>
      <c r="AT78" s="44"/>
      <c r="AU78" s="42"/>
      <c r="AV78" s="43"/>
    </row>
    <row r="79" spans="1:48">
      <c r="A79" s="39"/>
      <c r="B79" s="40"/>
      <c r="C79" s="40"/>
      <c r="D79" s="40"/>
      <c r="E79" s="40"/>
      <c r="F79" s="44"/>
      <c r="G79" s="40"/>
      <c r="H79" s="40"/>
      <c r="I79" s="40"/>
      <c r="J79" s="40"/>
      <c r="K79" s="40"/>
      <c r="L79" s="40"/>
      <c r="M79" s="40"/>
      <c r="N79" s="44"/>
      <c r="O79" s="44"/>
      <c r="P79" s="40"/>
      <c r="Q79" s="40"/>
      <c r="R79" s="40"/>
      <c r="S79" s="40"/>
      <c r="T79" s="40"/>
      <c r="U79" s="40"/>
      <c r="V79" s="40"/>
      <c r="W79" s="44"/>
      <c r="X79" s="44"/>
      <c r="Y79" s="40"/>
      <c r="Z79" s="40"/>
      <c r="AA79" s="40"/>
      <c r="AB79" s="40"/>
      <c r="AC79" s="40"/>
      <c r="AD79" s="40"/>
      <c r="AE79" s="40"/>
      <c r="AF79" s="44"/>
      <c r="AG79" s="44"/>
      <c r="AH79" s="40"/>
      <c r="AI79" s="40"/>
      <c r="AJ79" s="40"/>
      <c r="AK79" s="40"/>
      <c r="AL79" s="40"/>
      <c r="AM79" s="40"/>
      <c r="AN79" s="40"/>
      <c r="AO79" s="40"/>
      <c r="AP79" s="44"/>
      <c r="AQ79" s="44"/>
      <c r="AR79" s="44"/>
      <c r="AS79" s="44"/>
      <c r="AT79" s="44"/>
      <c r="AU79" s="42"/>
      <c r="AV79" s="43"/>
    </row>
    <row r="80" spans="1:48">
      <c r="A80" s="39"/>
      <c r="B80" s="40"/>
      <c r="C80" s="40"/>
      <c r="D80" s="40"/>
      <c r="E80" s="40"/>
      <c r="F80" s="44"/>
      <c r="G80" s="40"/>
      <c r="H80" s="40"/>
      <c r="I80" s="40"/>
      <c r="J80" s="40"/>
      <c r="K80" s="40"/>
      <c r="L80" s="40"/>
      <c r="M80" s="40"/>
      <c r="N80" s="44"/>
      <c r="O80" s="44"/>
      <c r="P80" s="40"/>
      <c r="Q80" s="40"/>
      <c r="R80" s="40"/>
      <c r="S80" s="40"/>
      <c r="T80" s="40"/>
      <c r="U80" s="40"/>
      <c r="V80" s="40"/>
      <c r="W80" s="44"/>
      <c r="X80" s="44"/>
      <c r="Y80" s="40"/>
      <c r="Z80" s="40"/>
      <c r="AA80" s="40"/>
      <c r="AB80" s="40"/>
      <c r="AC80" s="40"/>
      <c r="AD80" s="40"/>
      <c r="AE80" s="40"/>
      <c r="AF80" s="44"/>
      <c r="AG80" s="44"/>
      <c r="AH80" s="40"/>
      <c r="AI80" s="40"/>
      <c r="AJ80" s="40"/>
      <c r="AK80" s="40"/>
      <c r="AL80" s="40"/>
      <c r="AM80" s="40"/>
      <c r="AN80" s="40"/>
      <c r="AO80" s="40"/>
      <c r="AP80" s="44"/>
      <c r="AQ80" s="44"/>
      <c r="AR80" s="44"/>
      <c r="AS80" s="44"/>
      <c r="AT80" s="44"/>
      <c r="AU80" s="42"/>
      <c r="AV80" s="43"/>
    </row>
    <row r="81" spans="1:48">
      <c r="A81" s="39"/>
      <c r="B81" s="40"/>
      <c r="C81" s="40"/>
      <c r="D81" s="40"/>
      <c r="E81" s="40"/>
      <c r="F81" s="44"/>
      <c r="G81" s="40"/>
      <c r="H81" s="40"/>
      <c r="I81" s="40"/>
      <c r="J81" s="40"/>
      <c r="K81" s="40"/>
      <c r="L81" s="40"/>
      <c r="M81" s="40"/>
      <c r="N81" s="44"/>
      <c r="O81" s="44"/>
      <c r="P81" s="40"/>
      <c r="Q81" s="40"/>
      <c r="R81" s="40"/>
      <c r="S81" s="40"/>
      <c r="T81" s="40"/>
      <c r="U81" s="40"/>
      <c r="V81" s="40"/>
      <c r="W81" s="44"/>
      <c r="X81" s="44"/>
      <c r="Y81" s="40"/>
      <c r="Z81" s="40"/>
      <c r="AA81" s="40"/>
      <c r="AB81" s="40"/>
      <c r="AC81" s="40"/>
      <c r="AD81" s="40"/>
      <c r="AE81" s="40"/>
      <c r="AF81" s="44"/>
      <c r="AG81" s="44"/>
      <c r="AH81" s="40"/>
      <c r="AI81" s="40"/>
      <c r="AJ81" s="40"/>
      <c r="AK81" s="40"/>
      <c r="AL81" s="40"/>
      <c r="AM81" s="40"/>
      <c r="AN81" s="40"/>
      <c r="AO81" s="40"/>
      <c r="AP81" s="44"/>
      <c r="AQ81" s="44"/>
      <c r="AR81" s="44"/>
      <c r="AS81" s="44"/>
      <c r="AT81" s="44"/>
      <c r="AU81" s="42"/>
      <c r="AV81" s="43"/>
    </row>
    <row r="82" spans="1:48">
      <c r="A82" s="39"/>
      <c r="B82" s="40"/>
      <c r="C82" s="40"/>
      <c r="D82" s="40"/>
      <c r="E82" s="40"/>
      <c r="F82" s="44"/>
      <c r="G82" s="40"/>
      <c r="H82" s="40"/>
      <c r="I82" s="40"/>
      <c r="J82" s="40"/>
      <c r="K82" s="40"/>
      <c r="L82" s="40"/>
      <c r="M82" s="40"/>
      <c r="N82" s="44"/>
      <c r="O82" s="44"/>
      <c r="P82" s="40"/>
      <c r="Q82" s="40"/>
      <c r="R82" s="40"/>
      <c r="S82" s="40"/>
      <c r="T82" s="40"/>
      <c r="U82" s="40"/>
      <c r="V82" s="40"/>
      <c r="W82" s="44"/>
      <c r="X82" s="44"/>
      <c r="Y82" s="40"/>
      <c r="Z82" s="40"/>
      <c r="AA82" s="40"/>
      <c r="AB82" s="40"/>
      <c r="AC82" s="40"/>
      <c r="AD82" s="40"/>
      <c r="AE82" s="40"/>
      <c r="AF82" s="44"/>
      <c r="AG82" s="44"/>
      <c r="AH82" s="40"/>
      <c r="AI82" s="40"/>
      <c r="AJ82" s="40"/>
      <c r="AK82" s="40"/>
      <c r="AL82" s="40"/>
      <c r="AM82" s="40"/>
      <c r="AN82" s="40"/>
      <c r="AO82" s="40"/>
      <c r="AP82" s="44"/>
      <c r="AQ82" s="44"/>
      <c r="AR82" s="44"/>
      <c r="AS82" s="44"/>
      <c r="AT82" s="44"/>
      <c r="AU82" s="42"/>
      <c r="AV82" s="43"/>
    </row>
    <row r="83" spans="1:48">
      <c r="A83" s="39"/>
      <c r="B83" s="40"/>
      <c r="C83" s="40"/>
      <c r="D83" s="40"/>
      <c r="E83" s="40"/>
      <c r="F83" s="44"/>
      <c r="G83" s="40"/>
      <c r="H83" s="40"/>
      <c r="I83" s="40"/>
      <c r="J83" s="40"/>
      <c r="K83" s="40"/>
      <c r="L83" s="40"/>
      <c r="M83" s="40"/>
      <c r="N83" s="44"/>
      <c r="O83" s="44"/>
      <c r="P83" s="40"/>
      <c r="Q83" s="40"/>
      <c r="R83" s="40"/>
      <c r="S83" s="40"/>
      <c r="T83" s="40"/>
      <c r="U83" s="40"/>
      <c r="V83" s="40"/>
      <c r="W83" s="44"/>
      <c r="X83" s="44"/>
      <c r="Y83" s="40"/>
      <c r="Z83" s="40"/>
      <c r="AA83" s="40"/>
      <c r="AB83" s="40"/>
      <c r="AC83" s="40"/>
      <c r="AD83" s="40"/>
      <c r="AE83" s="40"/>
      <c r="AF83" s="44"/>
      <c r="AG83" s="44"/>
      <c r="AH83" s="40"/>
      <c r="AI83" s="40"/>
      <c r="AJ83" s="40"/>
      <c r="AK83" s="40"/>
      <c r="AL83" s="40"/>
      <c r="AM83" s="40"/>
      <c r="AN83" s="40"/>
      <c r="AO83" s="40"/>
      <c r="AP83" s="44"/>
      <c r="AQ83" s="44"/>
      <c r="AR83" s="44"/>
      <c r="AS83" s="44"/>
      <c r="AT83" s="44"/>
      <c r="AU83" s="42"/>
      <c r="AV83" s="43"/>
    </row>
    <row r="84" spans="1:48">
      <c r="A84" s="39"/>
      <c r="B84" s="40"/>
      <c r="C84" s="40"/>
      <c r="D84" s="40"/>
      <c r="E84" s="40"/>
      <c r="F84" s="44"/>
      <c r="G84" s="40"/>
      <c r="H84" s="40"/>
      <c r="I84" s="40"/>
      <c r="J84" s="40"/>
      <c r="K84" s="40"/>
      <c r="L84" s="40"/>
      <c r="M84" s="40"/>
      <c r="N84" s="44"/>
      <c r="O84" s="44"/>
      <c r="P84" s="40"/>
      <c r="Q84" s="40"/>
      <c r="R84" s="40"/>
      <c r="S84" s="40"/>
      <c r="T84" s="40"/>
      <c r="U84" s="40"/>
      <c r="V84" s="40"/>
      <c r="W84" s="44"/>
      <c r="X84" s="44"/>
      <c r="Y84" s="40"/>
      <c r="Z84" s="40"/>
      <c r="AA84" s="40"/>
      <c r="AB84" s="40"/>
      <c r="AC84" s="40"/>
      <c r="AD84" s="40"/>
      <c r="AE84" s="40"/>
      <c r="AF84" s="44"/>
      <c r="AG84" s="44"/>
      <c r="AH84" s="40"/>
      <c r="AI84" s="40"/>
      <c r="AJ84" s="40"/>
      <c r="AK84" s="40"/>
      <c r="AL84" s="40"/>
      <c r="AM84" s="40"/>
      <c r="AN84" s="40"/>
      <c r="AO84" s="40"/>
      <c r="AP84" s="44"/>
      <c r="AQ84" s="44"/>
      <c r="AR84" s="44"/>
      <c r="AS84" s="44"/>
      <c r="AT84" s="44"/>
      <c r="AU84" s="42"/>
      <c r="AV84" s="43"/>
    </row>
    <row r="85" spans="1:48">
      <c r="A85" s="39"/>
      <c r="B85" s="40"/>
      <c r="C85" s="40"/>
      <c r="D85" s="40"/>
      <c r="E85" s="40"/>
      <c r="F85" s="44"/>
      <c r="G85" s="40"/>
      <c r="H85" s="40"/>
      <c r="I85" s="40"/>
      <c r="J85" s="40"/>
      <c r="K85" s="40"/>
      <c r="L85" s="40"/>
      <c r="M85" s="40"/>
      <c r="N85" s="44"/>
      <c r="O85" s="44"/>
      <c r="P85" s="40"/>
      <c r="Q85" s="40"/>
      <c r="R85" s="40"/>
      <c r="S85" s="40"/>
      <c r="T85" s="40"/>
      <c r="U85" s="40"/>
      <c r="V85" s="40"/>
      <c r="W85" s="44"/>
      <c r="X85" s="44"/>
      <c r="Y85" s="40"/>
      <c r="Z85" s="40"/>
      <c r="AA85" s="40"/>
      <c r="AB85" s="40"/>
      <c r="AC85" s="40"/>
      <c r="AD85" s="40"/>
      <c r="AE85" s="40"/>
      <c r="AF85" s="44"/>
      <c r="AG85" s="44"/>
      <c r="AH85" s="40"/>
      <c r="AI85" s="40"/>
      <c r="AJ85" s="40"/>
      <c r="AK85" s="40"/>
      <c r="AL85" s="40"/>
      <c r="AM85" s="40"/>
      <c r="AN85" s="40"/>
      <c r="AO85" s="40"/>
      <c r="AP85" s="44"/>
      <c r="AQ85" s="44"/>
      <c r="AR85" s="44"/>
      <c r="AS85" s="44"/>
      <c r="AT85" s="44"/>
      <c r="AU85" s="42"/>
      <c r="AV85" s="43"/>
    </row>
    <row r="86" spans="1:48">
      <c r="A86" s="39"/>
      <c r="B86" s="40"/>
      <c r="C86" s="40"/>
      <c r="D86" s="40"/>
      <c r="E86" s="40"/>
      <c r="F86" s="44"/>
      <c r="G86" s="40"/>
      <c r="H86" s="40"/>
      <c r="I86" s="40"/>
      <c r="J86" s="40"/>
      <c r="K86" s="40"/>
      <c r="L86" s="40"/>
      <c r="M86" s="40"/>
      <c r="N86" s="44"/>
      <c r="O86" s="44"/>
      <c r="P86" s="40"/>
      <c r="Q86" s="40"/>
      <c r="R86" s="40"/>
      <c r="S86" s="40"/>
      <c r="T86" s="40"/>
      <c r="U86" s="40"/>
      <c r="V86" s="40"/>
      <c r="W86" s="44"/>
      <c r="X86" s="44"/>
      <c r="Y86" s="40"/>
      <c r="Z86" s="40"/>
      <c r="AA86" s="40"/>
      <c r="AB86" s="40"/>
      <c r="AC86" s="40"/>
      <c r="AD86" s="40"/>
      <c r="AE86" s="40"/>
      <c r="AF86" s="44"/>
      <c r="AG86" s="44"/>
      <c r="AH86" s="40"/>
      <c r="AI86" s="40"/>
      <c r="AJ86" s="40"/>
      <c r="AK86" s="40"/>
      <c r="AL86" s="40"/>
      <c r="AM86" s="40"/>
      <c r="AN86" s="40"/>
      <c r="AO86" s="40"/>
      <c r="AP86" s="44"/>
      <c r="AQ86" s="44"/>
      <c r="AR86" s="44"/>
      <c r="AS86" s="44"/>
      <c r="AT86" s="44"/>
      <c r="AU86" s="42"/>
      <c r="AV86" s="43"/>
    </row>
    <row r="87" spans="1:48">
      <c r="A87" s="39"/>
      <c r="B87" s="40"/>
      <c r="C87" s="40"/>
      <c r="D87" s="40"/>
      <c r="E87" s="40"/>
      <c r="F87" s="44"/>
      <c r="G87" s="40"/>
      <c r="H87" s="40"/>
      <c r="I87" s="40"/>
      <c r="J87" s="40"/>
      <c r="K87" s="40"/>
      <c r="L87" s="40"/>
      <c r="M87" s="40"/>
      <c r="N87" s="44"/>
      <c r="O87" s="44"/>
      <c r="P87" s="40"/>
      <c r="Q87" s="40"/>
      <c r="R87" s="40"/>
      <c r="S87" s="40"/>
      <c r="T87" s="40"/>
      <c r="U87" s="40"/>
      <c r="V87" s="40"/>
      <c r="W87" s="44"/>
      <c r="X87" s="44"/>
      <c r="Y87" s="40"/>
      <c r="Z87" s="40"/>
      <c r="AA87" s="40"/>
      <c r="AB87" s="40"/>
      <c r="AC87" s="40"/>
      <c r="AD87" s="40"/>
      <c r="AE87" s="40"/>
      <c r="AF87" s="44"/>
      <c r="AG87" s="44"/>
      <c r="AH87" s="40"/>
      <c r="AI87" s="40"/>
      <c r="AJ87" s="40"/>
      <c r="AK87" s="40"/>
      <c r="AL87" s="40"/>
      <c r="AM87" s="40"/>
      <c r="AN87" s="40"/>
      <c r="AO87" s="40"/>
      <c r="AP87" s="44"/>
      <c r="AQ87" s="44"/>
      <c r="AR87" s="44"/>
      <c r="AS87" s="44"/>
      <c r="AT87" s="44"/>
      <c r="AU87" s="42"/>
      <c r="AV87" s="43"/>
    </row>
    <row r="88" spans="1:48">
      <c r="A88" s="39"/>
      <c r="B88" s="40"/>
      <c r="C88" s="40"/>
      <c r="D88" s="40"/>
      <c r="E88" s="40"/>
      <c r="F88" s="44"/>
      <c r="G88" s="40"/>
      <c r="H88" s="40"/>
      <c r="I88" s="40"/>
      <c r="J88" s="40"/>
      <c r="K88" s="40"/>
      <c r="L88" s="40"/>
      <c r="M88" s="40"/>
      <c r="N88" s="44"/>
      <c r="O88" s="44"/>
      <c r="P88" s="40"/>
      <c r="Q88" s="40"/>
      <c r="R88" s="40"/>
      <c r="S88" s="40"/>
      <c r="T88" s="40"/>
      <c r="U88" s="40"/>
      <c r="V88" s="40"/>
      <c r="W88" s="44"/>
      <c r="X88" s="44"/>
      <c r="Y88" s="40"/>
      <c r="Z88" s="40"/>
      <c r="AA88" s="40"/>
      <c r="AB88" s="40"/>
      <c r="AC88" s="40"/>
      <c r="AD88" s="40"/>
      <c r="AE88" s="40"/>
      <c r="AF88" s="44"/>
      <c r="AG88" s="44"/>
      <c r="AH88" s="40"/>
      <c r="AI88" s="40"/>
      <c r="AJ88" s="40"/>
      <c r="AK88" s="40"/>
      <c r="AL88" s="40"/>
      <c r="AM88" s="40"/>
      <c r="AN88" s="40"/>
      <c r="AO88" s="40"/>
      <c r="AP88" s="44"/>
      <c r="AQ88" s="44"/>
      <c r="AR88" s="44"/>
      <c r="AS88" s="44"/>
      <c r="AT88" s="44"/>
      <c r="AU88" s="42"/>
      <c r="AV88" s="43"/>
    </row>
    <row r="89" spans="1:48">
      <c r="A89" s="39"/>
      <c r="B89" s="40"/>
      <c r="C89" s="40"/>
      <c r="D89" s="40"/>
      <c r="E89" s="40"/>
      <c r="F89" s="44"/>
      <c r="G89" s="40"/>
      <c r="H89" s="40"/>
      <c r="I89" s="40"/>
      <c r="J89" s="40"/>
      <c r="K89" s="40"/>
      <c r="L89" s="40"/>
      <c r="M89" s="40"/>
      <c r="N89" s="44"/>
      <c r="O89" s="44"/>
      <c r="P89" s="40"/>
      <c r="Q89" s="40"/>
      <c r="R89" s="40"/>
      <c r="S89" s="40"/>
      <c r="T89" s="40"/>
      <c r="U89" s="40"/>
      <c r="V89" s="40"/>
      <c r="W89" s="44"/>
      <c r="X89" s="44"/>
      <c r="Y89" s="40"/>
      <c r="Z89" s="40"/>
      <c r="AA89" s="40"/>
      <c r="AB89" s="40"/>
      <c r="AC89" s="40"/>
      <c r="AD89" s="40"/>
      <c r="AE89" s="40"/>
      <c r="AF89" s="44"/>
      <c r="AG89" s="44"/>
      <c r="AH89" s="40"/>
      <c r="AI89" s="40"/>
      <c r="AJ89" s="40"/>
      <c r="AK89" s="40"/>
      <c r="AL89" s="40"/>
      <c r="AM89" s="40"/>
      <c r="AN89" s="40"/>
      <c r="AO89" s="40"/>
      <c r="AP89" s="44"/>
      <c r="AQ89" s="44"/>
      <c r="AR89" s="44"/>
      <c r="AS89" s="44"/>
      <c r="AT89" s="44"/>
      <c r="AU89" s="42"/>
      <c r="AV89" s="43"/>
    </row>
    <row r="90" spans="1:48">
      <c r="A90" s="39"/>
      <c r="B90" s="40"/>
      <c r="C90" s="40"/>
      <c r="D90" s="40"/>
      <c r="E90" s="40"/>
      <c r="F90" s="44"/>
      <c r="G90" s="40"/>
      <c r="H90" s="40"/>
      <c r="I90" s="40"/>
      <c r="J90" s="40"/>
      <c r="K90" s="40"/>
      <c r="L90" s="40"/>
      <c r="M90" s="40"/>
      <c r="N90" s="44"/>
      <c r="O90" s="44"/>
      <c r="P90" s="40"/>
      <c r="Q90" s="40"/>
      <c r="R90" s="40"/>
      <c r="S90" s="40"/>
      <c r="T90" s="40"/>
      <c r="U90" s="40"/>
      <c r="V90" s="40"/>
      <c r="W90" s="44"/>
      <c r="X90" s="44"/>
      <c r="Y90" s="40"/>
      <c r="Z90" s="40"/>
      <c r="AA90" s="40"/>
      <c r="AB90" s="40"/>
      <c r="AC90" s="40"/>
      <c r="AD90" s="40"/>
      <c r="AE90" s="40"/>
      <c r="AF90" s="44"/>
      <c r="AG90" s="44"/>
      <c r="AH90" s="40"/>
      <c r="AI90" s="40"/>
      <c r="AJ90" s="40"/>
      <c r="AK90" s="40"/>
      <c r="AL90" s="40"/>
      <c r="AM90" s="40"/>
      <c r="AN90" s="40"/>
      <c r="AO90" s="40"/>
      <c r="AP90" s="44"/>
      <c r="AQ90" s="44"/>
      <c r="AR90" s="44"/>
      <c r="AS90" s="44"/>
      <c r="AT90" s="44"/>
      <c r="AU90" s="42"/>
      <c r="AV90" s="43"/>
    </row>
    <row r="91" spans="1:48">
      <c r="A91" s="39"/>
      <c r="B91" s="40"/>
      <c r="C91" s="40"/>
      <c r="D91" s="40"/>
      <c r="E91" s="40"/>
      <c r="F91" s="44"/>
      <c r="G91" s="40"/>
      <c r="H91" s="40"/>
      <c r="I91" s="40"/>
      <c r="J91" s="40"/>
      <c r="K91" s="40"/>
      <c r="L91" s="40"/>
      <c r="M91" s="40"/>
      <c r="N91" s="44"/>
      <c r="O91" s="44"/>
      <c r="P91" s="40"/>
      <c r="Q91" s="40"/>
      <c r="R91" s="40"/>
      <c r="S91" s="40"/>
      <c r="T91" s="40"/>
      <c r="U91" s="40"/>
      <c r="V91" s="40"/>
      <c r="W91" s="44"/>
      <c r="X91" s="44"/>
      <c r="Y91" s="40"/>
      <c r="Z91" s="40"/>
      <c r="AA91" s="40"/>
      <c r="AB91" s="40"/>
      <c r="AC91" s="40"/>
      <c r="AD91" s="40"/>
      <c r="AE91" s="40"/>
      <c r="AF91" s="44"/>
      <c r="AG91" s="44"/>
      <c r="AH91" s="40"/>
      <c r="AI91" s="40"/>
      <c r="AJ91" s="40"/>
      <c r="AK91" s="40"/>
      <c r="AL91" s="40"/>
      <c r="AM91" s="40"/>
      <c r="AN91" s="40"/>
      <c r="AO91" s="40"/>
      <c r="AP91" s="44"/>
      <c r="AQ91" s="44"/>
      <c r="AR91" s="44"/>
      <c r="AS91" s="44"/>
      <c r="AT91" s="44"/>
      <c r="AU91" s="42"/>
      <c r="AV91" s="43"/>
    </row>
    <row r="92" spans="1:48">
      <c r="A92" s="39"/>
      <c r="B92" s="40"/>
      <c r="C92" s="40"/>
      <c r="D92" s="40"/>
      <c r="E92" s="40"/>
      <c r="F92" s="44"/>
      <c r="G92" s="40"/>
      <c r="H92" s="40"/>
      <c r="I92" s="40"/>
      <c r="J92" s="40"/>
      <c r="K92" s="40"/>
      <c r="L92" s="40"/>
      <c r="M92" s="40"/>
      <c r="N92" s="44"/>
      <c r="O92" s="44"/>
      <c r="P92" s="40"/>
      <c r="Q92" s="40"/>
      <c r="R92" s="40"/>
      <c r="S92" s="40"/>
      <c r="T92" s="40"/>
      <c r="U92" s="40"/>
      <c r="V92" s="40"/>
      <c r="W92" s="44"/>
      <c r="X92" s="44"/>
      <c r="Y92" s="40"/>
      <c r="Z92" s="40"/>
      <c r="AA92" s="40"/>
      <c r="AB92" s="40"/>
      <c r="AC92" s="40"/>
      <c r="AD92" s="40"/>
      <c r="AE92" s="40"/>
      <c r="AF92" s="44"/>
      <c r="AG92" s="44"/>
      <c r="AH92" s="40"/>
      <c r="AI92" s="40"/>
      <c r="AJ92" s="40"/>
      <c r="AK92" s="40"/>
      <c r="AL92" s="40"/>
      <c r="AM92" s="40"/>
      <c r="AN92" s="40"/>
      <c r="AO92" s="40"/>
      <c r="AP92" s="44"/>
      <c r="AQ92" s="44"/>
      <c r="AR92" s="44"/>
      <c r="AS92" s="44"/>
      <c r="AT92" s="44"/>
      <c r="AU92" s="42"/>
      <c r="AV92" s="43"/>
    </row>
    <row r="93" spans="1:48">
      <c r="A93" s="39"/>
      <c r="B93" s="40"/>
      <c r="C93" s="40"/>
      <c r="D93" s="40"/>
      <c r="E93" s="40"/>
      <c r="F93" s="44"/>
      <c r="G93" s="40"/>
      <c r="H93" s="40"/>
      <c r="I93" s="40"/>
      <c r="J93" s="40"/>
      <c r="K93" s="40"/>
      <c r="L93" s="40"/>
      <c r="M93" s="40"/>
      <c r="N93" s="44"/>
      <c r="O93" s="44"/>
      <c r="P93" s="40"/>
      <c r="Q93" s="40"/>
      <c r="R93" s="40"/>
      <c r="S93" s="40"/>
      <c r="T93" s="40"/>
      <c r="U93" s="40"/>
      <c r="V93" s="40"/>
      <c r="W93" s="44"/>
      <c r="X93" s="44"/>
      <c r="Y93" s="40"/>
      <c r="Z93" s="40"/>
      <c r="AA93" s="40"/>
      <c r="AB93" s="40"/>
      <c r="AC93" s="40"/>
      <c r="AD93" s="40"/>
      <c r="AE93" s="40"/>
      <c r="AF93" s="44"/>
      <c r="AG93" s="44"/>
      <c r="AH93" s="40"/>
      <c r="AI93" s="40"/>
      <c r="AJ93" s="40"/>
      <c r="AK93" s="40"/>
      <c r="AL93" s="40"/>
      <c r="AM93" s="40"/>
      <c r="AN93" s="40"/>
      <c r="AO93" s="40"/>
      <c r="AP93" s="44"/>
      <c r="AQ93" s="44"/>
      <c r="AR93" s="44"/>
      <c r="AS93" s="44"/>
      <c r="AT93" s="44"/>
      <c r="AU93" s="42"/>
      <c r="AV93" s="43"/>
    </row>
    <row r="94" spans="1:48">
      <c r="A94" s="39"/>
      <c r="B94" s="40"/>
      <c r="C94" s="40"/>
      <c r="D94" s="40"/>
      <c r="E94" s="40"/>
      <c r="F94" s="44"/>
      <c r="G94" s="40"/>
      <c r="H94" s="40"/>
      <c r="I94" s="40"/>
      <c r="J94" s="40"/>
      <c r="K94" s="40"/>
      <c r="L94" s="40"/>
      <c r="M94" s="40"/>
      <c r="N94" s="44"/>
      <c r="O94" s="44"/>
      <c r="P94" s="40"/>
      <c r="Q94" s="40"/>
      <c r="R94" s="40"/>
      <c r="S94" s="40"/>
      <c r="T94" s="40"/>
      <c r="U94" s="40"/>
      <c r="V94" s="40"/>
      <c r="W94" s="44"/>
      <c r="X94" s="44"/>
      <c r="Y94" s="40"/>
      <c r="Z94" s="40"/>
      <c r="AA94" s="40"/>
      <c r="AB94" s="40"/>
      <c r="AC94" s="40"/>
      <c r="AD94" s="40"/>
      <c r="AE94" s="40"/>
      <c r="AF94" s="44"/>
      <c r="AG94" s="44"/>
      <c r="AH94" s="40"/>
      <c r="AI94" s="40"/>
      <c r="AJ94" s="40"/>
      <c r="AK94" s="40"/>
      <c r="AL94" s="40"/>
      <c r="AM94" s="40"/>
      <c r="AN94" s="40"/>
      <c r="AO94" s="40"/>
      <c r="AP94" s="44"/>
      <c r="AQ94" s="44"/>
      <c r="AR94" s="44"/>
      <c r="AS94" s="44"/>
      <c r="AT94" s="44"/>
      <c r="AU94" s="42"/>
      <c r="AV94" s="43"/>
    </row>
    <row r="95" spans="1:48">
      <c r="A95" s="39"/>
      <c r="B95" s="40"/>
      <c r="C95" s="40"/>
      <c r="D95" s="40"/>
      <c r="E95" s="40"/>
      <c r="F95" s="44"/>
      <c r="G95" s="40"/>
      <c r="H95" s="40"/>
      <c r="I95" s="40"/>
      <c r="J95" s="40"/>
      <c r="K95" s="40"/>
      <c r="L95" s="40"/>
      <c r="M95" s="40"/>
      <c r="N95" s="44"/>
      <c r="O95" s="44"/>
      <c r="P95" s="40"/>
      <c r="Q95" s="40"/>
      <c r="R95" s="40"/>
      <c r="S95" s="40"/>
      <c r="T95" s="40"/>
      <c r="U95" s="40"/>
      <c r="V95" s="40"/>
      <c r="W95" s="44"/>
      <c r="X95" s="44"/>
      <c r="Y95" s="40"/>
      <c r="Z95" s="40"/>
      <c r="AA95" s="40"/>
      <c r="AB95" s="40"/>
      <c r="AC95" s="40"/>
      <c r="AD95" s="40"/>
      <c r="AE95" s="40"/>
      <c r="AF95" s="44"/>
      <c r="AG95" s="44"/>
      <c r="AH95" s="40"/>
      <c r="AI95" s="40"/>
      <c r="AJ95" s="40"/>
      <c r="AK95" s="40"/>
      <c r="AL95" s="40"/>
      <c r="AM95" s="40"/>
      <c r="AN95" s="40"/>
      <c r="AO95" s="40"/>
      <c r="AP95" s="44"/>
      <c r="AQ95" s="44"/>
      <c r="AR95" s="44"/>
      <c r="AS95" s="44"/>
      <c r="AT95" s="44"/>
      <c r="AU95" s="42"/>
      <c r="AV95" s="43"/>
    </row>
    <row r="96" spans="1:48">
      <c r="A96" s="39"/>
      <c r="B96" s="40"/>
      <c r="C96" s="40"/>
      <c r="D96" s="40"/>
      <c r="E96" s="40"/>
      <c r="F96" s="44"/>
      <c r="G96" s="40"/>
      <c r="H96" s="40"/>
      <c r="I96" s="40"/>
      <c r="J96" s="40"/>
      <c r="K96" s="40"/>
      <c r="L96" s="40"/>
      <c r="M96" s="40"/>
      <c r="N96" s="44"/>
      <c r="O96" s="44"/>
      <c r="P96" s="40"/>
      <c r="Q96" s="40"/>
      <c r="R96" s="40"/>
      <c r="S96" s="40"/>
      <c r="T96" s="40"/>
      <c r="U96" s="40"/>
      <c r="V96" s="40"/>
      <c r="W96" s="44"/>
      <c r="X96" s="44"/>
      <c r="Y96" s="40"/>
      <c r="Z96" s="40"/>
      <c r="AA96" s="40"/>
      <c r="AB96" s="40"/>
      <c r="AC96" s="40"/>
      <c r="AD96" s="40"/>
      <c r="AE96" s="40"/>
      <c r="AF96" s="44"/>
      <c r="AG96" s="44"/>
      <c r="AH96" s="40"/>
      <c r="AI96" s="40"/>
      <c r="AJ96" s="40"/>
      <c r="AK96" s="40"/>
      <c r="AL96" s="40"/>
      <c r="AM96" s="40"/>
      <c r="AN96" s="40"/>
      <c r="AO96" s="40"/>
      <c r="AP96" s="44"/>
      <c r="AQ96" s="44"/>
      <c r="AR96" s="44"/>
      <c r="AS96" s="44"/>
      <c r="AT96" s="44"/>
      <c r="AU96" s="42"/>
      <c r="AV96" s="43"/>
    </row>
    <row r="97" spans="1:48">
      <c r="A97" s="39"/>
      <c r="B97" s="40"/>
      <c r="C97" s="40"/>
      <c r="D97" s="40"/>
      <c r="E97" s="40"/>
      <c r="F97" s="44"/>
      <c r="G97" s="40"/>
      <c r="H97" s="40"/>
      <c r="I97" s="40"/>
      <c r="J97" s="40"/>
      <c r="K97" s="40"/>
      <c r="L97" s="40"/>
      <c r="M97" s="40"/>
      <c r="N97" s="44"/>
      <c r="O97" s="44"/>
      <c r="P97" s="40"/>
      <c r="Q97" s="40"/>
      <c r="R97" s="40"/>
      <c r="S97" s="40"/>
      <c r="T97" s="40"/>
      <c r="U97" s="40"/>
      <c r="V97" s="40"/>
      <c r="W97" s="44"/>
      <c r="X97" s="44"/>
      <c r="Y97" s="40"/>
      <c r="Z97" s="40"/>
      <c r="AA97" s="40"/>
      <c r="AB97" s="40"/>
      <c r="AC97" s="40"/>
      <c r="AD97" s="40"/>
      <c r="AE97" s="40"/>
      <c r="AF97" s="44"/>
      <c r="AG97" s="44"/>
      <c r="AH97" s="40"/>
      <c r="AI97" s="40"/>
      <c r="AJ97" s="40"/>
      <c r="AK97" s="40"/>
      <c r="AL97" s="40"/>
      <c r="AM97" s="40"/>
      <c r="AN97" s="40"/>
      <c r="AO97" s="40"/>
      <c r="AP97" s="44"/>
      <c r="AQ97" s="44"/>
      <c r="AR97" s="44"/>
      <c r="AS97" s="44"/>
      <c r="AT97" s="44"/>
      <c r="AU97" s="42"/>
      <c r="AV97" s="43"/>
    </row>
    <row r="98" spans="1:48">
      <c r="A98" s="39"/>
      <c r="B98" s="40"/>
      <c r="C98" s="40"/>
      <c r="D98" s="40"/>
      <c r="E98" s="40"/>
      <c r="F98" s="44"/>
      <c r="G98" s="40"/>
      <c r="H98" s="40"/>
      <c r="I98" s="40"/>
      <c r="J98" s="40"/>
      <c r="K98" s="40"/>
      <c r="L98" s="40"/>
      <c r="M98" s="40"/>
      <c r="N98" s="44"/>
      <c r="O98" s="44"/>
      <c r="P98" s="40"/>
      <c r="Q98" s="40"/>
      <c r="R98" s="40"/>
      <c r="S98" s="40"/>
      <c r="T98" s="40"/>
      <c r="U98" s="40"/>
      <c r="V98" s="40"/>
      <c r="W98" s="44"/>
      <c r="X98" s="44"/>
      <c r="Y98" s="40"/>
      <c r="Z98" s="40"/>
      <c r="AA98" s="40"/>
      <c r="AB98" s="40"/>
      <c r="AC98" s="40"/>
      <c r="AD98" s="40"/>
      <c r="AE98" s="40"/>
      <c r="AF98" s="44"/>
      <c r="AG98" s="44"/>
      <c r="AH98" s="40"/>
      <c r="AI98" s="40"/>
      <c r="AJ98" s="40"/>
      <c r="AK98" s="40"/>
      <c r="AL98" s="40"/>
      <c r="AM98" s="40"/>
      <c r="AN98" s="40"/>
      <c r="AO98" s="40"/>
      <c r="AP98" s="44"/>
      <c r="AQ98" s="44"/>
      <c r="AR98" s="44"/>
      <c r="AS98" s="44"/>
      <c r="AT98" s="44"/>
      <c r="AU98" s="42"/>
      <c r="AV98" s="43"/>
    </row>
    <row r="99" spans="1:48">
      <c r="A99" s="39"/>
      <c r="B99" s="40"/>
      <c r="C99" s="40"/>
      <c r="D99" s="40"/>
      <c r="E99" s="40"/>
      <c r="F99" s="44"/>
      <c r="G99" s="40"/>
      <c r="H99" s="40"/>
      <c r="I99" s="40"/>
      <c r="J99" s="40"/>
      <c r="K99" s="40"/>
      <c r="L99" s="40"/>
      <c r="M99" s="40"/>
      <c r="N99" s="44"/>
      <c r="O99" s="44"/>
      <c r="P99" s="40"/>
      <c r="Q99" s="40"/>
      <c r="R99" s="40"/>
      <c r="S99" s="40"/>
      <c r="T99" s="40"/>
      <c r="U99" s="40"/>
      <c r="V99" s="40"/>
      <c r="W99" s="44"/>
      <c r="X99" s="44"/>
      <c r="Y99" s="40"/>
      <c r="Z99" s="40"/>
      <c r="AA99" s="40"/>
      <c r="AB99" s="40"/>
      <c r="AC99" s="40"/>
      <c r="AD99" s="40"/>
      <c r="AE99" s="40"/>
      <c r="AF99" s="44"/>
      <c r="AG99" s="44"/>
      <c r="AH99" s="40"/>
      <c r="AI99" s="40"/>
      <c r="AJ99" s="40"/>
      <c r="AK99" s="40"/>
      <c r="AL99" s="40"/>
      <c r="AM99" s="40"/>
      <c r="AN99" s="40"/>
      <c r="AO99" s="40"/>
      <c r="AP99" s="44"/>
      <c r="AQ99" s="44"/>
      <c r="AR99" s="44"/>
      <c r="AS99" s="44"/>
      <c r="AT99" s="44"/>
      <c r="AU99" s="42"/>
      <c r="AV99" s="43"/>
    </row>
    <row r="100" spans="1:48">
      <c r="A100" s="39"/>
      <c r="B100" s="40"/>
      <c r="C100" s="40"/>
      <c r="D100" s="40"/>
      <c r="E100" s="40"/>
      <c r="F100" s="44"/>
      <c r="G100" s="40"/>
      <c r="H100" s="40"/>
      <c r="I100" s="40"/>
      <c r="J100" s="40"/>
      <c r="K100" s="40"/>
      <c r="L100" s="40"/>
      <c r="M100" s="40"/>
      <c r="N100" s="44"/>
      <c r="O100" s="44"/>
      <c r="P100" s="40"/>
      <c r="Q100" s="40"/>
      <c r="R100" s="40"/>
      <c r="S100" s="40"/>
      <c r="T100" s="40"/>
      <c r="U100" s="40"/>
      <c r="V100" s="40"/>
      <c r="W100" s="44"/>
      <c r="X100" s="44"/>
      <c r="Y100" s="40"/>
      <c r="Z100" s="40"/>
      <c r="AA100" s="40"/>
      <c r="AB100" s="40"/>
      <c r="AC100" s="40"/>
      <c r="AD100" s="40"/>
      <c r="AE100" s="40"/>
      <c r="AF100" s="44"/>
      <c r="AG100" s="44"/>
      <c r="AH100" s="40"/>
      <c r="AI100" s="40"/>
      <c r="AJ100" s="40"/>
      <c r="AK100" s="40"/>
      <c r="AL100" s="40"/>
      <c r="AM100" s="40"/>
      <c r="AN100" s="40"/>
      <c r="AO100" s="40"/>
      <c r="AP100" s="44"/>
      <c r="AQ100" s="44"/>
      <c r="AR100" s="44"/>
      <c r="AS100" s="44"/>
      <c r="AT100" s="44"/>
      <c r="AU100" s="42"/>
      <c r="AV100" s="43"/>
    </row>
    <row r="101" spans="1:48">
      <c r="A101" s="39"/>
      <c r="B101" s="40"/>
      <c r="C101" s="40"/>
      <c r="D101" s="40"/>
      <c r="E101" s="40"/>
      <c r="F101" s="44"/>
      <c r="G101" s="40"/>
      <c r="H101" s="40"/>
      <c r="I101" s="40"/>
      <c r="J101" s="40"/>
      <c r="K101" s="40"/>
      <c r="L101" s="40"/>
      <c r="M101" s="40"/>
      <c r="N101" s="44"/>
      <c r="O101" s="44"/>
      <c r="P101" s="40"/>
      <c r="Q101" s="40"/>
      <c r="R101" s="40"/>
      <c r="S101" s="40"/>
      <c r="T101" s="40"/>
      <c r="U101" s="40"/>
      <c r="V101" s="40"/>
      <c r="W101" s="44"/>
      <c r="X101" s="44"/>
      <c r="Y101" s="40"/>
      <c r="Z101" s="40"/>
      <c r="AA101" s="40"/>
      <c r="AB101" s="40"/>
      <c r="AC101" s="40"/>
      <c r="AD101" s="40"/>
      <c r="AE101" s="40"/>
      <c r="AF101" s="44"/>
      <c r="AG101" s="44"/>
      <c r="AH101" s="40"/>
      <c r="AI101" s="40"/>
      <c r="AJ101" s="40"/>
      <c r="AK101" s="40"/>
      <c r="AL101" s="40"/>
      <c r="AM101" s="40"/>
      <c r="AN101" s="40"/>
      <c r="AO101" s="40"/>
      <c r="AP101" s="44"/>
      <c r="AQ101" s="44"/>
      <c r="AR101" s="44"/>
      <c r="AS101" s="44"/>
      <c r="AT101" s="44"/>
      <c r="AU101" s="42"/>
      <c r="AV101" s="43"/>
    </row>
    <row r="102" spans="1:48">
      <c r="A102" s="39"/>
      <c r="B102" s="40"/>
      <c r="C102" s="40"/>
      <c r="D102" s="40"/>
      <c r="E102" s="40"/>
      <c r="F102" s="44"/>
      <c r="G102" s="40"/>
      <c r="H102" s="40"/>
      <c r="I102" s="40"/>
      <c r="J102" s="40"/>
      <c r="K102" s="40"/>
      <c r="L102" s="40"/>
      <c r="M102" s="40"/>
      <c r="N102" s="44"/>
      <c r="O102" s="44"/>
      <c r="P102" s="40"/>
      <c r="Q102" s="40"/>
      <c r="R102" s="40"/>
      <c r="S102" s="40"/>
      <c r="T102" s="40"/>
      <c r="U102" s="40"/>
      <c r="V102" s="40"/>
      <c r="W102" s="44"/>
      <c r="X102" s="44"/>
      <c r="Y102" s="40"/>
      <c r="Z102" s="40"/>
      <c r="AA102" s="40"/>
      <c r="AB102" s="40"/>
      <c r="AC102" s="40"/>
      <c r="AD102" s="40"/>
      <c r="AE102" s="40"/>
      <c r="AF102" s="44"/>
      <c r="AG102" s="44"/>
      <c r="AH102" s="40"/>
      <c r="AI102" s="40"/>
      <c r="AJ102" s="40"/>
      <c r="AK102" s="40"/>
      <c r="AL102" s="40"/>
      <c r="AM102" s="40"/>
      <c r="AN102" s="40"/>
      <c r="AO102" s="40"/>
      <c r="AP102" s="44"/>
      <c r="AQ102" s="44"/>
      <c r="AR102" s="44"/>
      <c r="AS102" s="44"/>
      <c r="AT102" s="44"/>
      <c r="AU102" s="42"/>
      <c r="AV102" s="43"/>
    </row>
    <row r="103" spans="1:48">
      <c r="A103" s="39"/>
      <c r="B103" s="40"/>
      <c r="C103" s="40"/>
      <c r="D103" s="40"/>
      <c r="E103" s="40"/>
      <c r="F103" s="44"/>
      <c r="G103" s="40"/>
      <c r="H103" s="40"/>
      <c r="I103" s="40"/>
      <c r="J103" s="40"/>
      <c r="K103" s="40"/>
      <c r="L103" s="40"/>
      <c r="M103" s="40"/>
      <c r="N103" s="44"/>
      <c r="O103" s="44"/>
      <c r="P103" s="40"/>
      <c r="Q103" s="40"/>
      <c r="R103" s="40"/>
      <c r="S103" s="40"/>
      <c r="T103" s="40"/>
      <c r="U103" s="40"/>
      <c r="V103" s="40"/>
      <c r="W103" s="44"/>
      <c r="X103" s="44"/>
      <c r="Y103" s="40"/>
      <c r="Z103" s="40"/>
      <c r="AA103" s="40"/>
      <c r="AB103" s="40"/>
      <c r="AC103" s="40"/>
      <c r="AD103" s="40"/>
      <c r="AE103" s="40"/>
      <c r="AF103" s="44"/>
      <c r="AG103" s="44"/>
      <c r="AH103" s="40"/>
      <c r="AI103" s="40"/>
      <c r="AJ103" s="40"/>
      <c r="AK103" s="40"/>
      <c r="AL103" s="40"/>
      <c r="AM103" s="40"/>
      <c r="AN103" s="40"/>
      <c r="AO103" s="40"/>
      <c r="AP103" s="44"/>
      <c r="AQ103" s="44"/>
      <c r="AR103" s="44"/>
      <c r="AS103" s="44"/>
      <c r="AT103" s="44"/>
      <c r="AU103" s="42"/>
      <c r="AV103" s="43"/>
    </row>
    <row r="104" spans="1:48">
      <c r="A104" s="39"/>
      <c r="B104" s="40"/>
      <c r="C104" s="40"/>
      <c r="D104" s="40"/>
      <c r="E104" s="40"/>
      <c r="F104" s="44"/>
      <c r="G104" s="40"/>
      <c r="H104" s="40"/>
      <c r="I104" s="40"/>
      <c r="J104" s="40"/>
      <c r="K104" s="40"/>
      <c r="L104" s="40"/>
      <c r="M104" s="40"/>
      <c r="N104" s="44"/>
      <c r="O104" s="44"/>
      <c r="P104" s="40"/>
      <c r="Q104" s="40"/>
      <c r="R104" s="40"/>
      <c r="S104" s="40"/>
      <c r="T104" s="40"/>
      <c r="U104" s="40"/>
      <c r="V104" s="40"/>
      <c r="W104" s="44"/>
      <c r="X104" s="44"/>
      <c r="Y104" s="40"/>
      <c r="Z104" s="40"/>
      <c r="AA104" s="40"/>
      <c r="AB104" s="40"/>
      <c r="AC104" s="40"/>
      <c r="AD104" s="40"/>
      <c r="AE104" s="40"/>
      <c r="AF104" s="44"/>
      <c r="AG104" s="44"/>
      <c r="AH104" s="40"/>
      <c r="AI104" s="40"/>
      <c r="AJ104" s="40"/>
      <c r="AK104" s="40"/>
      <c r="AL104" s="40"/>
      <c r="AM104" s="40"/>
      <c r="AN104" s="40"/>
      <c r="AO104" s="40"/>
      <c r="AP104" s="44"/>
      <c r="AQ104" s="44"/>
      <c r="AR104" s="44"/>
      <c r="AS104" s="44"/>
      <c r="AT104" s="44"/>
      <c r="AU104" s="42"/>
      <c r="AV104" s="43"/>
    </row>
    <row r="105" spans="1:48">
      <c r="A105" s="39"/>
      <c r="B105" s="40"/>
      <c r="C105" s="40"/>
      <c r="D105" s="40"/>
      <c r="E105" s="40"/>
      <c r="F105" s="44"/>
      <c r="G105" s="40"/>
      <c r="H105" s="40"/>
      <c r="I105" s="40"/>
      <c r="J105" s="40"/>
      <c r="K105" s="40"/>
      <c r="L105" s="40"/>
      <c r="M105" s="40"/>
      <c r="N105" s="44"/>
      <c r="O105" s="44"/>
      <c r="P105" s="40"/>
      <c r="Q105" s="40"/>
      <c r="R105" s="40"/>
      <c r="S105" s="40"/>
      <c r="T105" s="40"/>
      <c r="U105" s="40"/>
      <c r="V105" s="40"/>
      <c r="W105" s="44"/>
      <c r="X105" s="44"/>
      <c r="Y105" s="40"/>
      <c r="Z105" s="40"/>
      <c r="AA105" s="40"/>
      <c r="AB105" s="40"/>
      <c r="AC105" s="40"/>
      <c r="AD105" s="40"/>
      <c r="AE105" s="40"/>
      <c r="AF105" s="44"/>
      <c r="AG105" s="44"/>
      <c r="AH105" s="40"/>
      <c r="AI105" s="40"/>
      <c r="AJ105" s="40"/>
      <c r="AK105" s="40"/>
      <c r="AL105" s="40"/>
      <c r="AM105" s="40"/>
      <c r="AN105" s="40"/>
      <c r="AO105" s="40"/>
      <c r="AP105" s="44"/>
      <c r="AQ105" s="44"/>
      <c r="AR105" s="44"/>
      <c r="AS105" s="44"/>
      <c r="AT105" s="44"/>
      <c r="AU105" s="42"/>
      <c r="AV105" s="43"/>
    </row>
    <row r="106" spans="1:48">
      <c r="A106" s="39"/>
      <c r="B106" s="40"/>
      <c r="C106" s="40"/>
      <c r="D106" s="40"/>
      <c r="E106" s="40"/>
      <c r="F106" s="44"/>
      <c r="G106" s="40"/>
      <c r="H106" s="40"/>
      <c r="I106" s="40"/>
      <c r="J106" s="40"/>
      <c r="K106" s="40"/>
      <c r="L106" s="40"/>
      <c r="M106" s="40"/>
      <c r="N106" s="44"/>
      <c r="O106" s="44"/>
      <c r="P106" s="40"/>
      <c r="Q106" s="40"/>
      <c r="R106" s="40"/>
      <c r="S106" s="40"/>
      <c r="T106" s="40"/>
      <c r="U106" s="40"/>
      <c r="V106" s="40"/>
      <c r="W106" s="44"/>
      <c r="X106" s="44"/>
      <c r="Y106" s="40"/>
      <c r="Z106" s="40"/>
      <c r="AA106" s="40"/>
      <c r="AB106" s="40"/>
      <c r="AC106" s="40"/>
      <c r="AD106" s="40"/>
      <c r="AE106" s="40"/>
      <c r="AF106" s="44"/>
      <c r="AG106" s="44"/>
      <c r="AH106" s="40"/>
      <c r="AI106" s="40"/>
      <c r="AJ106" s="40"/>
      <c r="AK106" s="40"/>
      <c r="AL106" s="40"/>
      <c r="AM106" s="40"/>
      <c r="AN106" s="40"/>
      <c r="AO106" s="40"/>
      <c r="AP106" s="44"/>
      <c r="AQ106" s="44"/>
      <c r="AR106" s="44"/>
      <c r="AS106" s="44"/>
      <c r="AT106" s="44"/>
      <c r="AU106" s="42"/>
      <c r="AV106" s="43"/>
    </row>
    <row r="107" spans="1:48">
      <c r="A107" s="39"/>
      <c r="B107" s="40"/>
      <c r="C107" s="40"/>
      <c r="D107" s="40"/>
      <c r="E107" s="40"/>
      <c r="F107" s="44"/>
      <c r="G107" s="40"/>
      <c r="H107" s="40"/>
      <c r="I107" s="40"/>
      <c r="J107" s="40"/>
      <c r="K107" s="40"/>
      <c r="L107" s="40"/>
      <c r="M107" s="40"/>
      <c r="N107" s="44"/>
      <c r="O107" s="44"/>
      <c r="P107" s="40"/>
      <c r="Q107" s="40"/>
      <c r="R107" s="40"/>
      <c r="S107" s="40"/>
      <c r="T107" s="40"/>
      <c r="U107" s="40"/>
      <c r="V107" s="40"/>
      <c r="W107" s="44"/>
      <c r="X107" s="44"/>
      <c r="Y107" s="40"/>
      <c r="Z107" s="40"/>
      <c r="AA107" s="40"/>
      <c r="AB107" s="40"/>
      <c r="AC107" s="40"/>
      <c r="AD107" s="40"/>
      <c r="AE107" s="40"/>
      <c r="AF107" s="44"/>
      <c r="AG107" s="44"/>
      <c r="AH107" s="40"/>
      <c r="AI107" s="40"/>
      <c r="AJ107" s="40"/>
      <c r="AK107" s="40"/>
      <c r="AL107" s="40"/>
      <c r="AM107" s="40"/>
      <c r="AN107" s="40"/>
      <c r="AO107" s="40"/>
      <c r="AP107" s="44"/>
      <c r="AQ107" s="44"/>
      <c r="AR107" s="44"/>
      <c r="AS107" s="44"/>
      <c r="AT107" s="44"/>
      <c r="AU107" s="42"/>
      <c r="AV107" s="43"/>
    </row>
    <row r="108" spans="1:48">
      <c r="A108" s="39"/>
      <c r="B108" s="40"/>
      <c r="C108" s="40"/>
      <c r="D108" s="40"/>
      <c r="E108" s="40"/>
      <c r="F108" s="44"/>
      <c r="G108" s="40"/>
      <c r="H108" s="40"/>
      <c r="I108" s="40"/>
      <c r="J108" s="40"/>
      <c r="K108" s="40"/>
      <c r="L108" s="40"/>
      <c r="M108" s="40"/>
      <c r="N108" s="44"/>
      <c r="O108" s="44"/>
      <c r="P108" s="40"/>
      <c r="Q108" s="40"/>
      <c r="R108" s="40"/>
      <c r="S108" s="40"/>
      <c r="T108" s="40"/>
      <c r="U108" s="40"/>
      <c r="V108" s="40"/>
      <c r="W108" s="44"/>
      <c r="X108" s="44"/>
      <c r="Y108" s="40"/>
      <c r="Z108" s="40"/>
      <c r="AA108" s="40"/>
      <c r="AB108" s="40"/>
      <c r="AC108" s="40"/>
      <c r="AD108" s="40"/>
      <c r="AE108" s="40"/>
      <c r="AF108" s="44"/>
      <c r="AG108" s="44"/>
      <c r="AH108" s="40"/>
      <c r="AI108" s="40"/>
      <c r="AJ108" s="40"/>
      <c r="AK108" s="40"/>
      <c r="AL108" s="40"/>
      <c r="AM108" s="40"/>
      <c r="AN108" s="40"/>
      <c r="AO108" s="40"/>
      <c r="AP108" s="44"/>
      <c r="AQ108" s="44"/>
      <c r="AR108" s="44"/>
      <c r="AS108" s="44"/>
      <c r="AT108" s="44"/>
      <c r="AU108" s="42"/>
      <c r="AV108" s="43"/>
    </row>
    <row r="109" spans="1:48">
      <c r="A109" s="39"/>
      <c r="B109" s="40"/>
      <c r="C109" s="40"/>
      <c r="D109" s="40"/>
      <c r="E109" s="40"/>
      <c r="F109" s="44"/>
      <c r="G109" s="40"/>
      <c r="H109" s="40"/>
      <c r="I109" s="40"/>
      <c r="J109" s="40"/>
      <c r="K109" s="40"/>
      <c r="L109" s="40"/>
      <c r="M109" s="40"/>
      <c r="N109" s="44"/>
      <c r="O109" s="44"/>
      <c r="P109" s="40"/>
      <c r="Q109" s="40"/>
      <c r="R109" s="40"/>
      <c r="S109" s="40"/>
      <c r="T109" s="40"/>
      <c r="U109" s="40"/>
      <c r="V109" s="40"/>
      <c r="W109" s="44"/>
      <c r="X109" s="44"/>
      <c r="Y109" s="40"/>
      <c r="Z109" s="40"/>
      <c r="AA109" s="40"/>
      <c r="AB109" s="40"/>
      <c r="AC109" s="40"/>
      <c r="AD109" s="40"/>
      <c r="AE109" s="40"/>
      <c r="AF109" s="44"/>
      <c r="AG109" s="44"/>
      <c r="AH109" s="40"/>
      <c r="AI109" s="40"/>
      <c r="AJ109" s="40"/>
      <c r="AK109" s="40"/>
      <c r="AL109" s="40"/>
      <c r="AM109" s="40"/>
      <c r="AN109" s="40"/>
      <c r="AO109" s="40"/>
      <c r="AP109" s="44"/>
      <c r="AQ109" s="44"/>
      <c r="AR109" s="44"/>
      <c r="AS109" s="44"/>
      <c r="AT109" s="44"/>
      <c r="AU109" s="42"/>
      <c r="AV109" s="43"/>
    </row>
    <row r="110" spans="1:48">
      <c r="A110" s="39"/>
      <c r="B110" s="40"/>
      <c r="C110" s="40"/>
      <c r="D110" s="40"/>
      <c r="E110" s="40"/>
      <c r="F110" s="44"/>
      <c r="G110" s="40"/>
      <c r="H110" s="40"/>
      <c r="I110" s="40"/>
      <c r="J110" s="40"/>
      <c r="K110" s="40"/>
      <c r="L110" s="40"/>
      <c r="M110" s="40"/>
      <c r="N110" s="44"/>
      <c r="O110" s="44"/>
      <c r="P110" s="40"/>
      <c r="Q110" s="40"/>
      <c r="R110" s="40"/>
      <c r="S110" s="40"/>
      <c r="T110" s="40"/>
      <c r="U110" s="40"/>
      <c r="V110" s="40"/>
      <c r="W110" s="44"/>
      <c r="X110" s="44"/>
      <c r="Y110" s="40"/>
      <c r="Z110" s="40"/>
      <c r="AA110" s="40"/>
      <c r="AB110" s="40"/>
      <c r="AC110" s="40"/>
      <c r="AD110" s="40"/>
      <c r="AE110" s="40"/>
      <c r="AF110" s="44"/>
      <c r="AG110" s="44"/>
      <c r="AH110" s="40"/>
      <c r="AI110" s="40"/>
      <c r="AJ110" s="40"/>
      <c r="AK110" s="40"/>
      <c r="AL110" s="40"/>
      <c r="AM110" s="40"/>
      <c r="AN110" s="40"/>
      <c r="AO110" s="40"/>
      <c r="AP110" s="44"/>
      <c r="AQ110" s="44"/>
      <c r="AR110" s="44"/>
      <c r="AS110" s="44"/>
      <c r="AT110" s="44"/>
      <c r="AU110" s="42"/>
      <c r="AV110" s="43"/>
    </row>
    <row r="111" spans="1:48">
      <c r="A111" s="39"/>
      <c r="B111" s="40"/>
      <c r="C111" s="40"/>
      <c r="D111" s="40"/>
      <c r="E111" s="40"/>
      <c r="F111" s="44"/>
      <c r="G111" s="40"/>
      <c r="H111" s="40"/>
      <c r="I111" s="40"/>
      <c r="J111" s="40"/>
      <c r="K111" s="40"/>
      <c r="L111" s="40"/>
      <c r="M111" s="40"/>
      <c r="N111" s="44"/>
      <c r="O111" s="44"/>
      <c r="P111" s="40"/>
      <c r="Q111" s="40"/>
      <c r="R111" s="40"/>
      <c r="S111" s="40"/>
      <c r="T111" s="40"/>
      <c r="U111" s="40"/>
      <c r="V111" s="40"/>
      <c r="W111" s="44"/>
      <c r="X111" s="44"/>
      <c r="Y111" s="40"/>
      <c r="Z111" s="40"/>
      <c r="AA111" s="40"/>
      <c r="AB111" s="40"/>
      <c r="AC111" s="40"/>
      <c r="AD111" s="40"/>
      <c r="AE111" s="40"/>
      <c r="AF111" s="44"/>
      <c r="AG111" s="44"/>
      <c r="AH111" s="40"/>
      <c r="AI111" s="40"/>
      <c r="AJ111" s="40"/>
      <c r="AK111" s="40"/>
      <c r="AL111" s="40"/>
      <c r="AM111" s="40"/>
      <c r="AN111" s="40"/>
      <c r="AO111" s="40"/>
      <c r="AP111" s="44"/>
      <c r="AQ111" s="44"/>
      <c r="AR111" s="44"/>
      <c r="AS111" s="44"/>
      <c r="AT111" s="44"/>
      <c r="AU111" s="42"/>
      <c r="AV111" s="43"/>
    </row>
    <row r="112" spans="1:48">
      <c r="A112" s="39"/>
      <c r="B112" s="40"/>
      <c r="C112" s="40"/>
      <c r="D112" s="40"/>
      <c r="E112" s="40"/>
      <c r="F112" s="44"/>
      <c r="G112" s="40"/>
      <c r="H112" s="40"/>
      <c r="I112" s="40"/>
      <c r="J112" s="40"/>
      <c r="K112" s="40"/>
      <c r="L112" s="40"/>
      <c r="M112" s="40"/>
      <c r="N112" s="44"/>
      <c r="O112" s="44"/>
      <c r="P112" s="40"/>
      <c r="Q112" s="40"/>
      <c r="R112" s="40"/>
      <c r="S112" s="40"/>
      <c r="T112" s="40"/>
      <c r="U112" s="40"/>
      <c r="V112" s="40"/>
      <c r="W112" s="44"/>
      <c r="X112" s="44"/>
      <c r="Y112" s="40"/>
      <c r="Z112" s="40"/>
      <c r="AA112" s="40"/>
      <c r="AB112" s="40"/>
      <c r="AC112" s="40"/>
      <c r="AD112" s="40"/>
      <c r="AE112" s="40"/>
      <c r="AF112" s="44"/>
      <c r="AG112" s="44"/>
      <c r="AH112" s="40"/>
      <c r="AI112" s="40"/>
      <c r="AJ112" s="40"/>
      <c r="AK112" s="40"/>
      <c r="AL112" s="40"/>
      <c r="AM112" s="40"/>
      <c r="AN112" s="40"/>
      <c r="AO112" s="40"/>
      <c r="AP112" s="44"/>
      <c r="AQ112" s="44"/>
      <c r="AR112" s="44"/>
      <c r="AS112" s="44"/>
      <c r="AT112" s="44"/>
      <c r="AU112" s="42"/>
      <c r="AV112" s="43"/>
    </row>
    <row r="113" spans="1:48">
      <c r="A113" s="39"/>
      <c r="B113" s="40"/>
      <c r="C113" s="40"/>
      <c r="D113" s="40"/>
      <c r="E113" s="40"/>
      <c r="F113" s="44"/>
      <c r="G113" s="40"/>
      <c r="H113" s="40"/>
      <c r="I113" s="40"/>
      <c r="J113" s="40"/>
      <c r="K113" s="40"/>
      <c r="L113" s="40"/>
      <c r="M113" s="40"/>
      <c r="N113" s="44"/>
      <c r="O113" s="44"/>
      <c r="P113" s="40"/>
      <c r="Q113" s="40"/>
      <c r="R113" s="40"/>
      <c r="S113" s="40"/>
      <c r="T113" s="40"/>
      <c r="U113" s="40"/>
      <c r="V113" s="40"/>
      <c r="W113" s="44"/>
      <c r="X113" s="44"/>
      <c r="Y113" s="40"/>
      <c r="Z113" s="40"/>
      <c r="AA113" s="40"/>
      <c r="AB113" s="40"/>
      <c r="AC113" s="40"/>
      <c r="AD113" s="40"/>
      <c r="AE113" s="40"/>
      <c r="AF113" s="44"/>
      <c r="AG113" s="44"/>
      <c r="AH113" s="40"/>
      <c r="AI113" s="40"/>
      <c r="AJ113" s="40"/>
      <c r="AK113" s="40"/>
      <c r="AL113" s="40"/>
      <c r="AM113" s="40"/>
      <c r="AN113" s="40"/>
      <c r="AO113" s="40"/>
      <c r="AP113" s="44"/>
      <c r="AQ113" s="44"/>
      <c r="AR113" s="44"/>
      <c r="AS113" s="44"/>
      <c r="AT113" s="44"/>
      <c r="AU113" s="42"/>
      <c r="AV113" s="43"/>
    </row>
    <row r="114" spans="1:48">
      <c r="A114" s="39"/>
      <c r="B114" s="40"/>
      <c r="C114" s="40"/>
      <c r="D114" s="40"/>
      <c r="E114" s="40"/>
      <c r="F114" s="44"/>
      <c r="G114" s="40"/>
      <c r="H114" s="40"/>
      <c r="I114" s="40"/>
      <c r="J114" s="40"/>
      <c r="K114" s="40"/>
      <c r="L114" s="40"/>
      <c r="M114" s="40"/>
      <c r="N114" s="44"/>
      <c r="O114" s="44"/>
      <c r="P114" s="40"/>
      <c r="Q114" s="40"/>
      <c r="R114" s="40"/>
      <c r="S114" s="40"/>
      <c r="T114" s="40"/>
      <c r="U114" s="40"/>
      <c r="V114" s="40"/>
      <c r="W114" s="44"/>
      <c r="X114" s="44"/>
      <c r="Y114" s="40"/>
      <c r="Z114" s="40"/>
      <c r="AA114" s="40"/>
      <c r="AB114" s="40"/>
      <c r="AC114" s="40"/>
      <c r="AD114" s="40"/>
      <c r="AE114" s="40"/>
      <c r="AF114" s="44"/>
      <c r="AG114" s="44"/>
      <c r="AH114" s="40"/>
      <c r="AI114" s="40"/>
      <c r="AJ114" s="40"/>
      <c r="AK114" s="40"/>
      <c r="AL114" s="40"/>
      <c r="AM114" s="40"/>
      <c r="AN114" s="40"/>
      <c r="AO114" s="40"/>
      <c r="AP114" s="44"/>
      <c r="AQ114" s="44"/>
      <c r="AR114" s="44"/>
      <c r="AS114" s="44"/>
      <c r="AT114" s="44"/>
      <c r="AU114" s="42"/>
      <c r="AV114" s="43"/>
    </row>
    <row r="115" spans="1:48">
      <c r="A115" s="39"/>
      <c r="B115" s="40"/>
      <c r="C115" s="40"/>
      <c r="D115" s="40"/>
      <c r="E115" s="40"/>
      <c r="F115" s="44"/>
      <c r="G115" s="40"/>
      <c r="H115" s="40"/>
      <c r="I115" s="40"/>
      <c r="J115" s="40"/>
      <c r="K115" s="40"/>
      <c r="L115" s="40"/>
      <c r="M115" s="40"/>
      <c r="N115" s="44"/>
      <c r="O115" s="44"/>
      <c r="P115" s="40"/>
      <c r="Q115" s="40"/>
      <c r="R115" s="40"/>
      <c r="S115" s="40"/>
      <c r="T115" s="40"/>
      <c r="U115" s="40"/>
      <c r="V115" s="40"/>
      <c r="W115" s="44"/>
      <c r="X115" s="44"/>
      <c r="Y115" s="40"/>
      <c r="Z115" s="40"/>
      <c r="AA115" s="40"/>
      <c r="AB115" s="40"/>
      <c r="AC115" s="40"/>
      <c r="AD115" s="40"/>
      <c r="AE115" s="40"/>
      <c r="AF115" s="44"/>
      <c r="AG115" s="44"/>
      <c r="AH115" s="40"/>
      <c r="AI115" s="40"/>
      <c r="AJ115" s="40"/>
      <c r="AK115" s="40"/>
      <c r="AL115" s="40"/>
      <c r="AM115" s="40"/>
      <c r="AN115" s="40"/>
      <c r="AO115" s="40"/>
      <c r="AP115" s="44"/>
      <c r="AQ115" s="44"/>
      <c r="AR115" s="44"/>
      <c r="AS115" s="44"/>
      <c r="AT115" s="44"/>
      <c r="AU115" s="42"/>
      <c r="AV115" s="43"/>
    </row>
    <row r="116" spans="1:48">
      <c r="A116" s="39"/>
      <c r="B116" s="40"/>
      <c r="C116" s="40"/>
      <c r="D116" s="40"/>
      <c r="E116" s="40"/>
      <c r="F116" s="44"/>
      <c r="G116" s="40"/>
      <c r="H116" s="40"/>
      <c r="I116" s="40"/>
      <c r="J116" s="40"/>
      <c r="K116" s="40"/>
      <c r="L116" s="40"/>
      <c r="M116" s="40"/>
      <c r="N116" s="44"/>
      <c r="O116" s="44"/>
      <c r="P116" s="40"/>
      <c r="Q116" s="40"/>
      <c r="R116" s="40"/>
      <c r="S116" s="40"/>
      <c r="T116" s="40"/>
      <c r="U116" s="40"/>
      <c r="V116" s="40"/>
      <c r="W116" s="44"/>
      <c r="X116" s="44"/>
      <c r="Y116" s="40"/>
      <c r="Z116" s="40"/>
      <c r="AA116" s="40"/>
      <c r="AB116" s="40"/>
      <c r="AC116" s="40"/>
      <c r="AD116" s="40"/>
      <c r="AE116" s="40"/>
      <c r="AF116" s="44"/>
      <c r="AG116" s="44"/>
      <c r="AH116" s="40"/>
      <c r="AI116" s="40"/>
      <c r="AJ116" s="40"/>
      <c r="AK116" s="40"/>
      <c r="AL116" s="40"/>
      <c r="AM116" s="40"/>
      <c r="AN116" s="40"/>
      <c r="AO116" s="40"/>
      <c r="AP116" s="44"/>
      <c r="AQ116" s="44"/>
      <c r="AR116" s="44"/>
      <c r="AS116" s="44"/>
      <c r="AT116" s="44"/>
      <c r="AU116" s="42"/>
      <c r="AV116" s="43"/>
    </row>
    <row r="117" spans="1:48">
      <c r="A117" s="39"/>
      <c r="B117" s="40"/>
      <c r="C117" s="40"/>
      <c r="D117" s="40"/>
      <c r="E117" s="40"/>
      <c r="F117" s="44"/>
      <c r="G117" s="40"/>
      <c r="H117" s="40"/>
      <c r="I117" s="40"/>
      <c r="J117" s="40"/>
      <c r="K117" s="40"/>
      <c r="L117" s="40"/>
      <c r="M117" s="40"/>
      <c r="N117" s="44"/>
      <c r="O117" s="44"/>
      <c r="P117" s="40"/>
      <c r="Q117" s="40"/>
      <c r="R117" s="40"/>
      <c r="S117" s="40"/>
      <c r="T117" s="40"/>
      <c r="U117" s="40"/>
      <c r="V117" s="40"/>
      <c r="W117" s="44"/>
      <c r="X117" s="44"/>
      <c r="Y117" s="40"/>
      <c r="Z117" s="40"/>
      <c r="AA117" s="40"/>
      <c r="AB117" s="40"/>
      <c r="AC117" s="40"/>
      <c r="AD117" s="40"/>
      <c r="AE117" s="40"/>
      <c r="AF117" s="44"/>
      <c r="AG117" s="44"/>
      <c r="AH117" s="40"/>
      <c r="AI117" s="40"/>
      <c r="AJ117" s="40"/>
      <c r="AK117" s="40"/>
      <c r="AL117" s="40"/>
      <c r="AM117" s="40"/>
      <c r="AN117" s="40"/>
      <c r="AO117" s="40"/>
      <c r="AP117" s="44"/>
      <c r="AQ117" s="44"/>
      <c r="AR117" s="44"/>
      <c r="AS117" s="44"/>
      <c r="AT117" s="44"/>
      <c r="AU117" s="42"/>
      <c r="AV117" s="43"/>
    </row>
    <row r="118" spans="1:48">
      <c r="A118" s="39"/>
      <c r="B118" s="40"/>
      <c r="C118" s="40"/>
      <c r="D118" s="40"/>
      <c r="E118" s="40"/>
      <c r="F118" s="44"/>
      <c r="G118" s="40"/>
      <c r="H118" s="40"/>
      <c r="I118" s="40"/>
      <c r="J118" s="40"/>
      <c r="K118" s="40"/>
      <c r="L118" s="40"/>
      <c r="M118" s="40"/>
      <c r="N118" s="44"/>
      <c r="O118" s="44"/>
      <c r="P118" s="40"/>
      <c r="Q118" s="40"/>
      <c r="R118" s="40"/>
      <c r="S118" s="40"/>
      <c r="T118" s="40"/>
      <c r="U118" s="40"/>
      <c r="V118" s="40"/>
      <c r="W118" s="44"/>
      <c r="X118" s="44"/>
      <c r="Y118" s="40"/>
      <c r="Z118" s="40"/>
      <c r="AA118" s="40"/>
      <c r="AB118" s="40"/>
      <c r="AC118" s="40"/>
      <c r="AD118" s="40"/>
      <c r="AE118" s="40"/>
      <c r="AF118" s="44"/>
      <c r="AG118" s="44"/>
      <c r="AH118" s="40"/>
      <c r="AI118" s="40"/>
      <c r="AJ118" s="40"/>
      <c r="AK118" s="40"/>
      <c r="AL118" s="40"/>
      <c r="AM118" s="40"/>
      <c r="AN118" s="40"/>
      <c r="AO118" s="40"/>
      <c r="AP118" s="44"/>
      <c r="AQ118" s="44"/>
      <c r="AR118" s="44"/>
      <c r="AS118" s="44"/>
      <c r="AT118" s="44"/>
      <c r="AU118" s="42"/>
      <c r="AV118" s="43"/>
    </row>
    <row r="119" spans="1:48">
      <c r="A119" s="39"/>
      <c r="B119" s="40"/>
      <c r="C119" s="40"/>
      <c r="D119" s="40"/>
      <c r="E119" s="40"/>
      <c r="F119" s="44"/>
      <c r="G119" s="40"/>
      <c r="H119" s="40"/>
      <c r="I119" s="40"/>
      <c r="J119" s="40"/>
      <c r="K119" s="40"/>
      <c r="L119" s="40"/>
      <c r="M119" s="40"/>
      <c r="N119" s="44"/>
      <c r="O119" s="44"/>
      <c r="P119" s="40"/>
      <c r="Q119" s="40"/>
      <c r="R119" s="40"/>
      <c r="S119" s="40"/>
      <c r="T119" s="40"/>
      <c r="U119" s="40"/>
      <c r="V119" s="40"/>
      <c r="W119" s="44"/>
      <c r="X119" s="44"/>
      <c r="Y119" s="40"/>
      <c r="Z119" s="40"/>
      <c r="AA119" s="40"/>
      <c r="AB119" s="40"/>
      <c r="AC119" s="40"/>
      <c r="AD119" s="40"/>
      <c r="AE119" s="40"/>
      <c r="AF119" s="44"/>
      <c r="AG119" s="44"/>
      <c r="AH119" s="40"/>
      <c r="AI119" s="40"/>
      <c r="AJ119" s="40"/>
      <c r="AK119" s="40"/>
      <c r="AL119" s="40"/>
      <c r="AM119" s="40"/>
      <c r="AN119" s="40"/>
      <c r="AO119" s="40"/>
      <c r="AP119" s="44"/>
      <c r="AQ119" s="44"/>
      <c r="AR119" s="44"/>
      <c r="AS119" s="44"/>
      <c r="AT119" s="44"/>
      <c r="AU119" s="42"/>
      <c r="AV119" s="43"/>
    </row>
    <row r="120" spans="1:48">
      <c r="A120" s="39"/>
      <c r="B120" s="40"/>
      <c r="C120" s="40"/>
      <c r="D120" s="40"/>
      <c r="E120" s="40"/>
      <c r="F120" s="44"/>
      <c r="G120" s="40"/>
      <c r="H120" s="40"/>
      <c r="I120" s="40"/>
      <c r="J120" s="40"/>
      <c r="K120" s="40"/>
      <c r="L120" s="40"/>
      <c r="M120" s="40"/>
      <c r="N120" s="44"/>
      <c r="O120" s="44"/>
      <c r="P120" s="40"/>
      <c r="Q120" s="40"/>
      <c r="R120" s="40"/>
      <c r="S120" s="40"/>
      <c r="T120" s="40"/>
      <c r="U120" s="40"/>
      <c r="V120" s="40"/>
      <c r="W120" s="44"/>
      <c r="X120" s="44"/>
      <c r="Y120" s="40"/>
      <c r="Z120" s="40"/>
      <c r="AA120" s="40"/>
      <c r="AB120" s="40"/>
      <c r="AC120" s="40"/>
      <c r="AD120" s="40"/>
      <c r="AE120" s="40"/>
      <c r="AF120" s="44"/>
      <c r="AG120" s="44"/>
      <c r="AH120" s="40"/>
      <c r="AI120" s="40"/>
      <c r="AJ120" s="40"/>
      <c r="AK120" s="40"/>
      <c r="AL120" s="40"/>
      <c r="AM120" s="40"/>
      <c r="AN120" s="40"/>
      <c r="AO120" s="40"/>
      <c r="AP120" s="44"/>
      <c r="AQ120" s="44"/>
      <c r="AR120" s="44"/>
      <c r="AS120" s="44"/>
      <c r="AT120" s="44"/>
      <c r="AU120" s="42"/>
      <c r="AV120" s="43"/>
    </row>
    <row r="121" spans="1:48">
      <c r="A121" s="39"/>
      <c r="B121" s="40"/>
      <c r="C121" s="40"/>
      <c r="D121" s="40"/>
      <c r="E121" s="40"/>
      <c r="F121" s="44"/>
      <c r="G121" s="40"/>
      <c r="H121" s="40"/>
      <c r="I121" s="40"/>
      <c r="J121" s="40"/>
      <c r="K121" s="40"/>
      <c r="L121" s="40"/>
      <c r="M121" s="40"/>
      <c r="N121" s="44"/>
      <c r="O121" s="44"/>
      <c r="P121" s="40"/>
      <c r="Q121" s="40"/>
      <c r="R121" s="40"/>
      <c r="S121" s="40"/>
      <c r="T121" s="40"/>
      <c r="U121" s="40"/>
      <c r="V121" s="40"/>
      <c r="W121" s="44"/>
      <c r="X121" s="44"/>
      <c r="Y121" s="40"/>
      <c r="Z121" s="40"/>
      <c r="AA121" s="40"/>
      <c r="AB121" s="40"/>
      <c r="AC121" s="40"/>
      <c r="AD121" s="40"/>
      <c r="AE121" s="40"/>
      <c r="AF121" s="44"/>
      <c r="AG121" s="44"/>
      <c r="AH121" s="40"/>
      <c r="AI121" s="40"/>
      <c r="AJ121" s="40"/>
      <c r="AK121" s="40"/>
      <c r="AL121" s="40"/>
      <c r="AM121" s="40"/>
      <c r="AN121" s="40"/>
      <c r="AO121" s="40"/>
      <c r="AP121" s="44"/>
      <c r="AQ121" s="44"/>
      <c r="AR121" s="44"/>
      <c r="AS121" s="44"/>
      <c r="AT121" s="44"/>
      <c r="AU121" s="42"/>
      <c r="AV121" s="43"/>
    </row>
    <row r="122" spans="1:48">
      <c r="A122" s="39"/>
      <c r="B122" s="40"/>
      <c r="C122" s="40"/>
      <c r="D122" s="40"/>
      <c r="E122" s="40"/>
      <c r="F122" s="44"/>
      <c r="G122" s="40"/>
      <c r="H122" s="40"/>
      <c r="I122" s="40"/>
      <c r="J122" s="40"/>
      <c r="K122" s="40"/>
      <c r="L122" s="40"/>
      <c r="M122" s="40"/>
      <c r="N122" s="44"/>
      <c r="O122" s="44"/>
      <c r="P122" s="40"/>
      <c r="Q122" s="40"/>
      <c r="R122" s="40"/>
      <c r="S122" s="40"/>
      <c r="T122" s="40"/>
      <c r="U122" s="40"/>
      <c r="V122" s="40"/>
      <c r="W122" s="44"/>
      <c r="X122" s="44"/>
      <c r="Y122" s="40"/>
      <c r="Z122" s="40"/>
      <c r="AA122" s="40"/>
      <c r="AB122" s="40"/>
      <c r="AC122" s="40"/>
      <c r="AD122" s="40"/>
      <c r="AE122" s="40"/>
      <c r="AF122" s="44"/>
      <c r="AG122" s="44"/>
      <c r="AH122" s="40"/>
      <c r="AI122" s="40"/>
      <c r="AJ122" s="40"/>
      <c r="AK122" s="40"/>
      <c r="AL122" s="40"/>
      <c r="AM122" s="40"/>
      <c r="AN122" s="40"/>
      <c r="AO122" s="40"/>
      <c r="AP122" s="44"/>
      <c r="AQ122" s="44"/>
      <c r="AR122" s="44"/>
      <c r="AS122" s="44"/>
      <c r="AT122" s="44"/>
      <c r="AU122" s="42"/>
      <c r="AV122" s="43"/>
    </row>
    <row r="123" spans="1:48">
      <c r="A123" s="39"/>
      <c r="B123" s="40"/>
      <c r="C123" s="40"/>
      <c r="D123" s="40"/>
      <c r="E123" s="40"/>
      <c r="F123" s="44"/>
      <c r="G123" s="40"/>
      <c r="H123" s="40"/>
      <c r="I123" s="40"/>
      <c r="J123" s="40"/>
      <c r="K123" s="40"/>
      <c r="L123" s="40"/>
      <c r="M123" s="40"/>
      <c r="N123" s="44"/>
      <c r="O123" s="44"/>
      <c r="P123" s="40"/>
      <c r="Q123" s="40"/>
      <c r="R123" s="40"/>
      <c r="S123" s="40"/>
      <c r="T123" s="40"/>
      <c r="U123" s="40"/>
      <c r="V123" s="40"/>
      <c r="W123" s="44"/>
      <c r="X123" s="44"/>
      <c r="Y123" s="40"/>
      <c r="Z123" s="40"/>
      <c r="AA123" s="40"/>
      <c r="AB123" s="40"/>
      <c r="AC123" s="40"/>
      <c r="AD123" s="40"/>
      <c r="AE123" s="40"/>
      <c r="AF123" s="44"/>
      <c r="AG123" s="44"/>
      <c r="AH123" s="40"/>
      <c r="AI123" s="40"/>
      <c r="AJ123" s="40"/>
      <c r="AK123" s="40"/>
      <c r="AL123" s="40"/>
      <c r="AM123" s="40"/>
      <c r="AN123" s="40"/>
      <c r="AO123" s="40"/>
      <c r="AP123" s="44"/>
      <c r="AQ123" s="44"/>
      <c r="AR123" s="44"/>
      <c r="AS123" s="44"/>
      <c r="AT123" s="44"/>
      <c r="AU123" s="42"/>
      <c r="AV123" s="43"/>
    </row>
    <row r="124" spans="1:48">
      <c r="A124" s="39"/>
      <c r="B124" s="40"/>
      <c r="C124" s="40"/>
      <c r="D124" s="40"/>
      <c r="E124" s="40"/>
      <c r="F124" s="44"/>
      <c r="G124" s="40"/>
      <c r="H124" s="40"/>
      <c r="I124" s="40"/>
      <c r="J124" s="40"/>
      <c r="K124" s="40"/>
      <c r="L124" s="40"/>
      <c r="M124" s="40"/>
      <c r="N124" s="44"/>
      <c r="O124" s="44"/>
      <c r="P124" s="40"/>
      <c r="Q124" s="40"/>
      <c r="R124" s="40"/>
      <c r="S124" s="40"/>
      <c r="T124" s="40"/>
      <c r="U124" s="40"/>
      <c r="V124" s="40"/>
      <c r="W124" s="44"/>
      <c r="X124" s="44"/>
      <c r="Y124" s="40"/>
      <c r="Z124" s="40"/>
      <c r="AA124" s="40"/>
      <c r="AB124" s="40"/>
      <c r="AC124" s="40"/>
      <c r="AD124" s="40"/>
      <c r="AE124" s="40"/>
      <c r="AF124" s="44"/>
      <c r="AG124" s="44"/>
      <c r="AH124" s="40"/>
      <c r="AI124" s="40"/>
      <c r="AJ124" s="40"/>
      <c r="AK124" s="40"/>
      <c r="AL124" s="40"/>
      <c r="AM124" s="40"/>
      <c r="AN124" s="40"/>
      <c r="AO124" s="40"/>
      <c r="AP124" s="44"/>
      <c r="AQ124" s="44"/>
      <c r="AR124" s="44"/>
      <c r="AS124" s="44"/>
      <c r="AT124" s="44"/>
      <c r="AU124" s="42"/>
      <c r="AV124" s="43"/>
    </row>
    <row r="125" spans="1:48">
      <c r="A125" s="39"/>
      <c r="B125" s="40"/>
      <c r="C125" s="40"/>
      <c r="D125" s="40"/>
      <c r="E125" s="40"/>
      <c r="F125" s="44"/>
      <c r="G125" s="40"/>
      <c r="H125" s="40"/>
      <c r="I125" s="40"/>
      <c r="J125" s="40"/>
      <c r="K125" s="40"/>
      <c r="L125" s="40"/>
      <c r="M125" s="40"/>
      <c r="N125" s="44"/>
      <c r="O125" s="44"/>
      <c r="P125" s="40"/>
      <c r="Q125" s="40"/>
      <c r="R125" s="40"/>
      <c r="S125" s="40"/>
      <c r="T125" s="40"/>
      <c r="U125" s="40"/>
      <c r="V125" s="40"/>
      <c r="W125" s="44"/>
      <c r="X125" s="44"/>
      <c r="Y125" s="40"/>
      <c r="Z125" s="40"/>
      <c r="AA125" s="40"/>
      <c r="AB125" s="40"/>
      <c r="AC125" s="40"/>
      <c r="AD125" s="40"/>
      <c r="AE125" s="40"/>
      <c r="AF125" s="44"/>
      <c r="AG125" s="44"/>
      <c r="AH125" s="40"/>
      <c r="AI125" s="40"/>
      <c r="AJ125" s="40"/>
      <c r="AK125" s="40"/>
      <c r="AL125" s="40"/>
      <c r="AM125" s="40"/>
      <c r="AN125" s="40"/>
      <c r="AO125" s="40"/>
      <c r="AP125" s="44"/>
      <c r="AQ125" s="44"/>
      <c r="AR125" s="44"/>
      <c r="AS125" s="44"/>
      <c r="AT125" s="44"/>
      <c r="AU125" s="42"/>
      <c r="AV125" s="43"/>
    </row>
    <row r="126" spans="1:48">
      <c r="A126" s="39"/>
      <c r="B126" s="40"/>
      <c r="C126" s="40"/>
      <c r="D126" s="40"/>
      <c r="E126" s="40"/>
      <c r="F126" s="44"/>
      <c r="G126" s="40"/>
      <c r="H126" s="40"/>
      <c r="I126" s="40"/>
      <c r="J126" s="40"/>
      <c r="K126" s="40"/>
      <c r="L126" s="40"/>
      <c r="M126" s="40"/>
      <c r="N126" s="44"/>
      <c r="O126" s="44"/>
      <c r="P126" s="40"/>
      <c r="Q126" s="40"/>
      <c r="R126" s="40"/>
      <c r="S126" s="40"/>
      <c r="T126" s="40"/>
      <c r="U126" s="40"/>
      <c r="V126" s="40"/>
      <c r="W126" s="44"/>
      <c r="X126" s="44"/>
      <c r="Y126" s="40"/>
      <c r="Z126" s="40"/>
      <c r="AA126" s="40"/>
      <c r="AB126" s="40"/>
      <c r="AC126" s="40"/>
      <c r="AD126" s="40"/>
      <c r="AE126" s="40"/>
      <c r="AF126" s="44"/>
      <c r="AG126" s="44"/>
      <c r="AH126" s="40"/>
      <c r="AI126" s="40"/>
      <c r="AJ126" s="40"/>
      <c r="AK126" s="40"/>
      <c r="AL126" s="40"/>
      <c r="AM126" s="40"/>
      <c r="AN126" s="40"/>
      <c r="AO126" s="40"/>
      <c r="AP126" s="44"/>
      <c r="AQ126" s="44"/>
      <c r="AR126" s="44"/>
      <c r="AS126" s="44"/>
      <c r="AT126" s="44"/>
      <c r="AU126" s="42"/>
      <c r="AV126" s="43"/>
    </row>
    <row r="127" spans="1:48">
      <c r="A127" s="39"/>
      <c r="B127" s="40"/>
      <c r="C127" s="40"/>
      <c r="D127" s="40"/>
      <c r="E127" s="40"/>
      <c r="F127" s="44"/>
      <c r="G127" s="40"/>
      <c r="H127" s="40"/>
      <c r="I127" s="40"/>
      <c r="J127" s="40"/>
      <c r="K127" s="40"/>
      <c r="L127" s="40"/>
      <c r="M127" s="40"/>
      <c r="N127" s="44"/>
      <c r="O127" s="44"/>
      <c r="P127" s="40"/>
      <c r="Q127" s="40"/>
      <c r="R127" s="40"/>
      <c r="S127" s="40"/>
      <c r="T127" s="40"/>
      <c r="U127" s="40"/>
      <c r="V127" s="40"/>
      <c r="W127" s="44"/>
      <c r="X127" s="44"/>
      <c r="Y127" s="40"/>
      <c r="Z127" s="40"/>
      <c r="AA127" s="40"/>
      <c r="AB127" s="40"/>
      <c r="AC127" s="40"/>
      <c r="AD127" s="40"/>
      <c r="AE127" s="40"/>
      <c r="AF127" s="44"/>
      <c r="AG127" s="44"/>
      <c r="AH127" s="40"/>
      <c r="AI127" s="40"/>
      <c r="AJ127" s="40"/>
      <c r="AK127" s="40"/>
      <c r="AL127" s="40"/>
      <c r="AM127" s="40"/>
      <c r="AN127" s="40"/>
      <c r="AO127" s="40"/>
      <c r="AP127" s="44"/>
      <c r="AQ127" s="44"/>
      <c r="AR127" s="44"/>
      <c r="AS127" s="44"/>
      <c r="AT127" s="44"/>
      <c r="AU127" s="42"/>
      <c r="AV127" s="43"/>
    </row>
    <row r="128" spans="1:48">
      <c r="A128" s="39"/>
      <c r="B128" s="40"/>
      <c r="C128" s="40"/>
      <c r="D128" s="40"/>
      <c r="E128" s="40"/>
      <c r="F128" s="44"/>
      <c r="G128" s="40"/>
      <c r="H128" s="40"/>
      <c r="I128" s="40"/>
      <c r="J128" s="40"/>
      <c r="K128" s="40"/>
      <c r="L128" s="40"/>
      <c r="M128" s="40"/>
      <c r="N128" s="44"/>
      <c r="O128" s="44"/>
      <c r="P128" s="40"/>
      <c r="Q128" s="40"/>
      <c r="R128" s="40"/>
      <c r="S128" s="40"/>
      <c r="T128" s="40"/>
      <c r="U128" s="40"/>
      <c r="V128" s="40"/>
      <c r="W128" s="44"/>
      <c r="X128" s="44"/>
      <c r="Y128" s="40"/>
      <c r="Z128" s="40"/>
      <c r="AA128" s="40"/>
      <c r="AB128" s="40"/>
      <c r="AC128" s="40"/>
      <c r="AD128" s="40"/>
      <c r="AE128" s="40"/>
      <c r="AF128" s="44"/>
      <c r="AG128" s="44"/>
      <c r="AH128" s="40"/>
      <c r="AI128" s="40"/>
      <c r="AJ128" s="40"/>
      <c r="AK128" s="40"/>
      <c r="AL128" s="40"/>
      <c r="AM128" s="40"/>
      <c r="AN128" s="40"/>
      <c r="AO128" s="40"/>
      <c r="AP128" s="44"/>
      <c r="AQ128" s="44"/>
      <c r="AR128" s="44"/>
      <c r="AS128" s="44"/>
      <c r="AT128" s="44"/>
      <c r="AU128" s="42"/>
      <c r="AV128" s="43"/>
    </row>
    <row r="129" spans="1:48">
      <c r="A129" s="39"/>
      <c r="B129" s="40"/>
      <c r="C129" s="40"/>
      <c r="D129" s="40"/>
      <c r="E129" s="40"/>
      <c r="F129" s="44"/>
      <c r="G129" s="40"/>
      <c r="H129" s="40"/>
      <c r="I129" s="40"/>
      <c r="J129" s="40"/>
      <c r="K129" s="40"/>
      <c r="L129" s="40"/>
      <c r="M129" s="40"/>
      <c r="N129" s="44"/>
      <c r="O129" s="44"/>
      <c r="P129" s="40"/>
      <c r="Q129" s="40"/>
      <c r="R129" s="40"/>
      <c r="S129" s="40"/>
      <c r="T129" s="40"/>
      <c r="U129" s="40"/>
      <c r="V129" s="40"/>
      <c r="W129" s="44"/>
      <c r="X129" s="44"/>
      <c r="Y129" s="40"/>
      <c r="Z129" s="40"/>
      <c r="AA129" s="40"/>
      <c r="AB129" s="40"/>
      <c r="AC129" s="40"/>
      <c r="AD129" s="40"/>
      <c r="AE129" s="40"/>
      <c r="AF129" s="44"/>
      <c r="AG129" s="44"/>
      <c r="AH129" s="40"/>
      <c r="AI129" s="40"/>
      <c r="AJ129" s="40"/>
      <c r="AK129" s="40"/>
      <c r="AL129" s="40"/>
      <c r="AM129" s="40"/>
      <c r="AN129" s="40"/>
      <c r="AO129" s="40"/>
      <c r="AP129" s="44"/>
      <c r="AQ129" s="44"/>
      <c r="AR129" s="44"/>
      <c r="AS129" s="44"/>
      <c r="AT129" s="44"/>
      <c r="AU129" s="42"/>
      <c r="AV129" s="43"/>
    </row>
    <row r="130" spans="1:48">
      <c r="A130" s="39"/>
      <c r="B130" s="40"/>
      <c r="C130" s="40"/>
      <c r="D130" s="40"/>
      <c r="E130" s="40"/>
      <c r="F130" s="44"/>
      <c r="G130" s="40"/>
      <c r="H130" s="40"/>
      <c r="I130" s="40"/>
      <c r="J130" s="40"/>
      <c r="K130" s="40"/>
      <c r="L130" s="40"/>
      <c r="M130" s="40"/>
      <c r="N130" s="44"/>
      <c r="O130" s="44"/>
      <c r="P130" s="40"/>
      <c r="Q130" s="40"/>
      <c r="R130" s="40"/>
      <c r="S130" s="40"/>
      <c r="T130" s="40"/>
      <c r="U130" s="40"/>
      <c r="V130" s="40"/>
      <c r="W130" s="44"/>
      <c r="X130" s="44"/>
      <c r="Y130" s="40"/>
      <c r="Z130" s="40"/>
      <c r="AA130" s="40"/>
      <c r="AB130" s="40"/>
      <c r="AC130" s="40"/>
      <c r="AD130" s="40"/>
      <c r="AE130" s="40"/>
      <c r="AF130" s="44"/>
      <c r="AG130" s="44"/>
      <c r="AH130" s="40"/>
      <c r="AI130" s="40"/>
      <c r="AJ130" s="40"/>
      <c r="AK130" s="40"/>
      <c r="AL130" s="40"/>
      <c r="AM130" s="40"/>
      <c r="AN130" s="40"/>
      <c r="AO130" s="40"/>
      <c r="AP130" s="44"/>
      <c r="AQ130" s="44"/>
      <c r="AR130" s="44"/>
      <c r="AS130" s="44"/>
      <c r="AT130" s="44"/>
      <c r="AU130" s="42"/>
      <c r="AV130" s="43"/>
    </row>
    <row r="131" spans="1:48">
      <c r="A131" s="39"/>
      <c r="B131" s="40"/>
      <c r="C131" s="40"/>
      <c r="D131" s="40"/>
      <c r="E131" s="40"/>
      <c r="F131" s="44"/>
      <c r="G131" s="40"/>
      <c r="H131" s="40"/>
      <c r="I131" s="40"/>
      <c r="J131" s="40"/>
      <c r="K131" s="40"/>
      <c r="L131" s="40"/>
      <c r="M131" s="40"/>
      <c r="N131" s="44"/>
      <c r="O131" s="44"/>
      <c r="P131" s="40"/>
      <c r="Q131" s="40"/>
      <c r="R131" s="40"/>
      <c r="S131" s="40"/>
      <c r="T131" s="40"/>
      <c r="U131" s="40"/>
      <c r="V131" s="40"/>
      <c r="W131" s="44"/>
      <c r="X131" s="44"/>
      <c r="Y131" s="40"/>
      <c r="Z131" s="40"/>
      <c r="AA131" s="40"/>
      <c r="AB131" s="40"/>
      <c r="AC131" s="40"/>
      <c r="AD131" s="40"/>
      <c r="AE131" s="40"/>
      <c r="AF131" s="44"/>
      <c r="AG131" s="44"/>
      <c r="AH131" s="40"/>
      <c r="AI131" s="40"/>
      <c r="AJ131" s="40"/>
      <c r="AK131" s="40"/>
      <c r="AL131" s="40"/>
      <c r="AM131" s="40"/>
      <c r="AN131" s="40"/>
      <c r="AO131" s="40"/>
      <c r="AP131" s="44"/>
      <c r="AQ131" s="44"/>
      <c r="AR131" s="44"/>
      <c r="AS131" s="44"/>
      <c r="AT131" s="44"/>
      <c r="AU131" s="42"/>
      <c r="AV131" s="43"/>
    </row>
    <row r="132" spans="1:48">
      <c r="A132" s="39"/>
      <c r="B132" s="40"/>
      <c r="C132" s="40"/>
      <c r="D132" s="40"/>
      <c r="E132" s="40"/>
      <c r="F132" s="44"/>
      <c r="G132" s="40"/>
      <c r="H132" s="40"/>
      <c r="I132" s="40"/>
      <c r="J132" s="40"/>
      <c r="K132" s="40"/>
      <c r="L132" s="40"/>
      <c r="M132" s="40"/>
      <c r="N132" s="44"/>
      <c r="O132" s="44"/>
      <c r="P132" s="40"/>
      <c r="Q132" s="40"/>
      <c r="R132" s="40"/>
      <c r="S132" s="40"/>
      <c r="T132" s="40"/>
      <c r="U132" s="40"/>
      <c r="V132" s="40"/>
      <c r="W132" s="44"/>
      <c r="X132" s="44"/>
      <c r="Y132" s="40"/>
      <c r="Z132" s="40"/>
      <c r="AA132" s="40"/>
      <c r="AB132" s="40"/>
      <c r="AC132" s="40"/>
      <c r="AD132" s="40"/>
      <c r="AE132" s="40"/>
      <c r="AF132" s="44"/>
      <c r="AG132" s="44"/>
      <c r="AH132" s="40"/>
      <c r="AI132" s="40"/>
      <c r="AJ132" s="40"/>
      <c r="AK132" s="40"/>
      <c r="AL132" s="40"/>
      <c r="AM132" s="40"/>
      <c r="AN132" s="40"/>
      <c r="AO132" s="40"/>
      <c r="AP132" s="44"/>
      <c r="AQ132" s="44"/>
      <c r="AR132" s="44"/>
      <c r="AS132" s="44"/>
      <c r="AT132" s="44"/>
      <c r="AU132" s="42"/>
      <c r="AV132" s="43"/>
    </row>
    <row r="133" spans="1:48">
      <c r="A133" s="39"/>
      <c r="B133" s="40"/>
      <c r="C133" s="40"/>
      <c r="D133" s="40"/>
      <c r="E133" s="40"/>
      <c r="F133" s="44"/>
      <c r="G133" s="40"/>
      <c r="H133" s="40"/>
      <c r="I133" s="40"/>
      <c r="J133" s="40"/>
      <c r="K133" s="40"/>
      <c r="L133" s="40"/>
      <c r="M133" s="40"/>
      <c r="N133" s="44"/>
      <c r="O133" s="44"/>
      <c r="P133" s="40"/>
      <c r="Q133" s="40"/>
      <c r="R133" s="40"/>
      <c r="S133" s="40"/>
      <c r="T133" s="40"/>
      <c r="U133" s="40"/>
      <c r="V133" s="40"/>
      <c r="W133" s="44"/>
      <c r="X133" s="44"/>
      <c r="Y133" s="40"/>
      <c r="Z133" s="40"/>
      <c r="AA133" s="40"/>
      <c r="AB133" s="40"/>
      <c r="AC133" s="40"/>
      <c r="AD133" s="40"/>
      <c r="AE133" s="40"/>
      <c r="AF133" s="44"/>
      <c r="AG133" s="44"/>
      <c r="AH133" s="40"/>
      <c r="AI133" s="40"/>
      <c r="AJ133" s="40"/>
      <c r="AK133" s="40"/>
      <c r="AL133" s="40"/>
      <c r="AM133" s="40"/>
      <c r="AN133" s="40"/>
      <c r="AO133" s="40"/>
      <c r="AP133" s="44"/>
      <c r="AQ133" s="44"/>
      <c r="AR133" s="44"/>
      <c r="AS133" s="44"/>
      <c r="AT133" s="44"/>
      <c r="AU133" s="42"/>
      <c r="AV133" s="43"/>
    </row>
    <row r="134" spans="1:48">
      <c r="A134" s="39"/>
      <c r="B134" s="40"/>
      <c r="C134" s="40"/>
      <c r="D134" s="40"/>
      <c r="E134" s="40"/>
      <c r="F134" s="44"/>
      <c r="G134" s="40"/>
      <c r="H134" s="40"/>
      <c r="I134" s="40"/>
      <c r="J134" s="40"/>
      <c r="K134" s="40"/>
      <c r="L134" s="40"/>
      <c r="M134" s="40"/>
      <c r="N134" s="44"/>
      <c r="O134" s="44"/>
      <c r="P134" s="40"/>
      <c r="Q134" s="40"/>
      <c r="R134" s="40"/>
      <c r="S134" s="40"/>
      <c r="T134" s="40"/>
      <c r="U134" s="40"/>
      <c r="V134" s="40"/>
      <c r="W134" s="44"/>
      <c r="X134" s="44"/>
      <c r="Y134" s="40"/>
      <c r="Z134" s="40"/>
      <c r="AA134" s="40"/>
      <c r="AB134" s="40"/>
      <c r="AC134" s="40"/>
      <c r="AD134" s="40"/>
      <c r="AE134" s="40"/>
      <c r="AF134" s="44"/>
      <c r="AG134" s="44"/>
      <c r="AH134" s="40"/>
      <c r="AI134" s="40"/>
      <c r="AJ134" s="40"/>
      <c r="AK134" s="40"/>
      <c r="AL134" s="40"/>
      <c r="AM134" s="40"/>
      <c r="AN134" s="40"/>
      <c r="AO134" s="40"/>
      <c r="AP134" s="44"/>
      <c r="AQ134" s="44"/>
      <c r="AR134" s="44"/>
      <c r="AS134" s="44"/>
      <c r="AT134" s="44"/>
      <c r="AU134" s="42"/>
      <c r="AV134" s="43"/>
    </row>
    <row r="135" spans="1:48">
      <c r="A135" s="39"/>
      <c r="B135" s="40"/>
      <c r="C135" s="40"/>
      <c r="D135" s="40"/>
      <c r="E135" s="40"/>
      <c r="F135" s="44"/>
      <c r="G135" s="40"/>
      <c r="H135" s="40"/>
      <c r="I135" s="40"/>
      <c r="J135" s="40"/>
      <c r="K135" s="40"/>
      <c r="L135" s="40"/>
      <c r="M135" s="40"/>
      <c r="N135" s="44"/>
      <c r="O135" s="44"/>
      <c r="P135" s="40"/>
      <c r="Q135" s="40"/>
      <c r="R135" s="40"/>
      <c r="S135" s="40"/>
      <c r="T135" s="40"/>
      <c r="U135" s="40"/>
      <c r="V135" s="40"/>
      <c r="W135" s="44"/>
      <c r="X135" s="44"/>
      <c r="Y135" s="40"/>
      <c r="Z135" s="40"/>
      <c r="AA135" s="40"/>
      <c r="AB135" s="40"/>
      <c r="AC135" s="40"/>
      <c r="AD135" s="40"/>
      <c r="AE135" s="40"/>
      <c r="AF135" s="44"/>
      <c r="AG135" s="44"/>
      <c r="AH135" s="40"/>
      <c r="AI135" s="40"/>
      <c r="AJ135" s="40"/>
      <c r="AK135" s="40"/>
      <c r="AL135" s="40"/>
      <c r="AM135" s="40"/>
      <c r="AN135" s="40"/>
      <c r="AO135" s="40"/>
      <c r="AP135" s="44"/>
      <c r="AQ135" s="44"/>
      <c r="AR135" s="44"/>
      <c r="AS135" s="44"/>
      <c r="AT135" s="44"/>
      <c r="AU135" s="42"/>
      <c r="AV135" s="43"/>
    </row>
    <row r="136" spans="1:48">
      <c r="A136" s="39"/>
      <c r="B136" s="40"/>
      <c r="C136" s="40"/>
      <c r="D136" s="40"/>
      <c r="E136" s="40"/>
      <c r="F136" s="44"/>
      <c r="G136" s="40"/>
      <c r="H136" s="40"/>
      <c r="I136" s="40"/>
      <c r="J136" s="40"/>
      <c r="K136" s="40"/>
      <c r="L136" s="40"/>
      <c r="M136" s="40"/>
      <c r="N136" s="44"/>
      <c r="O136" s="44"/>
      <c r="P136" s="40"/>
      <c r="Q136" s="40"/>
      <c r="R136" s="40"/>
      <c r="S136" s="40"/>
      <c r="T136" s="40"/>
      <c r="U136" s="40"/>
      <c r="V136" s="40"/>
      <c r="W136" s="44"/>
      <c r="X136" s="44"/>
      <c r="Y136" s="40"/>
      <c r="Z136" s="40"/>
      <c r="AA136" s="40"/>
      <c r="AB136" s="40"/>
      <c r="AC136" s="40"/>
      <c r="AD136" s="40"/>
      <c r="AE136" s="40"/>
      <c r="AF136" s="44"/>
      <c r="AG136" s="44"/>
      <c r="AH136" s="40"/>
      <c r="AI136" s="40"/>
      <c r="AJ136" s="40"/>
      <c r="AK136" s="40"/>
      <c r="AL136" s="40"/>
      <c r="AM136" s="40"/>
      <c r="AN136" s="40"/>
      <c r="AO136" s="40"/>
      <c r="AP136" s="44"/>
      <c r="AQ136" s="44"/>
      <c r="AR136" s="44"/>
      <c r="AS136" s="44"/>
      <c r="AT136" s="44"/>
      <c r="AU136" s="42"/>
      <c r="AV136" s="43"/>
    </row>
    <row r="137" spans="1:48">
      <c r="A137" s="39"/>
      <c r="B137" s="40"/>
      <c r="C137" s="40"/>
      <c r="D137" s="40"/>
      <c r="E137" s="40"/>
      <c r="F137" s="44"/>
      <c r="G137" s="40"/>
      <c r="H137" s="40"/>
      <c r="I137" s="40"/>
      <c r="J137" s="40"/>
      <c r="K137" s="40"/>
      <c r="L137" s="40"/>
      <c r="M137" s="40"/>
      <c r="N137" s="44"/>
      <c r="O137" s="44"/>
      <c r="P137" s="40"/>
      <c r="Q137" s="40"/>
      <c r="R137" s="40"/>
      <c r="S137" s="40"/>
      <c r="T137" s="40"/>
      <c r="U137" s="40"/>
      <c r="V137" s="40"/>
      <c r="W137" s="44"/>
      <c r="X137" s="44"/>
      <c r="Y137" s="40"/>
      <c r="Z137" s="40"/>
      <c r="AA137" s="40"/>
      <c r="AB137" s="40"/>
      <c r="AC137" s="40"/>
      <c r="AD137" s="40"/>
      <c r="AE137" s="40"/>
      <c r="AF137" s="44"/>
      <c r="AG137" s="44"/>
      <c r="AH137" s="40"/>
      <c r="AI137" s="40"/>
      <c r="AJ137" s="40"/>
      <c r="AK137" s="40"/>
      <c r="AL137" s="40"/>
      <c r="AM137" s="40"/>
      <c r="AN137" s="40"/>
      <c r="AO137" s="40"/>
      <c r="AP137" s="44"/>
      <c r="AQ137" s="44"/>
      <c r="AR137" s="44"/>
      <c r="AS137" s="44"/>
      <c r="AT137" s="44"/>
      <c r="AU137" s="42"/>
      <c r="AV137" s="43"/>
    </row>
    <row r="138" spans="1:48">
      <c r="A138" s="39"/>
      <c r="B138" s="40"/>
      <c r="C138" s="40"/>
      <c r="D138" s="40"/>
      <c r="E138" s="40"/>
      <c r="F138" s="44"/>
      <c r="G138" s="40"/>
      <c r="H138" s="40"/>
      <c r="I138" s="40"/>
      <c r="J138" s="40"/>
      <c r="K138" s="40"/>
      <c r="L138" s="40"/>
      <c r="M138" s="40"/>
      <c r="N138" s="44"/>
      <c r="O138" s="44"/>
      <c r="P138" s="40"/>
      <c r="Q138" s="40"/>
      <c r="R138" s="40"/>
      <c r="S138" s="40"/>
      <c r="T138" s="40"/>
      <c r="U138" s="40"/>
      <c r="V138" s="40"/>
      <c r="W138" s="44"/>
      <c r="X138" s="44"/>
      <c r="Y138" s="40"/>
      <c r="Z138" s="40"/>
      <c r="AA138" s="40"/>
      <c r="AB138" s="40"/>
      <c r="AC138" s="40"/>
      <c r="AD138" s="40"/>
      <c r="AE138" s="40"/>
      <c r="AF138" s="44"/>
      <c r="AG138" s="44"/>
      <c r="AH138" s="40"/>
      <c r="AI138" s="40"/>
      <c r="AJ138" s="40"/>
      <c r="AK138" s="40"/>
      <c r="AL138" s="40"/>
      <c r="AM138" s="40"/>
      <c r="AN138" s="40"/>
      <c r="AO138" s="40"/>
      <c r="AP138" s="44"/>
      <c r="AQ138" s="44"/>
      <c r="AR138" s="44"/>
      <c r="AS138" s="44"/>
      <c r="AT138" s="44"/>
      <c r="AU138" s="42"/>
      <c r="AV138" s="43"/>
    </row>
    <row r="139" spans="1:48">
      <c r="A139" s="39"/>
      <c r="B139" s="40"/>
      <c r="C139" s="40"/>
      <c r="D139" s="40"/>
      <c r="E139" s="40"/>
      <c r="F139" s="44"/>
      <c r="G139" s="40"/>
      <c r="H139" s="40"/>
      <c r="I139" s="40"/>
      <c r="J139" s="40"/>
      <c r="K139" s="40"/>
      <c r="L139" s="40"/>
      <c r="M139" s="40"/>
      <c r="N139" s="44"/>
      <c r="O139" s="44"/>
      <c r="P139" s="40"/>
      <c r="Q139" s="40"/>
      <c r="R139" s="40"/>
      <c r="S139" s="40"/>
      <c r="T139" s="40"/>
      <c r="U139" s="40"/>
      <c r="V139" s="40"/>
      <c r="W139" s="44"/>
      <c r="X139" s="44"/>
      <c r="Y139" s="40"/>
      <c r="Z139" s="40"/>
      <c r="AA139" s="40"/>
      <c r="AB139" s="40"/>
      <c r="AC139" s="40"/>
      <c r="AD139" s="40"/>
      <c r="AE139" s="40"/>
      <c r="AF139" s="44"/>
      <c r="AG139" s="44"/>
      <c r="AH139" s="40"/>
      <c r="AI139" s="40"/>
      <c r="AJ139" s="40"/>
      <c r="AK139" s="40"/>
      <c r="AL139" s="40"/>
      <c r="AM139" s="40"/>
      <c r="AN139" s="40"/>
      <c r="AO139" s="40"/>
      <c r="AP139" s="44"/>
      <c r="AQ139" s="44"/>
      <c r="AR139" s="44"/>
      <c r="AS139" s="44"/>
      <c r="AT139" s="44"/>
      <c r="AU139" s="42"/>
      <c r="AV139" s="43"/>
    </row>
    <row r="140" spans="1:48">
      <c r="A140" s="39"/>
      <c r="B140" s="40"/>
      <c r="C140" s="40"/>
      <c r="D140" s="40"/>
      <c r="E140" s="40"/>
      <c r="F140" s="44"/>
      <c r="G140" s="40"/>
      <c r="H140" s="40"/>
      <c r="I140" s="40"/>
      <c r="J140" s="40"/>
      <c r="K140" s="40"/>
      <c r="L140" s="40"/>
      <c r="M140" s="40"/>
      <c r="N140" s="44"/>
      <c r="O140" s="44"/>
      <c r="P140" s="40"/>
      <c r="Q140" s="40"/>
      <c r="R140" s="40"/>
      <c r="S140" s="40"/>
      <c r="T140" s="40"/>
      <c r="U140" s="40"/>
      <c r="V140" s="40"/>
      <c r="W140" s="44"/>
      <c r="X140" s="44"/>
      <c r="Y140" s="40"/>
      <c r="Z140" s="40"/>
      <c r="AA140" s="40"/>
      <c r="AB140" s="40"/>
      <c r="AC140" s="40"/>
      <c r="AD140" s="40"/>
      <c r="AE140" s="40"/>
      <c r="AF140" s="44"/>
      <c r="AG140" s="44"/>
      <c r="AH140" s="40"/>
      <c r="AI140" s="40"/>
      <c r="AJ140" s="40"/>
      <c r="AK140" s="40"/>
      <c r="AL140" s="40"/>
      <c r="AM140" s="40"/>
      <c r="AN140" s="40"/>
      <c r="AO140" s="40"/>
      <c r="AP140" s="44"/>
      <c r="AQ140" s="44"/>
      <c r="AR140" s="44"/>
      <c r="AS140" s="44"/>
      <c r="AT140" s="44"/>
      <c r="AU140" s="42"/>
      <c r="AV140" s="43"/>
    </row>
    <row r="141" spans="1:48">
      <c r="A141" s="39"/>
      <c r="B141" s="40"/>
      <c r="C141" s="40"/>
      <c r="D141" s="40"/>
      <c r="E141" s="40"/>
      <c r="F141" s="44"/>
      <c r="G141" s="40"/>
      <c r="H141" s="40"/>
      <c r="I141" s="40"/>
      <c r="J141" s="40"/>
      <c r="K141" s="40"/>
      <c r="L141" s="40"/>
      <c r="M141" s="40"/>
      <c r="N141" s="44"/>
      <c r="O141" s="44"/>
      <c r="P141" s="40"/>
      <c r="Q141" s="40"/>
      <c r="R141" s="40"/>
      <c r="S141" s="40"/>
      <c r="T141" s="40"/>
      <c r="U141" s="40"/>
      <c r="V141" s="40"/>
      <c r="W141" s="44"/>
      <c r="X141" s="44"/>
      <c r="Y141" s="40"/>
      <c r="Z141" s="40"/>
      <c r="AA141" s="40"/>
      <c r="AB141" s="40"/>
      <c r="AC141" s="40"/>
      <c r="AD141" s="40"/>
      <c r="AE141" s="40"/>
      <c r="AF141" s="44"/>
      <c r="AG141" s="44"/>
      <c r="AH141" s="40"/>
      <c r="AI141" s="40"/>
      <c r="AJ141" s="40"/>
      <c r="AK141" s="40"/>
      <c r="AL141" s="40"/>
      <c r="AM141" s="40"/>
      <c r="AN141" s="40"/>
      <c r="AO141" s="40"/>
      <c r="AP141" s="44"/>
      <c r="AQ141" s="44"/>
      <c r="AR141" s="44"/>
      <c r="AS141" s="44"/>
      <c r="AT141" s="44"/>
      <c r="AU141" s="42"/>
      <c r="AV141" s="43"/>
    </row>
    <row r="142" spans="1:48">
      <c r="A142" s="39"/>
      <c r="B142" s="40"/>
      <c r="C142" s="40"/>
      <c r="D142" s="40"/>
      <c r="E142" s="40"/>
      <c r="F142" s="44"/>
      <c r="G142" s="40"/>
      <c r="H142" s="40"/>
      <c r="I142" s="40"/>
      <c r="J142" s="40"/>
      <c r="K142" s="40"/>
      <c r="L142" s="40"/>
      <c r="M142" s="40"/>
      <c r="N142" s="44"/>
      <c r="O142" s="44"/>
      <c r="P142" s="40"/>
      <c r="Q142" s="40"/>
      <c r="R142" s="40"/>
      <c r="S142" s="40"/>
      <c r="T142" s="40"/>
      <c r="U142" s="40"/>
      <c r="V142" s="40"/>
      <c r="W142" s="44"/>
      <c r="X142" s="44"/>
      <c r="Y142" s="40"/>
      <c r="Z142" s="40"/>
      <c r="AA142" s="40"/>
      <c r="AB142" s="40"/>
      <c r="AC142" s="40"/>
      <c r="AD142" s="40"/>
      <c r="AE142" s="40"/>
      <c r="AF142" s="44"/>
      <c r="AG142" s="44"/>
      <c r="AH142" s="40"/>
      <c r="AI142" s="40"/>
      <c r="AJ142" s="40"/>
      <c r="AK142" s="40"/>
      <c r="AL142" s="40"/>
      <c r="AM142" s="40"/>
      <c r="AN142" s="40"/>
      <c r="AO142" s="40"/>
      <c r="AP142" s="44"/>
      <c r="AQ142" s="44"/>
      <c r="AR142" s="44"/>
      <c r="AS142" s="44"/>
      <c r="AT142" s="44"/>
      <c r="AU142" s="42"/>
      <c r="AV142" s="43"/>
    </row>
    <row r="143" spans="1:48">
      <c r="A143" s="39"/>
      <c r="B143" s="40"/>
      <c r="C143" s="40"/>
      <c r="D143" s="40"/>
      <c r="E143" s="40"/>
      <c r="F143" s="44"/>
      <c r="G143" s="40"/>
      <c r="H143" s="40"/>
      <c r="I143" s="40"/>
      <c r="J143" s="40"/>
      <c r="K143" s="40"/>
      <c r="L143" s="40"/>
      <c r="M143" s="40"/>
      <c r="N143" s="44"/>
      <c r="O143" s="44"/>
      <c r="P143" s="40"/>
      <c r="Q143" s="40"/>
      <c r="R143" s="40"/>
      <c r="S143" s="40"/>
      <c r="T143" s="40"/>
      <c r="U143" s="40"/>
      <c r="V143" s="40"/>
      <c r="W143" s="44"/>
      <c r="X143" s="44"/>
      <c r="Y143" s="40"/>
      <c r="Z143" s="40"/>
      <c r="AA143" s="40"/>
      <c r="AB143" s="40"/>
      <c r="AC143" s="40"/>
      <c r="AD143" s="40"/>
      <c r="AE143" s="40"/>
      <c r="AF143" s="44"/>
      <c r="AG143" s="44"/>
      <c r="AH143" s="40"/>
      <c r="AI143" s="40"/>
      <c r="AJ143" s="40"/>
      <c r="AK143" s="40"/>
      <c r="AL143" s="40"/>
      <c r="AM143" s="40"/>
      <c r="AN143" s="40"/>
      <c r="AO143" s="40"/>
      <c r="AP143" s="44"/>
      <c r="AQ143" s="44"/>
      <c r="AR143" s="44"/>
      <c r="AS143" s="44"/>
      <c r="AT143" s="44"/>
      <c r="AU143" s="42"/>
      <c r="AV143" s="43"/>
    </row>
    <row r="144" spans="1:48">
      <c r="A144" s="39"/>
      <c r="B144" s="40"/>
      <c r="C144" s="40"/>
      <c r="D144" s="40"/>
      <c r="E144" s="40"/>
      <c r="F144" s="44"/>
      <c r="G144" s="40"/>
      <c r="H144" s="40"/>
      <c r="I144" s="40"/>
      <c r="J144" s="40"/>
      <c r="K144" s="40"/>
      <c r="L144" s="40"/>
      <c r="M144" s="40"/>
      <c r="N144" s="44"/>
      <c r="O144" s="44"/>
      <c r="P144" s="40"/>
      <c r="Q144" s="40"/>
      <c r="R144" s="40"/>
      <c r="S144" s="40"/>
      <c r="T144" s="40"/>
      <c r="U144" s="40"/>
      <c r="V144" s="40"/>
      <c r="W144" s="44"/>
      <c r="X144" s="44"/>
      <c r="Y144" s="40"/>
      <c r="Z144" s="40"/>
      <c r="AA144" s="40"/>
      <c r="AB144" s="40"/>
      <c r="AC144" s="40"/>
      <c r="AD144" s="40"/>
      <c r="AE144" s="40"/>
      <c r="AF144" s="44"/>
      <c r="AG144" s="44"/>
      <c r="AH144" s="40"/>
      <c r="AI144" s="40"/>
      <c r="AJ144" s="40"/>
      <c r="AK144" s="40"/>
      <c r="AL144" s="40"/>
      <c r="AM144" s="40"/>
      <c r="AN144" s="40"/>
      <c r="AO144" s="40"/>
      <c r="AP144" s="44"/>
      <c r="AQ144" s="44"/>
      <c r="AR144" s="44"/>
      <c r="AS144" s="44"/>
      <c r="AT144" s="44"/>
      <c r="AU144" s="42"/>
      <c r="AV144" s="43"/>
    </row>
    <row r="145" spans="1:48">
      <c r="A145" s="39"/>
      <c r="B145" s="40"/>
      <c r="C145" s="40"/>
      <c r="D145" s="40"/>
      <c r="E145" s="40"/>
      <c r="F145" s="44"/>
      <c r="G145" s="40"/>
      <c r="H145" s="40"/>
      <c r="I145" s="40"/>
      <c r="J145" s="40"/>
      <c r="K145" s="40"/>
      <c r="L145" s="40"/>
      <c r="M145" s="40"/>
      <c r="N145" s="44"/>
      <c r="O145" s="44"/>
      <c r="P145" s="40"/>
      <c r="Q145" s="40"/>
      <c r="R145" s="40"/>
      <c r="S145" s="40"/>
      <c r="T145" s="40"/>
      <c r="U145" s="40"/>
      <c r="V145" s="40"/>
      <c r="W145" s="44"/>
      <c r="X145" s="44"/>
      <c r="Y145" s="40"/>
      <c r="Z145" s="40"/>
      <c r="AA145" s="40"/>
      <c r="AB145" s="40"/>
      <c r="AC145" s="40"/>
      <c r="AD145" s="40"/>
      <c r="AE145" s="40"/>
      <c r="AF145" s="44"/>
      <c r="AG145" s="44"/>
      <c r="AH145" s="40"/>
      <c r="AI145" s="40"/>
      <c r="AJ145" s="40"/>
      <c r="AK145" s="40"/>
      <c r="AL145" s="40"/>
      <c r="AM145" s="40"/>
      <c r="AN145" s="40"/>
      <c r="AO145" s="40"/>
      <c r="AP145" s="44"/>
      <c r="AQ145" s="44"/>
      <c r="AR145" s="44"/>
      <c r="AS145" s="44"/>
      <c r="AT145" s="44"/>
      <c r="AU145" s="42"/>
      <c r="AV145" s="43"/>
    </row>
    <row r="146" spans="1:48">
      <c r="A146" s="39"/>
      <c r="B146" s="40"/>
      <c r="C146" s="40"/>
      <c r="D146" s="40"/>
      <c r="E146" s="40"/>
      <c r="F146" s="44"/>
      <c r="G146" s="40"/>
      <c r="H146" s="40"/>
      <c r="I146" s="40"/>
      <c r="J146" s="40"/>
      <c r="K146" s="40"/>
      <c r="L146" s="40"/>
      <c r="M146" s="40"/>
      <c r="N146" s="44"/>
      <c r="O146" s="44"/>
      <c r="P146" s="40"/>
      <c r="Q146" s="40"/>
      <c r="R146" s="40"/>
      <c r="S146" s="40"/>
      <c r="T146" s="40"/>
      <c r="U146" s="40"/>
      <c r="V146" s="40"/>
      <c r="W146" s="44"/>
      <c r="X146" s="44"/>
      <c r="Y146" s="40"/>
      <c r="Z146" s="40"/>
      <c r="AA146" s="40"/>
      <c r="AB146" s="40"/>
      <c r="AC146" s="40"/>
      <c r="AD146" s="40"/>
      <c r="AE146" s="40"/>
      <c r="AF146" s="44"/>
      <c r="AG146" s="44"/>
      <c r="AH146" s="40"/>
      <c r="AI146" s="40"/>
      <c r="AJ146" s="40"/>
      <c r="AK146" s="40"/>
      <c r="AL146" s="40"/>
      <c r="AM146" s="40"/>
      <c r="AN146" s="40"/>
      <c r="AO146" s="40"/>
      <c r="AP146" s="44"/>
      <c r="AQ146" s="44"/>
      <c r="AR146" s="44"/>
      <c r="AS146" s="44"/>
      <c r="AT146" s="44"/>
      <c r="AU146" s="42"/>
      <c r="AV146" s="43"/>
    </row>
    <row r="147" spans="1:48">
      <c r="A147" s="39"/>
      <c r="B147" s="40"/>
      <c r="C147" s="40"/>
      <c r="D147" s="40"/>
      <c r="E147" s="40"/>
      <c r="F147" s="44"/>
      <c r="G147" s="40"/>
      <c r="H147" s="40"/>
      <c r="I147" s="40"/>
      <c r="J147" s="40"/>
      <c r="K147" s="40"/>
      <c r="L147" s="40"/>
      <c r="M147" s="40"/>
      <c r="N147" s="44"/>
      <c r="O147" s="44"/>
      <c r="P147" s="40"/>
      <c r="Q147" s="40"/>
      <c r="R147" s="40"/>
      <c r="S147" s="40"/>
      <c r="T147" s="40"/>
      <c r="U147" s="40"/>
      <c r="V147" s="40"/>
      <c r="W147" s="44"/>
      <c r="X147" s="44"/>
      <c r="Y147" s="40"/>
      <c r="Z147" s="40"/>
      <c r="AA147" s="40"/>
      <c r="AB147" s="40"/>
      <c r="AC147" s="40"/>
      <c r="AD147" s="40"/>
      <c r="AE147" s="40"/>
      <c r="AF147" s="44"/>
      <c r="AG147" s="44"/>
      <c r="AH147" s="40"/>
      <c r="AI147" s="40"/>
      <c r="AJ147" s="40"/>
      <c r="AK147" s="40"/>
      <c r="AL147" s="40"/>
      <c r="AM147" s="40"/>
      <c r="AN147" s="40"/>
      <c r="AO147" s="40"/>
      <c r="AP147" s="44"/>
      <c r="AQ147" s="44"/>
      <c r="AR147" s="44"/>
      <c r="AS147" s="44"/>
      <c r="AT147" s="44"/>
      <c r="AU147" s="42"/>
      <c r="AV147" s="43"/>
    </row>
    <row r="148" spans="1:48">
      <c r="A148" s="39"/>
      <c r="B148" s="40"/>
      <c r="C148" s="40"/>
      <c r="D148" s="40"/>
      <c r="E148" s="40"/>
      <c r="F148" s="44"/>
      <c r="G148" s="40"/>
      <c r="H148" s="40"/>
      <c r="I148" s="40"/>
      <c r="J148" s="40"/>
      <c r="K148" s="40"/>
      <c r="L148" s="40"/>
      <c r="M148" s="40"/>
      <c r="N148" s="44"/>
      <c r="O148" s="44"/>
      <c r="P148" s="40"/>
      <c r="Q148" s="40"/>
      <c r="R148" s="40"/>
      <c r="S148" s="40"/>
      <c r="T148" s="40"/>
      <c r="U148" s="40"/>
      <c r="V148" s="40"/>
      <c r="W148" s="44"/>
      <c r="X148" s="44"/>
      <c r="Y148" s="40"/>
      <c r="Z148" s="40"/>
      <c r="AA148" s="40"/>
      <c r="AB148" s="40"/>
      <c r="AC148" s="40"/>
      <c r="AD148" s="40"/>
      <c r="AE148" s="40"/>
      <c r="AF148" s="44"/>
      <c r="AG148" s="44"/>
      <c r="AH148" s="40"/>
      <c r="AI148" s="40"/>
      <c r="AJ148" s="40"/>
      <c r="AK148" s="40"/>
      <c r="AL148" s="40"/>
      <c r="AM148" s="40"/>
      <c r="AN148" s="40"/>
      <c r="AO148" s="40"/>
      <c r="AP148" s="44"/>
      <c r="AQ148" s="44"/>
      <c r="AR148" s="44"/>
      <c r="AS148" s="44"/>
      <c r="AT148" s="44"/>
      <c r="AU148" s="42"/>
      <c r="AV148" s="43"/>
    </row>
    <row r="149" spans="1:48">
      <c r="A149" s="39"/>
      <c r="B149" s="40"/>
      <c r="C149" s="40"/>
      <c r="D149" s="40"/>
      <c r="E149" s="40"/>
      <c r="F149" s="44"/>
      <c r="G149" s="40"/>
      <c r="H149" s="40"/>
      <c r="I149" s="40"/>
      <c r="J149" s="40"/>
      <c r="K149" s="40"/>
      <c r="L149" s="40"/>
      <c r="M149" s="40"/>
      <c r="N149" s="44"/>
      <c r="O149" s="44"/>
      <c r="P149" s="40"/>
      <c r="Q149" s="40"/>
      <c r="R149" s="40"/>
      <c r="S149" s="40"/>
      <c r="T149" s="40"/>
      <c r="U149" s="40"/>
      <c r="V149" s="40"/>
      <c r="W149" s="44"/>
      <c r="X149" s="44"/>
      <c r="Y149" s="40"/>
      <c r="Z149" s="40"/>
      <c r="AA149" s="40"/>
      <c r="AB149" s="40"/>
      <c r="AC149" s="40"/>
      <c r="AD149" s="40"/>
      <c r="AE149" s="40"/>
      <c r="AF149" s="44"/>
      <c r="AG149" s="44"/>
      <c r="AH149" s="40"/>
      <c r="AI149" s="40"/>
      <c r="AJ149" s="40"/>
      <c r="AK149" s="40"/>
      <c r="AL149" s="40"/>
      <c r="AM149" s="40"/>
      <c r="AN149" s="40"/>
      <c r="AO149" s="40"/>
      <c r="AP149" s="44"/>
      <c r="AQ149" s="44"/>
      <c r="AR149" s="44"/>
      <c r="AS149" s="44"/>
      <c r="AT149" s="44"/>
      <c r="AU149" s="42"/>
      <c r="AV149" s="43"/>
    </row>
    <row r="150" spans="1:48">
      <c r="A150" s="39"/>
      <c r="B150" s="40"/>
      <c r="C150" s="40"/>
      <c r="D150" s="40"/>
      <c r="E150" s="40"/>
      <c r="F150" s="44"/>
      <c r="G150" s="40"/>
      <c r="H150" s="40"/>
      <c r="I150" s="40"/>
      <c r="J150" s="40"/>
      <c r="K150" s="40"/>
      <c r="L150" s="40"/>
      <c r="M150" s="40"/>
      <c r="N150" s="44"/>
      <c r="O150" s="44"/>
      <c r="P150" s="40"/>
      <c r="Q150" s="40"/>
      <c r="R150" s="40"/>
      <c r="S150" s="40"/>
      <c r="T150" s="40"/>
      <c r="U150" s="40"/>
      <c r="V150" s="40"/>
      <c r="W150" s="44"/>
      <c r="X150" s="44"/>
      <c r="Y150" s="40"/>
      <c r="Z150" s="40"/>
      <c r="AA150" s="40"/>
      <c r="AB150" s="40"/>
      <c r="AC150" s="40"/>
      <c r="AD150" s="40"/>
      <c r="AE150" s="40"/>
      <c r="AF150" s="44"/>
      <c r="AG150" s="44"/>
      <c r="AH150" s="40"/>
      <c r="AI150" s="40"/>
      <c r="AJ150" s="40"/>
      <c r="AK150" s="40"/>
      <c r="AL150" s="40"/>
      <c r="AM150" s="40"/>
      <c r="AN150" s="40"/>
      <c r="AO150" s="40"/>
      <c r="AP150" s="44"/>
      <c r="AQ150" s="44"/>
      <c r="AR150" s="44"/>
      <c r="AS150" s="44"/>
      <c r="AT150" s="44"/>
      <c r="AU150" s="42"/>
      <c r="AV150" s="43"/>
    </row>
    <row r="151" spans="1:48">
      <c r="A151" s="39"/>
      <c r="B151" s="40"/>
      <c r="C151" s="40"/>
      <c r="D151" s="40"/>
      <c r="E151" s="40"/>
      <c r="F151" s="44"/>
      <c r="G151" s="40"/>
      <c r="H151" s="40"/>
      <c r="I151" s="40"/>
      <c r="J151" s="40"/>
      <c r="K151" s="40"/>
      <c r="L151" s="40"/>
      <c r="M151" s="40"/>
      <c r="N151" s="44"/>
      <c r="O151" s="44"/>
      <c r="P151" s="40"/>
      <c r="Q151" s="40"/>
      <c r="R151" s="40"/>
      <c r="S151" s="40"/>
      <c r="T151" s="40"/>
      <c r="U151" s="40"/>
      <c r="V151" s="40"/>
      <c r="W151" s="44"/>
      <c r="X151" s="44"/>
      <c r="Y151" s="40"/>
      <c r="Z151" s="40"/>
      <c r="AA151" s="40"/>
      <c r="AB151" s="40"/>
      <c r="AC151" s="40"/>
      <c r="AD151" s="40"/>
      <c r="AE151" s="40"/>
      <c r="AF151" s="44"/>
      <c r="AG151" s="44"/>
      <c r="AH151" s="40"/>
      <c r="AI151" s="40"/>
      <c r="AJ151" s="40"/>
      <c r="AK151" s="40"/>
      <c r="AL151" s="40"/>
      <c r="AM151" s="40"/>
      <c r="AN151" s="40"/>
      <c r="AO151" s="40"/>
      <c r="AP151" s="44"/>
      <c r="AQ151" s="44"/>
      <c r="AR151" s="44"/>
      <c r="AS151" s="44"/>
      <c r="AT151" s="44"/>
      <c r="AU151" s="42"/>
      <c r="AV151" s="43"/>
    </row>
    <row r="152" spans="1:48">
      <c r="A152" s="39"/>
      <c r="B152" s="40"/>
      <c r="C152" s="40"/>
      <c r="D152" s="40"/>
      <c r="E152" s="40"/>
      <c r="F152" s="44"/>
      <c r="G152" s="40"/>
      <c r="H152" s="40"/>
      <c r="I152" s="40"/>
      <c r="J152" s="40"/>
      <c r="K152" s="40"/>
      <c r="L152" s="40"/>
      <c r="M152" s="40"/>
      <c r="N152" s="44"/>
      <c r="O152" s="44"/>
      <c r="P152" s="40"/>
      <c r="Q152" s="40"/>
      <c r="R152" s="40"/>
      <c r="S152" s="40"/>
      <c r="T152" s="40"/>
      <c r="U152" s="40"/>
      <c r="V152" s="40"/>
      <c r="W152" s="44"/>
      <c r="X152" s="44"/>
      <c r="Y152" s="40"/>
      <c r="Z152" s="40"/>
      <c r="AA152" s="40"/>
      <c r="AB152" s="40"/>
      <c r="AC152" s="40"/>
      <c r="AD152" s="40"/>
      <c r="AE152" s="40"/>
      <c r="AF152" s="44"/>
      <c r="AG152" s="44"/>
      <c r="AH152" s="40"/>
      <c r="AI152" s="40"/>
      <c r="AJ152" s="40"/>
      <c r="AK152" s="40"/>
      <c r="AL152" s="40"/>
      <c r="AM152" s="40"/>
      <c r="AN152" s="40"/>
      <c r="AO152" s="40"/>
      <c r="AP152" s="44"/>
      <c r="AQ152" s="44"/>
      <c r="AR152" s="44"/>
      <c r="AS152" s="44"/>
      <c r="AT152" s="44"/>
      <c r="AU152" s="42"/>
      <c r="AV152" s="43"/>
    </row>
    <row r="153" spans="1:48">
      <c r="A153" s="39"/>
      <c r="B153" s="40"/>
      <c r="C153" s="40"/>
      <c r="D153" s="40"/>
      <c r="E153" s="40"/>
      <c r="F153" s="44"/>
      <c r="G153" s="40"/>
      <c r="H153" s="40"/>
      <c r="I153" s="40"/>
      <c r="J153" s="40"/>
      <c r="K153" s="40"/>
      <c r="L153" s="40"/>
      <c r="M153" s="40"/>
      <c r="N153" s="44"/>
      <c r="O153" s="44"/>
      <c r="P153" s="40"/>
      <c r="Q153" s="40"/>
      <c r="R153" s="40"/>
      <c r="S153" s="40"/>
      <c r="T153" s="40"/>
      <c r="U153" s="40"/>
      <c r="V153" s="40"/>
      <c r="W153" s="44"/>
      <c r="X153" s="44"/>
      <c r="Y153" s="40"/>
      <c r="Z153" s="40"/>
      <c r="AA153" s="40"/>
      <c r="AB153" s="40"/>
      <c r="AC153" s="40"/>
      <c r="AD153" s="40"/>
      <c r="AE153" s="40"/>
      <c r="AF153" s="44"/>
      <c r="AG153" s="44"/>
      <c r="AH153" s="40"/>
      <c r="AI153" s="40"/>
      <c r="AJ153" s="40"/>
      <c r="AK153" s="40"/>
      <c r="AL153" s="40"/>
      <c r="AM153" s="40"/>
      <c r="AN153" s="40"/>
      <c r="AO153" s="40"/>
      <c r="AP153" s="44"/>
      <c r="AQ153" s="44"/>
      <c r="AR153" s="44"/>
      <c r="AS153" s="44"/>
      <c r="AT153" s="44"/>
      <c r="AU153" s="42"/>
      <c r="AV153" s="43"/>
    </row>
    <row r="154" spans="1:48">
      <c r="A154" s="39"/>
      <c r="B154" s="40"/>
      <c r="C154" s="40"/>
      <c r="D154" s="40"/>
      <c r="E154" s="40"/>
      <c r="F154" s="44"/>
      <c r="G154" s="40"/>
      <c r="H154" s="40"/>
      <c r="I154" s="40"/>
      <c r="J154" s="40"/>
      <c r="K154" s="40"/>
      <c r="L154" s="40"/>
      <c r="M154" s="40"/>
      <c r="N154" s="44"/>
      <c r="O154" s="44"/>
      <c r="P154" s="40"/>
      <c r="Q154" s="40"/>
      <c r="R154" s="40"/>
      <c r="S154" s="40"/>
      <c r="T154" s="40"/>
      <c r="U154" s="40"/>
      <c r="V154" s="40"/>
      <c r="W154" s="44"/>
      <c r="X154" s="44"/>
      <c r="Y154" s="40"/>
      <c r="Z154" s="40"/>
      <c r="AA154" s="40"/>
      <c r="AB154" s="40"/>
      <c r="AC154" s="40"/>
      <c r="AD154" s="40"/>
      <c r="AE154" s="40"/>
      <c r="AF154" s="44"/>
      <c r="AG154" s="44"/>
      <c r="AH154" s="40"/>
      <c r="AI154" s="40"/>
      <c r="AJ154" s="40"/>
      <c r="AK154" s="40"/>
      <c r="AL154" s="40"/>
      <c r="AM154" s="40"/>
      <c r="AN154" s="40"/>
      <c r="AO154" s="40"/>
      <c r="AP154" s="44"/>
      <c r="AQ154" s="44"/>
      <c r="AR154" s="44"/>
      <c r="AS154" s="44"/>
      <c r="AT154" s="44"/>
      <c r="AU154" s="42"/>
      <c r="AV154" s="43"/>
    </row>
    <row r="155" spans="1:48">
      <c r="A155" s="39"/>
      <c r="B155" s="40"/>
      <c r="C155" s="40"/>
      <c r="D155" s="40"/>
      <c r="E155" s="40"/>
      <c r="F155" s="44"/>
      <c r="G155" s="40"/>
      <c r="H155" s="40"/>
      <c r="I155" s="40"/>
      <c r="J155" s="40"/>
      <c r="K155" s="40"/>
      <c r="L155" s="40"/>
      <c r="M155" s="40"/>
      <c r="N155" s="44"/>
      <c r="O155" s="44"/>
      <c r="P155" s="40"/>
      <c r="Q155" s="40"/>
      <c r="R155" s="40"/>
      <c r="S155" s="40"/>
      <c r="T155" s="40"/>
      <c r="U155" s="40"/>
      <c r="V155" s="40"/>
      <c r="W155" s="44"/>
      <c r="X155" s="44"/>
      <c r="Y155" s="40"/>
      <c r="Z155" s="40"/>
      <c r="AA155" s="40"/>
      <c r="AB155" s="40"/>
      <c r="AC155" s="40"/>
      <c r="AD155" s="40"/>
      <c r="AE155" s="40"/>
      <c r="AF155" s="44"/>
      <c r="AG155" s="44"/>
      <c r="AH155" s="40"/>
      <c r="AI155" s="40"/>
      <c r="AJ155" s="40"/>
      <c r="AK155" s="40"/>
      <c r="AL155" s="40"/>
      <c r="AM155" s="40"/>
      <c r="AN155" s="40"/>
      <c r="AO155" s="40"/>
      <c r="AP155" s="44"/>
      <c r="AQ155" s="44"/>
      <c r="AR155" s="44"/>
      <c r="AS155" s="44"/>
      <c r="AT155" s="44"/>
      <c r="AU155" s="42"/>
      <c r="AV155" s="43"/>
    </row>
    <row r="156" spans="1:48">
      <c r="A156" s="39"/>
      <c r="B156" s="40"/>
      <c r="C156" s="40"/>
      <c r="D156" s="40"/>
      <c r="E156" s="40"/>
      <c r="F156" s="44"/>
      <c r="G156" s="40"/>
      <c r="H156" s="40"/>
      <c r="I156" s="40"/>
      <c r="J156" s="40"/>
      <c r="K156" s="40"/>
      <c r="L156" s="40"/>
      <c r="M156" s="40"/>
      <c r="N156" s="44"/>
      <c r="O156" s="44"/>
      <c r="P156" s="40"/>
      <c r="Q156" s="40"/>
      <c r="R156" s="40"/>
      <c r="S156" s="40"/>
      <c r="T156" s="40"/>
      <c r="U156" s="40"/>
      <c r="V156" s="40"/>
      <c r="W156" s="44"/>
      <c r="X156" s="44"/>
      <c r="Y156" s="40"/>
      <c r="Z156" s="40"/>
      <c r="AA156" s="40"/>
      <c r="AB156" s="40"/>
      <c r="AC156" s="40"/>
      <c r="AD156" s="40"/>
      <c r="AE156" s="40"/>
      <c r="AF156" s="44"/>
      <c r="AG156" s="44"/>
      <c r="AH156" s="40"/>
      <c r="AI156" s="40"/>
      <c r="AJ156" s="40"/>
      <c r="AK156" s="40"/>
      <c r="AL156" s="40"/>
      <c r="AM156" s="40"/>
      <c r="AN156" s="40"/>
      <c r="AO156" s="40"/>
      <c r="AP156" s="44"/>
      <c r="AQ156" s="44"/>
      <c r="AR156" s="44"/>
      <c r="AS156" s="44"/>
      <c r="AT156" s="44"/>
      <c r="AU156" s="42"/>
      <c r="AV156" s="43"/>
    </row>
    <row r="157" spans="1:48">
      <c r="A157" s="39"/>
      <c r="B157" s="40"/>
      <c r="C157" s="40"/>
      <c r="D157" s="40"/>
      <c r="E157" s="40"/>
      <c r="F157" s="44"/>
      <c r="G157" s="40"/>
      <c r="H157" s="40"/>
      <c r="I157" s="40"/>
      <c r="J157" s="40"/>
      <c r="K157" s="40"/>
      <c r="L157" s="40"/>
      <c r="M157" s="40"/>
      <c r="N157" s="44"/>
      <c r="O157" s="44"/>
      <c r="P157" s="40"/>
      <c r="Q157" s="40"/>
      <c r="R157" s="40"/>
      <c r="S157" s="40"/>
      <c r="T157" s="40"/>
      <c r="U157" s="40"/>
      <c r="V157" s="40"/>
      <c r="W157" s="44"/>
      <c r="X157" s="44"/>
      <c r="Y157" s="40"/>
      <c r="Z157" s="40"/>
      <c r="AA157" s="40"/>
      <c r="AB157" s="40"/>
      <c r="AC157" s="40"/>
      <c r="AD157" s="40"/>
      <c r="AE157" s="40"/>
      <c r="AF157" s="44"/>
      <c r="AG157" s="44"/>
      <c r="AH157" s="40"/>
      <c r="AI157" s="40"/>
      <c r="AJ157" s="40"/>
      <c r="AK157" s="40"/>
      <c r="AL157" s="40"/>
      <c r="AM157" s="40"/>
      <c r="AN157" s="40"/>
      <c r="AO157" s="40"/>
      <c r="AP157" s="44"/>
      <c r="AQ157" s="44"/>
      <c r="AR157" s="44"/>
      <c r="AS157" s="44"/>
      <c r="AT157" s="44"/>
      <c r="AU157" s="42"/>
      <c r="AV157" s="43"/>
    </row>
    <row r="158" spans="1:48">
      <c r="A158" s="39"/>
      <c r="B158" s="40"/>
      <c r="C158" s="40"/>
      <c r="D158" s="40"/>
      <c r="E158" s="40"/>
      <c r="F158" s="44"/>
      <c r="G158" s="40"/>
      <c r="H158" s="40"/>
      <c r="I158" s="40"/>
      <c r="J158" s="40"/>
      <c r="K158" s="40"/>
      <c r="L158" s="40"/>
      <c r="M158" s="40"/>
      <c r="N158" s="44"/>
      <c r="O158" s="44"/>
      <c r="P158" s="40"/>
      <c r="Q158" s="40"/>
      <c r="R158" s="40"/>
      <c r="S158" s="40"/>
      <c r="T158" s="40"/>
      <c r="U158" s="40"/>
      <c r="V158" s="40"/>
      <c r="W158" s="44"/>
      <c r="X158" s="44"/>
      <c r="Y158" s="40"/>
      <c r="Z158" s="40"/>
      <c r="AA158" s="40"/>
      <c r="AB158" s="40"/>
      <c r="AC158" s="40"/>
      <c r="AD158" s="40"/>
      <c r="AE158" s="40"/>
      <c r="AF158" s="44"/>
      <c r="AG158" s="44"/>
      <c r="AH158" s="40"/>
      <c r="AI158" s="40"/>
      <c r="AJ158" s="40"/>
      <c r="AK158" s="40"/>
      <c r="AL158" s="40"/>
      <c r="AM158" s="40"/>
      <c r="AN158" s="40"/>
      <c r="AO158" s="40"/>
      <c r="AP158" s="44"/>
      <c r="AQ158" s="44"/>
      <c r="AR158" s="44"/>
      <c r="AS158" s="44"/>
      <c r="AT158" s="44"/>
      <c r="AU158" s="42"/>
      <c r="AV158" s="43"/>
    </row>
    <row r="159" spans="1:48">
      <c r="A159" s="39"/>
      <c r="B159" s="40"/>
      <c r="C159" s="40"/>
      <c r="D159" s="40"/>
      <c r="E159" s="40"/>
      <c r="F159" s="44"/>
      <c r="G159" s="40"/>
      <c r="H159" s="40"/>
      <c r="I159" s="40"/>
      <c r="J159" s="40"/>
      <c r="K159" s="40"/>
      <c r="L159" s="40"/>
      <c r="M159" s="40"/>
      <c r="N159" s="44"/>
      <c r="O159" s="44"/>
      <c r="P159" s="40"/>
      <c r="Q159" s="40"/>
      <c r="R159" s="40"/>
      <c r="S159" s="40"/>
      <c r="T159" s="40"/>
      <c r="U159" s="40"/>
      <c r="V159" s="40"/>
      <c r="W159" s="44"/>
      <c r="X159" s="44"/>
      <c r="Y159" s="40"/>
      <c r="Z159" s="40"/>
      <c r="AA159" s="40"/>
      <c r="AB159" s="40"/>
      <c r="AC159" s="40"/>
      <c r="AD159" s="40"/>
      <c r="AE159" s="40"/>
      <c r="AF159" s="44"/>
      <c r="AG159" s="44"/>
      <c r="AH159" s="40"/>
      <c r="AI159" s="40"/>
      <c r="AJ159" s="40"/>
      <c r="AK159" s="40"/>
      <c r="AL159" s="40"/>
      <c r="AM159" s="40"/>
      <c r="AN159" s="40"/>
      <c r="AO159" s="40"/>
      <c r="AP159" s="44"/>
      <c r="AQ159" s="44"/>
      <c r="AR159" s="44"/>
      <c r="AS159" s="44"/>
      <c r="AT159" s="44"/>
      <c r="AU159" s="42"/>
      <c r="AV159" s="43"/>
    </row>
    <row r="160" spans="1:48">
      <c r="A160" s="45"/>
      <c r="B160" s="46"/>
      <c r="C160" s="46"/>
      <c r="D160" s="46"/>
      <c r="E160" s="46"/>
      <c r="F160" s="47"/>
      <c r="G160" s="46"/>
      <c r="H160" s="46"/>
      <c r="I160" s="46"/>
      <c r="J160" s="46"/>
      <c r="K160" s="46"/>
      <c r="L160" s="46"/>
      <c r="M160" s="46"/>
      <c r="N160" s="47"/>
      <c r="O160" s="47"/>
      <c r="P160" s="46"/>
      <c r="Q160" s="46"/>
      <c r="R160" s="46"/>
      <c r="S160" s="46"/>
      <c r="T160" s="46"/>
      <c r="U160" s="46"/>
      <c r="V160" s="46"/>
      <c r="W160" s="47"/>
      <c r="X160" s="47"/>
      <c r="Y160" s="46"/>
      <c r="Z160" s="46"/>
      <c r="AA160" s="46"/>
      <c r="AB160" s="46"/>
      <c r="AC160" s="46"/>
      <c r="AD160" s="46"/>
      <c r="AE160" s="46"/>
      <c r="AF160" s="47"/>
      <c r="AG160" s="47"/>
      <c r="AH160" s="46"/>
      <c r="AI160" s="46"/>
      <c r="AJ160" s="46"/>
      <c r="AK160" s="46"/>
      <c r="AL160" s="46"/>
      <c r="AM160" s="46"/>
      <c r="AN160" s="46"/>
      <c r="AO160" s="46"/>
      <c r="AP160" s="47"/>
      <c r="AQ160" s="47"/>
      <c r="AR160" s="47"/>
      <c r="AS160" s="47"/>
      <c r="AT160" s="47"/>
      <c r="AU160" s="48"/>
      <c r="AV160" s="49"/>
    </row>
  </sheetData>
  <mergeCells count="3">
    <mergeCell ref="A1:K1"/>
    <mergeCell ref="D2:K3"/>
    <mergeCell ref="A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E1E5-63C9-46D0-8EEB-AD810975C000}">
  <dimension ref="G5:M231"/>
  <sheetViews>
    <sheetView topLeftCell="A31" workbookViewId="0">
      <selection activeCell="B42" sqref="B42"/>
    </sheetView>
  </sheetViews>
  <sheetFormatPr defaultRowHeight="14.45"/>
  <cols>
    <col min="7" max="7" width="10.140625" bestFit="1" customWidth="1"/>
    <col min="8" max="8" width="19.7109375" bestFit="1" customWidth="1"/>
    <col min="9" max="9" width="10.140625" bestFit="1" customWidth="1"/>
    <col min="10" max="10" width="17" bestFit="1" customWidth="1"/>
    <col min="11" max="11" width="11" bestFit="1" customWidth="1"/>
    <col min="12" max="12" width="5.42578125" bestFit="1" customWidth="1"/>
    <col min="13" max="13" width="21" bestFit="1" customWidth="1"/>
  </cols>
  <sheetData>
    <row r="5" spans="7:13">
      <c r="G5" t="s">
        <v>332</v>
      </c>
      <c r="H5" t="s">
        <v>10</v>
      </c>
      <c r="I5" t="s">
        <v>8</v>
      </c>
      <c r="J5" t="s">
        <v>21</v>
      </c>
      <c r="K5" t="s">
        <v>333</v>
      </c>
      <c r="L5" t="s">
        <v>334</v>
      </c>
      <c r="M5" t="s">
        <v>335</v>
      </c>
    </row>
    <row r="7" spans="7:13">
      <c r="G7" s="57"/>
    </row>
    <row r="8" spans="7:13">
      <c r="G8" s="57"/>
    </row>
    <row r="9" spans="7:13">
      <c r="G9" s="57"/>
    </row>
    <row r="10" spans="7:13">
      <c r="G10" s="57"/>
    </row>
    <row r="11" spans="7:13">
      <c r="G11" s="57"/>
    </row>
    <row r="12" spans="7:13">
      <c r="G12" s="57"/>
    </row>
    <row r="13" spans="7:13">
      <c r="G13" s="57"/>
    </row>
    <row r="14" spans="7:13">
      <c r="G14" s="57"/>
    </row>
    <row r="15" spans="7:13">
      <c r="G15" s="57"/>
    </row>
    <row r="16" spans="7:13">
      <c r="G16" s="57"/>
    </row>
    <row r="17" spans="7:7">
      <c r="G17" s="57"/>
    </row>
    <row r="18" spans="7:7">
      <c r="G18" s="57"/>
    </row>
    <row r="19" spans="7:7">
      <c r="G19" s="57"/>
    </row>
    <row r="20" spans="7:7">
      <c r="G20" s="57"/>
    </row>
    <row r="21" spans="7:7">
      <c r="G21" s="57"/>
    </row>
    <row r="22" spans="7:7">
      <c r="G22" s="57"/>
    </row>
    <row r="23" spans="7:7">
      <c r="G23" s="57"/>
    </row>
    <row r="24" spans="7:7">
      <c r="G24" s="57"/>
    </row>
    <row r="25" spans="7:7">
      <c r="G25" s="57"/>
    </row>
    <row r="26" spans="7:7">
      <c r="G26" s="57"/>
    </row>
    <row r="27" spans="7:7">
      <c r="G27" s="57"/>
    </row>
    <row r="28" spans="7:7">
      <c r="G28" s="57"/>
    </row>
    <row r="29" spans="7:7">
      <c r="G29" s="57"/>
    </row>
    <row r="30" spans="7:7">
      <c r="G30" s="57"/>
    </row>
    <row r="31" spans="7:7">
      <c r="G31" s="57"/>
    </row>
    <row r="32" spans="7:7">
      <c r="G32" s="57"/>
    </row>
    <row r="33" spans="7:13">
      <c r="G33" s="57"/>
    </row>
    <row r="34" spans="7:13">
      <c r="G34" s="57"/>
    </row>
    <row r="35" spans="7:13">
      <c r="G35" s="57"/>
    </row>
    <row r="36" spans="7:13">
      <c r="G36" s="57">
        <v>46258</v>
      </c>
      <c r="H36" t="s">
        <v>54</v>
      </c>
      <c r="I36" t="s">
        <v>125</v>
      </c>
      <c r="J36" t="s">
        <v>104</v>
      </c>
      <c r="K36">
        <v>3000</v>
      </c>
      <c r="L36">
        <v>7</v>
      </c>
      <c r="M36" t="s">
        <v>336</v>
      </c>
    </row>
    <row r="37" spans="7:13">
      <c r="G37" s="57">
        <v>46258</v>
      </c>
      <c r="H37" t="s">
        <v>54</v>
      </c>
      <c r="I37" t="s">
        <v>125</v>
      </c>
      <c r="J37" t="s">
        <v>126</v>
      </c>
      <c r="K37">
        <v>3150</v>
      </c>
      <c r="L37">
        <v>8</v>
      </c>
      <c r="M37" t="s">
        <v>336</v>
      </c>
    </row>
    <row r="38" spans="7:13">
      <c r="G38" s="57"/>
    </row>
    <row r="39" spans="7:13">
      <c r="G39" s="57">
        <v>46258</v>
      </c>
      <c r="H39" t="s">
        <v>54</v>
      </c>
      <c r="I39" t="s">
        <v>125</v>
      </c>
      <c r="J39" t="s">
        <v>99</v>
      </c>
      <c r="K39">
        <v>2500</v>
      </c>
      <c r="L39">
        <v>10</v>
      </c>
      <c r="M39" t="s">
        <v>336</v>
      </c>
    </row>
    <row r="40" spans="7:13">
      <c r="G40" s="57">
        <v>46259</v>
      </c>
      <c r="H40" t="s">
        <v>54</v>
      </c>
      <c r="I40" t="s">
        <v>125</v>
      </c>
      <c r="J40" t="s">
        <v>93</v>
      </c>
      <c r="K40">
        <v>8100</v>
      </c>
      <c r="L40">
        <v>11</v>
      </c>
      <c r="M40" t="s">
        <v>336</v>
      </c>
    </row>
    <row r="41" spans="7:13">
      <c r="G41" s="57">
        <v>46261</v>
      </c>
      <c r="H41" t="s">
        <v>54</v>
      </c>
      <c r="I41" t="s">
        <v>125</v>
      </c>
      <c r="J41" t="s">
        <v>95</v>
      </c>
      <c r="K41">
        <v>2000</v>
      </c>
      <c r="L41">
        <v>12</v>
      </c>
      <c r="M41" t="s">
        <v>336</v>
      </c>
    </row>
    <row r="42" spans="7:13">
      <c r="G42" s="57">
        <v>46261</v>
      </c>
      <c r="H42" t="s">
        <v>54</v>
      </c>
      <c r="I42" t="s">
        <v>141</v>
      </c>
      <c r="J42" t="s">
        <v>142</v>
      </c>
      <c r="K42">
        <v>600</v>
      </c>
      <c r="L42">
        <v>13</v>
      </c>
      <c r="M42" t="s">
        <v>336</v>
      </c>
    </row>
    <row r="43" spans="7:13">
      <c r="G43" s="57">
        <v>46262</v>
      </c>
      <c r="H43" t="s">
        <v>54</v>
      </c>
      <c r="I43" t="s">
        <v>103</v>
      </c>
      <c r="J43" t="s">
        <v>93</v>
      </c>
      <c r="K43">
        <v>24540</v>
      </c>
      <c r="L43">
        <v>14</v>
      </c>
      <c r="M43" t="s">
        <v>336</v>
      </c>
    </row>
    <row r="44" spans="7:13">
      <c r="G44" s="57">
        <v>46265</v>
      </c>
      <c r="H44" t="s">
        <v>54</v>
      </c>
      <c r="I44" t="s">
        <v>103</v>
      </c>
      <c r="J44" t="s">
        <v>95</v>
      </c>
      <c r="K44">
        <v>3000</v>
      </c>
      <c r="L44">
        <v>15</v>
      </c>
      <c r="M44" t="s">
        <v>336</v>
      </c>
    </row>
    <row r="45" spans="7:13">
      <c r="G45" s="57">
        <v>46268</v>
      </c>
      <c r="H45" t="s">
        <v>54</v>
      </c>
      <c r="I45" t="s">
        <v>103</v>
      </c>
      <c r="J45" t="s">
        <v>93</v>
      </c>
      <c r="K45">
        <v>30000</v>
      </c>
      <c r="L45">
        <v>16</v>
      </c>
      <c r="M45" t="s">
        <v>336</v>
      </c>
    </row>
    <row r="46" spans="7:13">
      <c r="G46" s="57">
        <v>46264</v>
      </c>
      <c r="H46" t="s">
        <v>54</v>
      </c>
      <c r="I46" t="s">
        <v>103</v>
      </c>
      <c r="J46" t="s">
        <v>93</v>
      </c>
      <c r="K46">
        <v>20000</v>
      </c>
      <c r="L46">
        <v>17</v>
      </c>
      <c r="M46" t="s">
        <v>336</v>
      </c>
    </row>
    <row r="47" spans="7:13">
      <c r="G47" s="57">
        <v>46266</v>
      </c>
      <c r="H47" t="s">
        <v>54</v>
      </c>
      <c r="I47" t="s">
        <v>103</v>
      </c>
      <c r="J47" t="s">
        <v>93</v>
      </c>
      <c r="K47">
        <v>20000</v>
      </c>
      <c r="L47">
        <v>18</v>
      </c>
      <c r="M47" t="s">
        <v>336</v>
      </c>
    </row>
    <row r="48" spans="7:13">
      <c r="G48" s="57">
        <v>46268</v>
      </c>
      <c r="H48" t="s">
        <v>54</v>
      </c>
      <c r="I48" t="s">
        <v>103</v>
      </c>
      <c r="J48" t="s">
        <v>93</v>
      </c>
      <c r="K48">
        <v>12000</v>
      </c>
      <c r="L48">
        <v>19</v>
      </c>
      <c r="M48" t="s">
        <v>336</v>
      </c>
    </row>
    <row r="49" spans="7:13">
      <c r="G49" s="57">
        <v>46268</v>
      </c>
      <c r="H49" t="s">
        <v>54</v>
      </c>
      <c r="I49" t="s">
        <v>141</v>
      </c>
      <c r="J49" t="s">
        <v>142</v>
      </c>
      <c r="K49">
        <v>1000</v>
      </c>
      <c r="L49">
        <v>20</v>
      </c>
      <c r="M49" t="s">
        <v>336</v>
      </c>
    </row>
    <row r="50" spans="7:13">
      <c r="G50" s="57">
        <v>46268</v>
      </c>
      <c r="H50" t="s">
        <v>54</v>
      </c>
      <c r="I50" t="s">
        <v>125</v>
      </c>
      <c r="J50" t="s">
        <v>99</v>
      </c>
      <c r="K50">
        <v>2000</v>
      </c>
      <c r="L50">
        <v>21</v>
      </c>
      <c r="M50" t="s">
        <v>336</v>
      </c>
    </row>
    <row r="51" spans="7:13">
      <c r="G51" s="57">
        <v>46269</v>
      </c>
      <c r="H51" t="s">
        <v>54</v>
      </c>
      <c r="I51" t="s">
        <v>125</v>
      </c>
      <c r="J51" t="s">
        <v>104</v>
      </c>
      <c r="K51">
        <v>2000</v>
      </c>
      <c r="L51">
        <v>22</v>
      </c>
      <c r="M51" t="s">
        <v>336</v>
      </c>
    </row>
    <row r="52" spans="7:13">
      <c r="G52" s="57">
        <v>46269</v>
      </c>
      <c r="H52" t="s">
        <v>54</v>
      </c>
      <c r="I52" t="s">
        <v>103</v>
      </c>
      <c r="J52" t="s">
        <v>95</v>
      </c>
      <c r="K52">
        <v>2500</v>
      </c>
      <c r="L52">
        <v>23</v>
      </c>
      <c r="M52" t="s">
        <v>336</v>
      </c>
    </row>
    <row r="53" spans="7:13">
      <c r="G53" s="57">
        <v>46269</v>
      </c>
      <c r="H53" t="s">
        <v>68</v>
      </c>
      <c r="I53" t="s">
        <v>92</v>
      </c>
      <c r="J53" t="s">
        <v>101</v>
      </c>
      <c r="K53">
        <v>500</v>
      </c>
      <c r="L53">
        <v>24</v>
      </c>
      <c r="M53" t="s">
        <v>336</v>
      </c>
    </row>
    <row r="54" spans="7:13">
      <c r="G54" s="57">
        <v>46259</v>
      </c>
      <c r="H54" t="s">
        <v>68</v>
      </c>
      <c r="I54" t="s">
        <v>67</v>
      </c>
      <c r="J54" t="s">
        <v>87</v>
      </c>
      <c r="K54">
        <v>500</v>
      </c>
      <c r="L54">
        <v>25</v>
      </c>
      <c r="M54" t="s">
        <v>336</v>
      </c>
    </row>
    <row r="55" spans="7:13">
      <c r="G55" s="57">
        <v>46262</v>
      </c>
      <c r="H55" t="s">
        <v>68</v>
      </c>
      <c r="I55" t="s">
        <v>67</v>
      </c>
      <c r="J55" t="s">
        <v>69</v>
      </c>
      <c r="K55">
        <v>6000</v>
      </c>
      <c r="L55">
        <v>26</v>
      </c>
      <c r="M55" t="s">
        <v>336</v>
      </c>
    </row>
    <row r="56" spans="7:13">
      <c r="G56" s="57">
        <v>46262</v>
      </c>
      <c r="H56" t="s">
        <v>68</v>
      </c>
      <c r="I56" t="s">
        <v>67</v>
      </c>
      <c r="J56" t="s">
        <v>87</v>
      </c>
      <c r="K56">
        <v>2150</v>
      </c>
      <c r="L56">
        <v>27</v>
      </c>
      <c r="M56" t="s">
        <v>336</v>
      </c>
    </row>
    <row r="57" spans="7:13">
      <c r="G57" s="57">
        <v>46261</v>
      </c>
      <c r="H57" t="s">
        <v>68</v>
      </c>
      <c r="I57" t="s">
        <v>67</v>
      </c>
      <c r="J57" t="s">
        <v>87</v>
      </c>
      <c r="K57">
        <v>1670</v>
      </c>
      <c r="L57">
        <v>28</v>
      </c>
      <c r="M57" t="s">
        <v>336</v>
      </c>
    </row>
    <row r="58" spans="7:13">
      <c r="G58" s="57">
        <v>46261</v>
      </c>
      <c r="H58" t="s">
        <v>68</v>
      </c>
      <c r="I58" t="s">
        <v>67</v>
      </c>
      <c r="J58" t="s">
        <v>87</v>
      </c>
      <c r="K58">
        <v>2950</v>
      </c>
      <c r="L58">
        <v>29</v>
      </c>
      <c r="M58" t="s">
        <v>336</v>
      </c>
    </row>
    <row r="59" spans="7:13">
      <c r="G59" s="57">
        <v>46261</v>
      </c>
      <c r="H59" t="s">
        <v>68</v>
      </c>
      <c r="I59" t="s">
        <v>103</v>
      </c>
      <c r="J59" t="s">
        <v>104</v>
      </c>
      <c r="K59">
        <v>5150</v>
      </c>
      <c r="L59">
        <v>30</v>
      </c>
      <c r="M59" t="s">
        <v>336</v>
      </c>
    </row>
    <row r="60" spans="7:13">
      <c r="G60" s="57">
        <v>46261</v>
      </c>
      <c r="H60" t="s">
        <v>68</v>
      </c>
      <c r="I60" t="s">
        <v>92</v>
      </c>
      <c r="J60" t="s">
        <v>99</v>
      </c>
      <c r="K60">
        <v>5000</v>
      </c>
      <c r="L60">
        <v>31</v>
      </c>
      <c r="M60" t="s">
        <v>336</v>
      </c>
    </row>
    <row r="61" spans="7:13">
      <c r="G61" s="57">
        <v>46261</v>
      </c>
      <c r="H61" t="s">
        <v>68</v>
      </c>
      <c r="I61" t="s">
        <v>92</v>
      </c>
      <c r="J61" t="s">
        <v>95</v>
      </c>
      <c r="K61">
        <v>2000</v>
      </c>
      <c r="L61">
        <v>32</v>
      </c>
      <c r="M61" t="s">
        <v>336</v>
      </c>
    </row>
    <row r="62" spans="7:13">
      <c r="G62" s="57">
        <v>46267</v>
      </c>
      <c r="H62" t="s">
        <v>68</v>
      </c>
      <c r="I62" t="s">
        <v>67</v>
      </c>
      <c r="J62" t="s">
        <v>87</v>
      </c>
      <c r="K62">
        <v>4500</v>
      </c>
      <c r="L62">
        <v>33</v>
      </c>
      <c r="M62" t="s">
        <v>336</v>
      </c>
    </row>
    <row r="63" spans="7:13">
      <c r="G63" s="57">
        <v>46268</v>
      </c>
      <c r="H63" t="s">
        <v>68</v>
      </c>
      <c r="I63" t="s">
        <v>92</v>
      </c>
      <c r="J63" t="s">
        <v>101</v>
      </c>
      <c r="K63">
        <v>1000</v>
      </c>
      <c r="L63">
        <v>34</v>
      </c>
      <c r="M63" t="s">
        <v>336</v>
      </c>
    </row>
    <row r="64" spans="7:13">
      <c r="G64" s="57">
        <v>46268</v>
      </c>
      <c r="H64" t="s">
        <v>68</v>
      </c>
      <c r="I64" t="s">
        <v>67</v>
      </c>
      <c r="J64" t="s">
        <v>87</v>
      </c>
      <c r="K64">
        <v>2550</v>
      </c>
      <c r="L64">
        <v>35</v>
      </c>
      <c r="M64" t="s">
        <v>336</v>
      </c>
    </row>
    <row r="65" spans="7:13">
      <c r="G65" s="57">
        <v>46268</v>
      </c>
      <c r="H65" t="s">
        <v>68</v>
      </c>
      <c r="I65" t="s">
        <v>67</v>
      </c>
      <c r="J65" t="s">
        <v>87</v>
      </c>
      <c r="K65">
        <v>1400</v>
      </c>
      <c r="L65">
        <v>36</v>
      </c>
      <c r="M65" t="s">
        <v>336</v>
      </c>
    </row>
    <row r="66" spans="7:13">
      <c r="G66" s="57">
        <v>46268</v>
      </c>
      <c r="H66" t="s">
        <v>68</v>
      </c>
      <c r="I66" t="s">
        <v>67</v>
      </c>
      <c r="J66" t="s">
        <v>87</v>
      </c>
      <c r="K66">
        <v>4500</v>
      </c>
      <c r="L66">
        <v>37</v>
      </c>
      <c r="M66" t="s">
        <v>336</v>
      </c>
    </row>
    <row r="67" spans="7:13">
      <c r="G67" s="57">
        <v>46270</v>
      </c>
      <c r="H67" t="s">
        <v>68</v>
      </c>
      <c r="I67" t="s">
        <v>67</v>
      </c>
      <c r="J67" t="s">
        <v>69</v>
      </c>
      <c r="K67">
        <v>105</v>
      </c>
      <c r="L67">
        <v>38</v>
      </c>
      <c r="M67" t="s">
        <v>336</v>
      </c>
    </row>
    <row r="68" spans="7:13">
      <c r="G68" s="57">
        <v>46270</v>
      </c>
      <c r="H68" t="s">
        <v>68</v>
      </c>
      <c r="I68" t="s">
        <v>67</v>
      </c>
      <c r="J68" t="s">
        <v>69</v>
      </c>
      <c r="K68">
        <v>5</v>
      </c>
      <c r="L68">
        <v>39</v>
      </c>
      <c r="M68" t="s">
        <v>336</v>
      </c>
    </row>
    <row r="69" spans="7:13">
      <c r="G69" s="57">
        <v>46270</v>
      </c>
      <c r="H69" t="s">
        <v>68</v>
      </c>
      <c r="I69" t="s">
        <v>67</v>
      </c>
      <c r="J69" t="s">
        <v>69</v>
      </c>
      <c r="K69">
        <v>1010</v>
      </c>
      <c r="L69">
        <v>40</v>
      </c>
      <c r="M69" t="s">
        <v>336</v>
      </c>
    </row>
    <row r="70" spans="7:13">
      <c r="G70" s="57">
        <v>46269</v>
      </c>
      <c r="H70" t="s">
        <v>68</v>
      </c>
      <c r="I70" t="s">
        <v>92</v>
      </c>
      <c r="J70" t="s">
        <v>101</v>
      </c>
      <c r="K70">
        <v>500</v>
      </c>
      <c r="L70">
        <v>41</v>
      </c>
      <c r="M70" t="s">
        <v>337</v>
      </c>
    </row>
    <row r="71" spans="7:13">
      <c r="G71" s="57">
        <v>46270</v>
      </c>
      <c r="H71" t="s">
        <v>54</v>
      </c>
      <c r="I71" t="s">
        <v>125</v>
      </c>
      <c r="J71" t="s">
        <v>93</v>
      </c>
      <c r="K71">
        <v>17060</v>
      </c>
      <c r="L71">
        <v>42</v>
      </c>
      <c r="M71" t="s">
        <v>337</v>
      </c>
    </row>
    <row r="72" spans="7:13">
      <c r="G72" s="57">
        <v>46270</v>
      </c>
      <c r="H72" t="s">
        <v>54</v>
      </c>
      <c r="I72" t="s">
        <v>125</v>
      </c>
      <c r="J72" t="s">
        <v>93</v>
      </c>
      <c r="K72">
        <v>28440</v>
      </c>
      <c r="L72">
        <v>43</v>
      </c>
      <c r="M72" t="s">
        <v>337</v>
      </c>
    </row>
    <row r="73" spans="7:13">
      <c r="G73" s="57">
        <v>46269</v>
      </c>
      <c r="H73" t="s">
        <v>54</v>
      </c>
      <c r="I73" t="s">
        <v>132</v>
      </c>
      <c r="J73" t="s">
        <v>139</v>
      </c>
      <c r="K73">
        <v>5100</v>
      </c>
      <c r="L73">
        <v>44</v>
      </c>
      <c r="M73" t="s">
        <v>337</v>
      </c>
    </row>
    <row r="74" spans="7:13">
      <c r="G74" s="57">
        <v>46270</v>
      </c>
      <c r="H74" t="s">
        <v>54</v>
      </c>
      <c r="I74" t="s">
        <v>132</v>
      </c>
      <c r="J74" t="s">
        <v>139</v>
      </c>
      <c r="K74">
        <v>1975</v>
      </c>
      <c r="L74">
        <v>45</v>
      </c>
      <c r="M74" t="s">
        <v>337</v>
      </c>
    </row>
    <row r="75" spans="7:13">
      <c r="G75" s="57">
        <v>46272</v>
      </c>
      <c r="H75" t="s">
        <v>54</v>
      </c>
      <c r="I75" t="s">
        <v>132</v>
      </c>
      <c r="J75" t="s">
        <v>139</v>
      </c>
      <c r="K75">
        <v>3400</v>
      </c>
      <c r="L75">
        <v>46</v>
      </c>
      <c r="M75" t="s">
        <v>337</v>
      </c>
    </row>
    <row r="76" spans="7:13">
      <c r="G76" s="57">
        <v>46272</v>
      </c>
      <c r="H76" t="s">
        <v>54</v>
      </c>
      <c r="I76" t="s">
        <v>132</v>
      </c>
      <c r="J76" t="s">
        <v>135</v>
      </c>
      <c r="K76">
        <v>2400</v>
      </c>
      <c r="L76">
        <v>47</v>
      </c>
      <c r="M76" t="s">
        <v>337</v>
      </c>
    </row>
    <row r="77" spans="7:13">
      <c r="G77" s="57"/>
    </row>
    <row r="78" spans="7:13">
      <c r="G78" s="57">
        <v>46273</v>
      </c>
      <c r="H78" t="s">
        <v>54</v>
      </c>
      <c r="I78" t="s">
        <v>132</v>
      </c>
      <c r="J78" t="s">
        <v>135</v>
      </c>
      <c r="K78">
        <v>2240</v>
      </c>
      <c r="L78">
        <v>49</v>
      </c>
      <c r="M78" t="s">
        <v>337</v>
      </c>
    </row>
    <row r="79" spans="7:13">
      <c r="G79" s="57">
        <v>46273</v>
      </c>
      <c r="H79" t="s">
        <v>54</v>
      </c>
      <c r="I79" t="s">
        <v>132</v>
      </c>
      <c r="J79" t="s">
        <v>139</v>
      </c>
      <c r="K79">
        <v>2700</v>
      </c>
      <c r="L79">
        <v>50</v>
      </c>
      <c r="M79" t="s">
        <v>337</v>
      </c>
    </row>
    <row r="80" spans="7:13">
      <c r="G80" s="57">
        <v>46273</v>
      </c>
      <c r="H80" t="s">
        <v>54</v>
      </c>
      <c r="I80" t="s">
        <v>132</v>
      </c>
      <c r="J80" t="s">
        <v>139</v>
      </c>
      <c r="K80">
        <v>3000</v>
      </c>
      <c r="L80">
        <v>51</v>
      </c>
      <c r="M80" t="s">
        <v>337</v>
      </c>
    </row>
    <row r="81" spans="7:13">
      <c r="G81" s="57">
        <v>46273</v>
      </c>
      <c r="H81" t="s">
        <v>54</v>
      </c>
      <c r="I81" t="s">
        <v>125</v>
      </c>
      <c r="J81" t="s">
        <v>104</v>
      </c>
      <c r="K81">
        <v>5000</v>
      </c>
      <c r="L81">
        <v>52</v>
      </c>
      <c r="M81" t="s">
        <v>337</v>
      </c>
    </row>
    <row r="82" spans="7:13">
      <c r="G82" s="57">
        <v>46273</v>
      </c>
      <c r="H82" t="s">
        <v>54</v>
      </c>
      <c r="I82" t="s">
        <v>125</v>
      </c>
      <c r="J82" t="s">
        <v>99</v>
      </c>
      <c r="K82">
        <v>5000</v>
      </c>
      <c r="L82">
        <v>53</v>
      </c>
      <c r="M82" t="s">
        <v>337</v>
      </c>
    </row>
    <row r="83" spans="7:13">
      <c r="G83" s="57">
        <v>46273</v>
      </c>
      <c r="H83" t="s">
        <v>54</v>
      </c>
      <c r="I83" t="s">
        <v>125</v>
      </c>
      <c r="J83" t="s">
        <v>126</v>
      </c>
      <c r="K83">
        <v>4380</v>
      </c>
      <c r="L83">
        <v>54</v>
      </c>
      <c r="M83" t="s">
        <v>337</v>
      </c>
    </row>
    <row r="84" spans="7:13">
      <c r="G84" s="57">
        <v>46274</v>
      </c>
      <c r="H84" t="s">
        <v>54</v>
      </c>
      <c r="I84" t="s">
        <v>132</v>
      </c>
      <c r="J84" t="s">
        <v>135</v>
      </c>
      <c r="K84">
        <v>2400</v>
      </c>
      <c r="L84">
        <v>55</v>
      </c>
      <c r="M84" t="s">
        <v>337</v>
      </c>
    </row>
    <row r="85" spans="7:13">
      <c r="G85" s="57">
        <v>46275</v>
      </c>
      <c r="H85" t="s">
        <v>54</v>
      </c>
      <c r="I85" t="s">
        <v>132</v>
      </c>
      <c r="J85" t="s">
        <v>139</v>
      </c>
      <c r="K85">
        <v>246</v>
      </c>
      <c r="L85">
        <v>56</v>
      </c>
      <c r="M85" t="s">
        <v>337</v>
      </c>
    </row>
    <row r="86" spans="7:13">
      <c r="G86" s="57">
        <v>46275</v>
      </c>
      <c r="H86" t="s">
        <v>54</v>
      </c>
      <c r="I86" t="s">
        <v>132</v>
      </c>
      <c r="J86" t="s">
        <v>135</v>
      </c>
      <c r="K86">
        <v>1975</v>
      </c>
      <c r="L86">
        <v>57</v>
      </c>
      <c r="M86" t="s">
        <v>337</v>
      </c>
    </row>
    <row r="87" spans="7:13">
      <c r="G87" s="57">
        <v>46275</v>
      </c>
      <c r="H87" t="s">
        <v>54</v>
      </c>
      <c r="I87" t="s">
        <v>132</v>
      </c>
      <c r="J87" t="s">
        <v>139</v>
      </c>
      <c r="K87">
        <v>3000</v>
      </c>
      <c r="L87">
        <v>58</v>
      </c>
      <c r="M87" t="s">
        <v>337</v>
      </c>
    </row>
    <row r="88" spans="7:13">
      <c r="G88" s="57">
        <v>46275</v>
      </c>
      <c r="H88" t="s">
        <v>54</v>
      </c>
      <c r="I88" t="s">
        <v>125</v>
      </c>
      <c r="J88" t="s">
        <v>104</v>
      </c>
      <c r="K88">
        <v>2750</v>
      </c>
      <c r="L88">
        <v>59</v>
      </c>
      <c r="M88" t="s">
        <v>337</v>
      </c>
    </row>
    <row r="89" spans="7:13">
      <c r="G89" s="57">
        <v>46275</v>
      </c>
      <c r="H89" t="s">
        <v>54</v>
      </c>
      <c r="I89" t="s">
        <v>103</v>
      </c>
      <c r="J89" t="s">
        <v>95</v>
      </c>
      <c r="K89">
        <v>2250</v>
      </c>
      <c r="L89">
        <v>60</v>
      </c>
      <c r="M89" t="s">
        <v>337</v>
      </c>
    </row>
    <row r="90" spans="7:13">
      <c r="G90" s="57">
        <v>46275</v>
      </c>
      <c r="H90" t="s">
        <v>54</v>
      </c>
      <c r="I90" t="s">
        <v>132</v>
      </c>
      <c r="J90" t="s">
        <v>139</v>
      </c>
      <c r="K90">
        <v>3600</v>
      </c>
      <c r="L90">
        <v>61</v>
      </c>
      <c r="M90" t="s">
        <v>337</v>
      </c>
    </row>
    <row r="91" spans="7:13">
      <c r="G91" s="57">
        <v>46275</v>
      </c>
      <c r="H91" t="s">
        <v>54</v>
      </c>
      <c r="I91" t="s">
        <v>53</v>
      </c>
      <c r="J91" t="s">
        <v>63</v>
      </c>
      <c r="K91">
        <v>200</v>
      </c>
      <c r="L91">
        <v>62</v>
      </c>
      <c r="M91" t="s">
        <v>337</v>
      </c>
    </row>
    <row r="92" spans="7:13">
      <c r="G92" s="57">
        <v>46275</v>
      </c>
      <c r="H92" t="s">
        <v>54</v>
      </c>
      <c r="I92" t="s">
        <v>132</v>
      </c>
      <c r="J92" t="s">
        <v>139</v>
      </c>
      <c r="K92">
        <v>3510</v>
      </c>
      <c r="L92">
        <v>63</v>
      </c>
      <c r="M92" t="s">
        <v>337</v>
      </c>
    </row>
    <row r="93" spans="7:13">
      <c r="G93" s="57">
        <v>46275</v>
      </c>
      <c r="H93" t="s">
        <v>54</v>
      </c>
      <c r="I93" t="s">
        <v>132</v>
      </c>
      <c r="J93" t="s">
        <v>135</v>
      </c>
      <c r="K93">
        <v>2400</v>
      </c>
      <c r="L93">
        <v>64</v>
      </c>
      <c r="M93" t="s">
        <v>337</v>
      </c>
    </row>
    <row r="94" spans="7:13">
      <c r="G94" s="57">
        <v>46275</v>
      </c>
      <c r="H94" t="s">
        <v>54</v>
      </c>
      <c r="I94" t="s">
        <v>132</v>
      </c>
      <c r="J94" t="s">
        <v>139</v>
      </c>
      <c r="K94">
        <v>4275</v>
      </c>
      <c r="L94">
        <v>65</v>
      </c>
      <c r="M94" t="s">
        <v>337</v>
      </c>
    </row>
    <row r="95" spans="7:13">
      <c r="G95" s="57"/>
    </row>
    <row r="96" spans="7:13">
      <c r="G96" s="57">
        <v>46276</v>
      </c>
      <c r="H96" t="s">
        <v>54</v>
      </c>
      <c r="I96" t="s">
        <v>103</v>
      </c>
      <c r="J96" t="s">
        <v>93</v>
      </c>
      <c r="K96">
        <v>16500</v>
      </c>
      <c r="L96">
        <v>66</v>
      </c>
      <c r="M96" t="s">
        <v>337</v>
      </c>
    </row>
    <row r="97" spans="7:13">
      <c r="G97" s="57">
        <v>46276</v>
      </c>
      <c r="H97" t="s">
        <v>54</v>
      </c>
      <c r="I97" t="s">
        <v>53</v>
      </c>
      <c r="J97" t="s">
        <v>59</v>
      </c>
      <c r="K97">
        <v>300</v>
      </c>
      <c r="L97">
        <v>67</v>
      </c>
      <c r="M97" t="s">
        <v>337</v>
      </c>
    </row>
    <row r="98" spans="7:13">
      <c r="G98" s="57">
        <v>46276</v>
      </c>
      <c r="H98" t="s">
        <v>54</v>
      </c>
      <c r="I98" t="s">
        <v>132</v>
      </c>
      <c r="J98" t="s">
        <v>139</v>
      </c>
      <c r="K98">
        <v>9810</v>
      </c>
      <c r="L98">
        <v>68</v>
      </c>
      <c r="M98" t="s">
        <v>337</v>
      </c>
    </row>
    <row r="99" spans="7:13">
      <c r="G99" s="57">
        <v>46276</v>
      </c>
      <c r="H99" t="s">
        <v>54</v>
      </c>
      <c r="I99" t="s">
        <v>132</v>
      </c>
      <c r="J99" t="s">
        <v>135</v>
      </c>
      <c r="K99">
        <v>2300</v>
      </c>
      <c r="L99">
        <v>69</v>
      </c>
      <c r="M99" t="s">
        <v>337</v>
      </c>
    </row>
    <row r="100" spans="7:13">
      <c r="G100" s="57">
        <v>46260</v>
      </c>
      <c r="H100" t="s">
        <v>68</v>
      </c>
      <c r="I100" t="s">
        <v>108</v>
      </c>
      <c r="J100" t="s">
        <v>119</v>
      </c>
      <c r="K100">
        <v>10010</v>
      </c>
      <c r="L100">
        <v>70</v>
      </c>
      <c r="M100" t="s">
        <v>337</v>
      </c>
    </row>
    <row r="101" spans="7:13">
      <c r="G101" s="57">
        <v>46273</v>
      </c>
      <c r="H101" t="s">
        <v>68</v>
      </c>
      <c r="I101" t="s">
        <v>108</v>
      </c>
      <c r="J101" t="s">
        <v>117</v>
      </c>
      <c r="K101">
        <v>1920</v>
      </c>
      <c r="L101">
        <v>71</v>
      </c>
      <c r="M101" t="s">
        <v>337</v>
      </c>
    </row>
    <row r="102" spans="7:13">
      <c r="G102" s="57">
        <v>46273</v>
      </c>
      <c r="H102" t="s">
        <v>68</v>
      </c>
      <c r="I102" t="s">
        <v>108</v>
      </c>
      <c r="J102" t="s">
        <v>111</v>
      </c>
      <c r="K102">
        <v>7970</v>
      </c>
      <c r="L102">
        <v>72</v>
      </c>
      <c r="M102" t="s">
        <v>337</v>
      </c>
    </row>
    <row r="103" spans="7:13">
      <c r="G103" s="57">
        <v>46268</v>
      </c>
      <c r="H103" t="s">
        <v>68</v>
      </c>
      <c r="I103" t="s">
        <v>108</v>
      </c>
      <c r="J103" t="s">
        <v>111</v>
      </c>
      <c r="K103">
        <v>6820</v>
      </c>
      <c r="L103">
        <v>73</v>
      </c>
      <c r="M103" t="s">
        <v>337</v>
      </c>
    </row>
    <row r="104" spans="7:13">
      <c r="G104" s="57">
        <v>46268</v>
      </c>
      <c r="H104" t="s">
        <v>68</v>
      </c>
      <c r="I104" t="s">
        <v>108</v>
      </c>
      <c r="J104" t="s">
        <v>117</v>
      </c>
      <c r="K104">
        <v>3000</v>
      </c>
      <c r="L104">
        <v>74</v>
      </c>
      <c r="M104" t="s">
        <v>337</v>
      </c>
    </row>
    <row r="105" spans="7:13">
      <c r="G105" s="57">
        <v>46276</v>
      </c>
      <c r="H105" t="s">
        <v>68</v>
      </c>
      <c r="I105" t="s">
        <v>108</v>
      </c>
      <c r="J105" t="s">
        <v>115</v>
      </c>
      <c r="K105">
        <v>3890</v>
      </c>
      <c r="L105">
        <v>75</v>
      </c>
      <c r="M105" t="s">
        <v>337</v>
      </c>
    </row>
    <row r="106" spans="7:13">
      <c r="G106" s="57">
        <v>46277</v>
      </c>
      <c r="H106" t="s">
        <v>54</v>
      </c>
      <c r="I106" t="s">
        <v>103</v>
      </c>
      <c r="J106" t="s">
        <v>93</v>
      </c>
      <c r="K106">
        <v>9000</v>
      </c>
      <c r="L106">
        <v>76</v>
      </c>
      <c r="M106" t="s">
        <v>337</v>
      </c>
    </row>
    <row r="107" spans="7:13">
      <c r="G107" s="57">
        <v>46277</v>
      </c>
      <c r="H107" t="s">
        <v>54</v>
      </c>
      <c r="I107" t="s">
        <v>132</v>
      </c>
      <c r="J107" t="s">
        <v>139</v>
      </c>
      <c r="K107">
        <v>2214</v>
      </c>
      <c r="L107">
        <v>77</v>
      </c>
      <c r="M107" t="s">
        <v>337</v>
      </c>
    </row>
    <row r="108" spans="7:13">
      <c r="G108" s="57">
        <v>46277</v>
      </c>
      <c r="H108" t="s">
        <v>54</v>
      </c>
      <c r="I108" t="s">
        <v>132</v>
      </c>
      <c r="J108" t="s">
        <v>135</v>
      </c>
      <c r="K108">
        <v>3150</v>
      </c>
      <c r="L108">
        <v>78</v>
      </c>
      <c r="M108" t="s">
        <v>337</v>
      </c>
    </row>
    <row r="109" spans="7:13">
      <c r="G109" s="57">
        <v>46278</v>
      </c>
      <c r="H109" t="s">
        <v>54</v>
      </c>
      <c r="I109" t="s">
        <v>125</v>
      </c>
      <c r="J109" t="s">
        <v>104</v>
      </c>
      <c r="K109">
        <v>4300</v>
      </c>
      <c r="L109">
        <v>79</v>
      </c>
      <c r="M109" t="s">
        <v>337</v>
      </c>
    </row>
    <row r="110" spans="7:13">
      <c r="G110" s="57">
        <v>46278</v>
      </c>
      <c r="H110" t="s">
        <v>54</v>
      </c>
      <c r="I110" t="s">
        <v>65</v>
      </c>
      <c r="J110" t="s">
        <v>65</v>
      </c>
      <c r="K110">
        <v>500</v>
      </c>
      <c r="L110">
        <v>80</v>
      </c>
      <c r="M110" t="s">
        <v>337</v>
      </c>
    </row>
    <row r="111" spans="7:13">
      <c r="G111" s="57">
        <v>46280</v>
      </c>
      <c r="H111" t="s">
        <v>54</v>
      </c>
      <c r="I111" t="s">
        <v>132</v>
      </c>
      <c r="J111" t="s">
        <v>139</v>
      </c>
      <c r="K111">
        <v>2565</v>
      </c>
      <c r="L111">
        <v>81</v>
      </c>
      <c r="M111" t="s">
        <v>337</v>
      </c>
    </row>
    <row r="112" spans="7:13">
      <c r="G112" s="57">
        <v>46280</v>
      </c>
      <c r="H112" t="s">
        <v>54</v>
      </c>
      <c r="I112" t="s">
        <v>132</v>
      </c>
      <c r="J112" t="s">
        <v>139</v>
      </c>
      <c r="K112">
        <v>5101</v>
      </c>
      <c r="L112">
        <v>82</v>
      </c>
      <c r="M112" t="s">
        <v>337</v>
      </c>
    </row>
    <row r="113" spans="7:13">
      <c r="G113" s="57">
        <v>46280</v>
      </c>
      <c r="H113" t="s">
        <v>54</v>
      </c>
      <c r="I113" t="s">
        <v>132</v>
      </c>
      <c r="J113" t="s">
        <v>135</v>
      </c>
      <c r="K113">
        <v>2375</v>
      </c>
      <c r="L113">
        <v>83</v>
      </c>
      <c r="M113" t="s">
        <v>337</v>
      </c>
    </row>
    <row r="114" spans="7:13">
      <c r="G114" s="57">
        <v>46280</v>
      </c>
      <c r="H114" t="s">
        <v>54</v>
      </c>
      <c r="I114" t="s">
        <v>132</v>
      </c>
      <c r="J114" t="s">
        <v>139</v>
      </c>
      <c r="K114">
        <v>12000</v>
      </c>
      <c r="L114">
        <v>84</v>
      </c>
      <c r="M114" t="s">
        <v>337</v>
      </c>
    </row>
    <row r="115" spans="7:13">
      <c r="G115" s="57">
        <v>46280</v>
      </c>
      <c r="H115" t="s">
        <v>54</v>
      </c>
      <c r="I115" t="s">
        <v>65</v>
      </c>
      <c r="J115" t="s">
        <v>65</v>
      </c>
      <c r="K115">
        <v>2000</v>
      </c>
      <c r="L115">
        <v>85</v>
      </c>
      <c r="M115" t="s">
        <v>337</v>
      </c>
    </row>
    <row r="116" spans="7:13">
      <c r="G116" s="57">
        <v>46280</v>
      </c>
      <c r="H116" t="s">
        <v>54</v>
      </c>
      <c r="I116" t="s">
        <v>125</v>
      </c>
      <c r="J116" t="s">
        <v>126</v>
      </c>
      <c r="K116">
        <v>3000</v>
      </c>
      <c r="L116">
        <v>86</v>
      </c>
      <c r="M116" t="s">
        <v>337</v>
      </c>
    </row>
    <row r="117" spans="7:13">
      <c r="G117" s="57">
        <v>46280</v>
      </c>
      <c r="H117" t="s">
        <v>54</v>
      </c>
      <c r="I117" t="s">
        <v>125</v>
      </c>
      <c r="J117" t="s">
        <v>99</v>
      </c>
      <c r="K117">
        <v>5000</v>
      </c>
      <c r="L117">
        <v>87</v>
      </c>
      <c r="M117" t="s">
        <v>337</v>
      </c>
    </row>
    <row r="118" spans="7:13">
      <c r="G118" s="57">
        <v>46280</v>
      </c>
      <c r="H118" t="s">
        <v>54</v>
      </c>
      <c r="I118" t="s">
        <v>125</v>
      </c>
      <c r="J118" t="s">
        <v>97</v>
      </c>
      <c r="K118">
        <v>3000</v>
      </c>
      <c r="L118">
        <v>88</v>
      </c>
      <c r="M118" t="s">
        <v>337</v>
      </c>
    </row>
    <row r="119" spans="7:13">
      <c r="G119" s="57">
        <v>46280</v>
      </c>
      <c r="H119" t="s">
        <v>54</v>
      </c>
      <c r="I119" t="s">
        <v>125</v>
      </c>
      <c r="J119" t="s">
        <v>95</v>
      </c>
      <c r="K119">
        <v>2000</v>
      </c>
      <c r="L119">
        <v>89</v>
      </c>
      <c r="M119" t="s">
        <v>337</v>
      </c>
    </row>
    <row r="120" spans="7:13">
      <c r="G120" s="57">
        <v>46280</v>
      </c>
      <c r="H120" t="s">
        <v>54</v>
      </c>
      <c r="I120" t="s">
        <v>103</v>
      </c>
      <c r="J120" t="s">
        <v>93</v>
      </c>
      <c r="K120">
        <v>10000</v>
      </c>
      <c r="L120">
        <v>90</v>
      </c>
      <c r="M120" t="s">
        <v>337</v>
      </c>
    </row>
    <row r="121" spans="7:13">
      <c r="G121" s="57">
        <v>46281</v>
      </c>
      <c r="H121" t="s">
        <v>54</v>
      </c>
      <c r="I121" t="s">
        <v>132</v>
      </c>
      <c r="J121" t="s">
        <v>139</v>
      </c>
      <c r="K121">
        <v>5101</v>
      </c>
      <c r="L121">
        <v>91</v>
      </c>
      <c r="M121" t="s">
        <v>337</v>
      </c>
    </row>
    <row r="122" spans="7:13">
      <c r="G122" s="57">
        <v>46281</v>
      </c>
      <c r="H122" t="s">
        <v>54</v>
      </c>
      <c r="I122" t="s">
        <v>132</v>
      </c>
      <c r="J122" t="s">
        <v>135</v>
      </c>
      <c r="K122">
        <v>2560</v>
      </c>
      <c r="L122">
        <v>92</v>
      </c>
      <c r="M122" t="s">
        <v>337</v>
      </c>
    </row>
    <row r="123" spans="7:13">
      <c r="G123" s="57">
        <v>46280</v>
      </c>
      <c r="H123" t="s">
        <v>68</v>
      </c>
      <c r="I123" t="s">
        <v>108</v>
      </c>
      <c r="J123" t="s">
        <v>117</v>
      </c>
      <c r="K123">
        <v>2020</v>
      </c>
      <c r="L123">
        <v>93</v>
      </c>
      <c r="M123" t="s">
        <v>337</v>
      </c>
    </row>
    <row r="124" spans="7:13">
      <c r="G124" s="57">
        <v>46280</v>
      </c>
      <c r="H124" t="s">
        <v>68</v>
      </c>
      <c r="I124" t="s">
        <v>108</v>
      </c>
      <c r="J124" t="s">
        <v>113</v>
      </c>
      <c r="K124">
        <v>1000</v>
      </c>
      <c r="L124">
        <v>94</v>
      </c>
      <c r="M124" t="s">
        <v>337</v>
      </c>
    </row>
    <row r="125" spans="7:13">
      <c r="G125" s="57">
        <v>46280</v>
      </c>
      <c r="H125" t="s">
        <v>68</v>
      </c>
      <c r="I125" t="s">
        <v>108</v>
      </c>
      <c r="J125" t="s">
        <v>111</v>
      </c>
      <c r="K125">
        <v>6940</v>
      </c>
      <c r="L125">
        <v>95</v>
      </c>
      <c r="M125" t="s">
        <v>337</v>
      </c>
    </row>
    <row r="126" spans="7:13">
      <c r="G126" s="57">
        <v>46282</v>
      </c>
      <c r="H126" t="s">
        <v>54</v>
      </c>
      <c r="I126" t="s">
        <v>125</v>
      </c>
      <c r="J126" t="s">
        <v>99</v>
      </c>
      <c r="K126">
        <v>3400</v>
      </c>
      <c r="L126">
        <v>96</v>
      </c>
      <c r="M126" t="s">
        <v>337</v>
      </c>
    </row>
    <row r="127" spans="7:13">
      <c r="G127" s="57">
        <v>46282</v>
      </c>
      <c r="H127" t="s">
        <v>54</v>
      </c>
      <c r="I127" t="s">
        <v>132</v>
      </c>
      <c r="J127" t="s">
        <v>139</v>
      </c>
      <c r="K127">
        <v>6300</v>
      </c>
      <c r="L127">
        <v>97</v>
      </c>
      <c r="M127" t="s">
        <v>337</v>
      </c>
    </row>
    <row r="128" spans="7:13">
      <c r="G128" s="57">
        <v>46283</v>
      </c>
      <c r="H128" t="s">
        <v>54</v>
      </c>
      <c r="I128" t="s">
        <v>132</v>
      </c>
      <c r="J128" t="s">
        <v>139</v>
      </c>
      <c r="K128">
        <v>10481</v>
      </c>
      <c r="L128">
        <v>98</v>
      </c>
      <c r="M128" t="s">
        <v>337</v>
      </c>
    </row>
    <row r="129" spans="7:13">
      <c r="G129" s="57">
        <v>46283</v>
      </c>
      <c r="H129" t="s">
        <v>54</v>
      </c>
      <c r="I129" t="s">
        <v>132</v>
      </c>
      <c r="J129" t="s">
        <v>135</v>
      </c>
      <c r="K129">
        <v>6005</v>
      </c>
      <c r="L129">
        <v>99</v>
      </c>
      <c r="M129" t="s">
        <v>337</v>
      </c>
    </row>
    <row r="130" spans="7:13">
      <c r="G130" s="57">
        <v>46282</v>
      </c>
      <c r="H130" t="s">
        <v>54</v>
      </c>
      <c r="I130" t="s">
        <v>103</v>
      </c>
      <c r="J130" t="s">
        <v>93</v>
      </c>
      <c r="K130">
        <v>22000</v>
      </c>
      <c r="L130">
        <v>100</v>
      </c>
      <c r="M130" t="s">
        <v>337</v>
      </c>
    </row>
    <row r="131" spans="7:13">
      <c r="G131" s="57">
        <v>46284</v>
      </c>
      <c r="H131" t="s">
        <v>54</v>
      </c>
      <c r="I131" t="s">
        <v>125</v>
      </c>
      <c r="J131" t="s">
        <v>104</v>
      </c>
      <c r="K131">
        <v>5000</v>
      </c>
      <c r="L131">
        <v>101</v>
      </c>
      <c r="M131" t="s">
        <v>337</v>
      </c>
    </row>
    <row r="132" spans="7:13">
      <c r="G132" s="57">
        <v>46284</v>
      </c>
      <c r="H132" t="s">
        <v>54</v>
      </c>
      <c r="I132" t="s">
        <v>125</v>
      </c>
      <c r="J132" t="s">
        <v>126</v>
      </c>
      <c r="K132">
        <v>5000</v>
      </c>
      <c r="L132">
        <v>102</v>
      </c>
      <c r="M132" t="s">
        <v>337</v>
      </c>
    </row>
    <row r="133" spans="7:13">
      <c r="G133" s="57">
        <v>46284</v>
      </c>
      <c r="H133" t="s">
        <v>54</v>
      </c>
      <c r="I133" t="s">
        <v>125</v>
      </c>
      <c r="J133" t="s">
        <v>99</v>
      </c>
      <c r="K133">
        <v>5000</v>
      </c>
      <c r="L133">
        <v>103</v>
      </c>
      <c r="M133" t="s">
        <v>337</v>
      </c>
    </row>
    <row r="134" spans="7:13">
      <c r="G134" s="57">
        <v>46284</v>
      </c>
      <c r="H134" t="s">
        <v>54</v>
      </c>
      <c r="I134" t="s">
        <v>125</v>
      </c>
      <c r="J134" t="s">
        <v>97</v>
      </c>
      <c r="K134">
        <v>3000</v>
      </c>
      <c r="L134">
        <v>104</v>
      </c>
      <c r="M134" t="s">
        <v>337</v>
      </c>
    </row>
    <row r="135" spans="7:13">
      <c r="G135" s="57">
        <v>46284</v>
      </c>
      <c r="H135" t="s">
        <v>54</v>
      </c>
      <c r="I135" t="s">
        <v>125</v>
      </c>
      <c r="J135" t="s">
        <v>95</v>
      </c>
      <c r="K135">
        <v>3000</v>
      </c>
      <c r="L135">
        <v>105</v>
      </c>
      <c r="M135" t="s">
        <v>337</v>
      </c>
    </row>
    <row r="136" spans="7:13">
      <c r="G136" s="57">
        <v>46283</v>
      </c>
      <c r="H136" t="s">
        <v>54</v>
      </c>
      <c r="I136" t="s">
        <v>132</v>
      </c>
      <c r="J136" t="s">
        <v>139</v>
      </c>
      <c r="K136">
        <v>5250</v>
      </c>
      <c r="L136">
        <v>106</v>
      </c>
      <c r="M136" t="s">
        <v>337</v>
      </c>
    </row>
    <row r="137" spans="7:13">
      <c r="G137" s="57">
        <v>46284</v>
      </c>
      <c r="H137" t="s">
        <v>54</v>
      </c>
      <c r="I137" t="s">
        <v>53</v>
      </c>
      <c r="J137" t="s">
        <v>55</v>
      </c>
      <c r="K137">
        <v>50</v>
      </c>
      <c r="L137">
        <v>107</v>
      </c>
      <c r="M137" t="s">
        <v>337</v>
      </c>
    </row>
    <row r="138" spans="7:13">
      <c r="G138" s="57">
        <v>46284</v>
      </c>
      <c r="H138" t="s">
        <v>54</v>
      </c>
      <c r="I138" t="s">
        <v>53</v>
      </c>
      <c r="J138" t="s">
        <v>59</v>
      </c>
      <c r="K138">
        <v>50</v>
      </c>
      <c r="L138">
        <v>108</v>
      </c>
      <c r="M138" t="s">
        <v>337</v>
      </c>
    </row>
    <row r="139" spans="7:13">
      <c r="G139" s="57">
        <v>46284</v>
      </c>
      <c r="H139" t="s">
        <v>54</v>
      </c>
      <c r="I139" t="s">
        <v>65</v>
      </c>
      <c r="J139" t="s">
        <v>65</v>
      </c>
      <c r="K139">
        <v>960</v>
      </c>
      <c r="L139">
        <v>109</v>
      </c>
      <c r="M139" t="s">
        <v>337</v>
      </c>
    </row>
    <row r="140" spans="7:13">
      <c r="G140" s="57">
        <v>46284</v>
      </c>
      <c r="H140" t="s">
        <v>54</v>
      </c>
      <c r="I140" t="s">
        <v>146</v>
      </c>
      <c r="J140" t="s">
        <v>155</v>
      </c>
      <c r="K140">
        <v>16</v>
      </c>
      <c r="L140">
        <v>110</v>
      </c>
      <c r="M140" t="s">
        <v>337</v>
      </c>
    </row>
    <row r="141" spans="7:13">
      <c r="G141" s="57">
        <v>46284</v>
      </c>
      <c r="H141" t="s">
        <v>54</v>
      </c>
      <c r="I141" t="s">
        <v>146</v>
      </c>
      <c r="J141" t="s">
        <v>338</v>
      </c>
      <c r="K141">
        <v>7</v>
      </c>
      <c r="L141">
        <v>111</v>
      </c>
      <c r="M141" t="s">
        <v>337</v>
      </c>
    </row>
    <row r="142" spans="7:13">
      <c r="G142" s="57">
        <v>46284</v>
      </c>
      <c r="H142" t="s">
        <v>54</v>
      </c>
      <c r="I142" t="s">
        <v>146</v>
      </c>
      <c r="J142" t="s">
        <v>159</v>
      </c>
      <c r="K142">
        <v>20</v>
      </c>
      <c r="L142">
        <v>112</v>
      </c>
      <c r="M142" t="s">
        <v>337</v>
      </c>
    </row>
    <row r="143" spans="7:13">
      <c r="G143" s="57">
        <v>46284</v>
      </c>
      <c r="H143" t="s">
        <v>54</v>
      </c>
      <c r="I143" t="s">
        <v>146</v>
      </c>
      <c r="J143" t="s">
        <v>157</v>
      </c>
      <c r="K143">
        <v>17</v>
      </c>
      <c r="L143">
        <v>113</v>
      </c>
      <c r="M143" t="s">
        <v>337</v>
      </c>
    </row>
    <row r="144" spans="7:13">
      <c r="G144" s="57">
        <v>46284</v>
      </c>
      <c r="H144" t="s">
        <v>54</v>
      </c>
      <c r="I144" t="s">
        <v>146</v>
      </c>
      <c r="J144" t="s">
        <v>151</v>
      </c>
      <c r="K144">
        <v>70</v>
      </c>
      <c r="L144">
        <v>114</v>
      </c>
      <c r="M144" t="s">
        <v>337</v>
      </c>
    </row>
    <row r="145" spans="7:13">
      <c r="G145" s="57">
        <v>46284</v>
      </c>
      <c r="H145" t="s">
        <v>68</v>
      </c>
      <c r="I145" t="s">
        <v>67</v>
      </c>
      <c r="J145" t="s">
        <v>69</v>
      </c>
      <c r="K145">
        <v>6000</v>
      </c>
      <c r="L145">
        <v>115</v>
      </c>
      <c r="M145" t="s">
        <v>337</v>
      </c>
    </row>
    <row r="146" spans="7:13">
      <c r="G146" s="57">
        <v>46284</v>
      </c>
      <c r="H146" t="s">
        <v>68</v>
      </c>
      <c r="I146" t="s">
        <v>103</v>
      </c>
      <c r="J146" t="s">
        <v>104</v>
      </c>
      <c r="K146">
        <v>5850</v>
      </c>
      <c r="L146">
        <v>116</v>
      </c>
      <c r="M146" t="s">
        <v>337</v>
      </c>
    </row>
    <row r="147" spans="7:13">
      <c r="G147" s="57">
        <v>46286</v>
      </c>
      <c r="H147" t="s">
        <v>54</v>
      </c>
      <c r="I147" t="s">
        <v>132</v>
      </c>
      <c r="J147" t="s">
        <v>139</v>
      </c>
      <c r="K147">
        <v>10202</v>
      </c>
      <c r="L147">
        <v>117</v>
      </c>
      <c r="M147" t="s">
        <v>337</v>
      </c>
    </row>
    <row r="148" spans="7:13">
      <c r="G148" s="57">
        <v>46286</v>
      </c>
      <c r="H148" t="s">
        <v>54</v>
      </c>
      <c r="I148" t="s">
        <v>125</v>
      </c>
      <c r="J148" t="s">
        <v>99</v>
      </c>
      <c r="K148">
        <v>2000</v>
      </c>
      <c r="L148">
        <v>118</v>
      </c>
      <c r="M148" t="s">
        <v>337</v>
      </c>
    </row>
    <row r="149" spans="7:13">
      <c r="G149" s="57">
        <v>46286</v>
      </c>
      <c r="H149" t="s">
        <v>54</v>
      </c>
      <c r="I149" t="s">
        <v>125</v>
      </c>
      <c r="J149" t="s">
        <v>104</v>
      </c>
      <c r="K149">
        <v>2000</v>
      </c>
      <c r="L149">
        <v>119</v>
      </c>
      <c r="M149" t="s">
        <v>337</v>
      </c>
    </row>
    <row r="150" spans="7:13">
      <c r="G150" s="57">
        <v>46286</v>
      </c>
      <c r="H150" t="s">
        <v>54</v>
      </c>
      <c r="I150" t="s">
        <v>125</v>
      </c>
      <c r="J150" t="s">
        <v>126</v>
      </c>
      <c r="K150">
        <v>2000</v>
      </c>
      <c r="L150">
        <v>120</v>
      </c>
      <c r="M150" t="s">
        <v>337</v>
      </c>
    </row>
    <row r="151" spans="7:13">
      <c r="G151" s="57">
        <v>46286</v>
      </c>
      <c r="H151" t="s">
        <v>54</v>
      </c>
      <c r="I151" t="s">
        <v>125</v>
      </c>
      <c r="J151" t="s">
        <v>130</v>
      </c>
      <c r="K151">
        <v>200</v>
      </c>
      <c r="L151">
        <v>121</v>
      </c>
      <c r="M151" t="s">
        <v>337</v>
      </c>
    </row>
    <row r="152" spans="7:13">
      <c r="G152" s="57">
        <v>46286</v>
      </c>
      <c r="H152" t="s">
        <v>54</v>
      </c>
      <c r="I152" t="s">
        <v>125</v>
      </c>
      <c r="J152" t="s">
        <v>128</v>
      </c>
      <c r="K152">
        <v>200</v>
      </c>
      <c r="L152">
        <v>122</v>
      </c>
      <c r="M152" t="s">
        <v>337</v>
      </c>
    </row>
    <row r="153" spans="7:13">
      <c r="G153" s="57">
        <v>46286</v>
      </c>
      <c r="H153" t="s">
        <v>54</v>
      </c>
      <c r="I153" t="s">
        <v>125</v>
      </c>
      <c r="J153" t="s">
        <v>97</v>
      </c>
      <c r="K153">
        <v>2010</v>
      </c>
      <c r="L153">
        <v>123</v>
      </c>
      <c r="M153" t="s">
        <v>337</v>
      </c>
    </row>
    <row r="154" spans="7:13">
      <c r="G154" s="57">
        <v>46286</v>
      </c>
      <c r="H154" t="s">
        <v>54</v>
      </c>
      <c r="I154" t="s">
        <v>125</v>
      </c>
      <c r="J154" t="s">
        <v>93</v>
      </c>
      <c r="K154">
        <v>15034</v>
      </c>
      <c r="L154">
        <v>124</v>
      </c>
      <c r="M154" t="s">
        <v>337</v>
      </c>
    </row>
    <row r="155" spans="7:13">
      <c r="G155" s="57">
        <v>46273</v>
      </c>
      <c r="H155" t="s">
        <v>68</v>
      </c>
      <c r="I155" t="s">
        <v>67</v>
      </c>
      <c r="J155" t="s">
        <v>87</v>
      </c>
      <c r="K155">
        <v>3700</v>
      </c>
      <c r="L155">
        <v>125</v>
      </c>
      <c r="M155" t="s">
        <v>336</v>
      </c>
    </row>
    <row r="156" spans="7:13">
      <c r="G156" s="57">
        <v>46273</v>
      </c>
      <c r="H156" t="s">
        <v>68</v>
      </c>
      <c r="I156" t="s">
        <v>67</v>
      </c>
      <c r="J156" t="s">
        <v>81</v>
      </c>
      <c r="K156">
        <v>3000</v>
      </c>
      <c r="L156">
        <v>126</v>
      </c>
      <c r="M156" t="s">
        <v>336</v>
      </c>
    </row>
    <row r="157" spans="7:13">
      <c r="G157" s="57">
        <v>46275</v>
      </c>
      <c r="H157" t="s">
        <v>68</v>
      </c>
      <c r="I157" t="s">
        <v>67</v>
      </c>
      <c r="J157" t="s">
        <v>75</v>
      </c>
      <c r="K157">
        <v>2010</v>
      </c>
      <c r="L157">
        <v>127</v>
      </c>
      <c r="M157" t="s">
        <v>336</v>
      </c>
    </row>
    <row r="158" spans="7:13">
      <c r="G158" s="57">
        <v>46275</v>
      </c>
      <c r="H158" t="s">
        <v>68</v>
      </c>
      <c r="I158" t="s">
        <v>67</v>
      </c>
      <c r="J158" t="s">
        <v>79</v>
      </c>
      <c r="K158">
        <v>1500</v>
      </c>
      <c r="L158">
        <v>128</v>
      </c>
      <c r="M158" t="s">
        <v>336</v>
      </c>
    </row>
    <row r="159" spans="7:13">
      <c r="G159" s="57">
        <v>46275</v>
      </c>
      <c r="H159" t="s">
        <v>68</v>
      </c>
      <c r="I159" t="s">
        <v>108</v>
      </c>
      <c r="J159" t="s">
        <v>115</v>
      </c>
      <c r="K159">
        <v>2675</v>
      </c>
      <c r="L159">
        <v>129</v>
      </c>
      <c r="M159" t="s">
        <v>336</v>
      </c>
    </row>
    <row r="160" spans="7:13">
      <c r="G160" s="57">
        <v>46276</v>
      </c>
      <c r="H160" t="s">
        <v>68</v>
      </c>
      <c r="I160" t="s">
        <v>108</v>
      </c>
      <c r="J160" t="s">
        <v>115</v>
      </c>
      <c r="K160">
        <v>3890</v>
      </c>
      <c r="L160">
        <v>130</v>
      </c>
      <c r="M160" t="s">
        <v>336</v>
      </c>
    </row>
    <row r="161" spans="7:13">
      <c r="G161" s="57">
        <v>46277</v>
      </c>
      <c r="H161" t="s">
        <v>68</v>
      </c>
      <c r="I161" t="s">
        <v>67</v>
      </c>
      <c r="J161" t="s">
        <v>69</v>
      </c>
      <c r="K161">
        <v>2010</v>
      </c>
      <c r="L161">
        <v>131</v>
      </c>
      <c r="M161" t="s">
        <v>336</v>
      </c>
    </row>
    <row r="162" spans="7:13">
      <c r="G162" s="57">
        <v>46277</v>
      </c>
      <c r="H162" t="s">
        <v>68</v>
      </c>
      <c r="I162" t="s">
        <v>92</v>
      </c>
      <c r="J162" t="s">
        <v>101</v>
      </c>
      <c r="K162">
        <v>960</v>
      </c>
      <c r="L162">
        <v>132</v>
      </c>
      <c r="M162" t="s">
        <v>336</v>
      </c>
    </row>
    <row r="163" spans="7:13">
      <c r="G163" s="57">
        <v>46286</v>
      </c>
      <c r="H163" t="s">
        <v>54</v>
      </c>
      <c r="I163" t="s">
        <v>132</v>
      </c>
      <c r="J163" t="s">
        <v>135</v>
      </c>
      <c r="K163">
        <v>5400</v>
      </c>
      <c r="L163">
        <v>133</v>
      </c>
      <c r="M163" t="s">
        <v>337</v>
      </c>
    </row>
    <row r="164" spans="7:13">
      <c r="G164" s="57">
        <v>46286</v>
      </c>
      <c r="H164" t="s">
        <v>54</v>
      </c>
      <c r="I164" t="s">
        <v>132</v>
      </c>
      <c r="J164" t="s">
        <v>139</v>
      </c>
      <c r="K164">
        <v>10020</v>
      </c>
      <c r="L164">
        <v>134</v>
      </c>
      <c r="M164" t="s">
        <v>337</v>
      </c>
    </row>
    <row r="165" spans="7:13">
      <c r="G165" s="57">
        <v>46286</v>
      </c>
      <c r="H165" t="s">
        <v>68</v>
      </c>
      <c r="I165" t="s">
        <v>108</v>
      </c>
      <c r="J165" t="s">
        <v>111</v>
      </c>
      <c r="K165">
        <v>1000</v>
      </c>
      <c r="L165">
        <v>135</v>
      </c>
      <c r="M165" t="s">
        <v>337</v>
      </c>
    </row>
    <row r="166" spans="7:13">
      <c r="G166" s="57">
        <v>46286</v>
      </c>
      <c r="H166" t="s">
        <v>68</v>
      </c>
      <c r="I166" t="s">
        <v>108</v>
      </c>
      <c r="J166" t="s">
        <v>117</v>
      </c>
      <c r="K166">
        <v>3000</v>
      </c>
      <c r="L166">
        <v>136</v>
      </c>
      <c r="M166" t="s">
        <v>337</v>
      </c>
    </row>
    <row r="167" spans="7:13">
      <c r="G167" s="57">
        <v>46287</v>
      </c>
      <c r="H167" t="s">
        <v>54</v>
      </c>
      <c r="I167" t="s">
        <v>125</v>
      </c>
      <c r="J167" t="s">
        <v>97</v>
      </c>
      <c r="K167">
        <v>3000</v>
      </c>
      <c r="L167">
        <v>137</v>
      </c>
      <c r="M167" t="s">
        <v>337</v>
      </c>
    </row>
    <row r="168" spans="7:13">
      <c r="G168" s="57">
        <v>46287</v>
      </c>
      <c r="H168" t="s">
        <v>54</v>
      </c>
      <c r="I168" t="s">
        <v>125</v>
      </c>
      <c r="J168" t="s">
        <v>128</v>
      </c>
      <c r="K168">
        <v>300</v>
      </c>
      <c r="L168">
        <v>138</v>
      </c>
      <c r="M168" t="s">
        <v>337</v>
      </c>
    </row>
    <row r="169" spans="7:13">
      <c r="G169" s="57">
        <v>46287</v>
      </c>
      <c r="H169" t="s">
        <v>54</v>
      </c>
      <c r="I169" t="s">
        <v>125</v>
      </c>
      <c r="J169" t="s">
        <v>130</v>
      </c>
      <c r="K169">
        <v>300</v>
      </c>
      <c r="L169">
        <v>139</v>
      </c>
      <c r="M169" t="s">
        <v>337</v>
      </c>
    </row>
    <row r="170" spans="7:13">
      <c r="G170" s="57">
        <v>46287</v>
      </c>
      <c r="H170" t="s">
        <v>54</v>
      </c>
      <c r="I170" t="s">
        <v>125</v>
      </c>
      <c r="J170" t="s">
        <v>104</v>
      </c>
      <c r="K170">
        <v>4150</v>
      </c>
      <c r="L170">
        <v>140</v>
      </c>
      <c r="M170" t="s">
        <v>337</v>
      </c>
    </row>
    <row r="171" spans="7:13">
      <c r="G171" s="57">
        <v>46287</v>
      </c>
      <c r="H171" t="s">
        <v>54</v>
      </c>
      <c r="I171" t="s">
        <v>125</v>
      </c>
      <c r="J171" t="s">
        <v>126</v>
      </c>
      <c r="K171">
        <v>5000</v>
      </c>
      <c r="L171">
        <v>141</v>
      </c>
      <c r="M171" t="s">
        <v>337</v>
      </c>
    </row>
    <row r="172" spans="7:13">
      <c r="G172" s="57">
        <v>46287</v>
      </c>
      <c r="H172" t="s">
        <v>54</v>
      </c>
      <c r="I172" t="s">
        <v>125</v>
      </c>
      <c r="J172" t="s">
        <v>99</v>
      </c>
      <c r="K172">
        <v>3100</v>
      </c>
      <c r="L172">
        <v>142</v>
      </c>
      <c r="M172" t="s">
        <v>337</v>
      </c>
    </row>
    <row r="173" spans="7:13">
      <c r="G173" s="57">
        <v>46287</v>
      </c>
      <c r="H173" t="s">
        <v>54</v>
      </c>
      <c r="I173" t="s">
        <v>125</v>
      </c>
      <c r="J173" t="s">
        <v>95</v>
      </c>
      <c r="K173">
        <v>500</v>
      </c>
      <c r="L173">
        <v>143</v>
      </c>
      <c r="M173" t="s">
        <v>337</v>
      </c>
    </row>
    <row r="174" spans="7:13">
      <c r="G174" s="57">
        <v>46287</v>
      </c>
      <c r="H174" t="s">
        <v>54</v>
      </c>
      <c r="I174" t="s">
        <v>65</v>
      </c>
      <c r="J174" t="s">
        <v>65</v>
      </c>
      <c r="K174">
        <v>3000</v>
      </c>
      <c r="L174">
        <v>144</v>
      </c>
      <c r="M174" t="s">
        <v>337</v>
      </c>
    </row>
    <row r="175" spans="7:13">
      <c r="G175" s="57">
        <v>46288</v>
      </c>
      <c r="H175" t="s">
        <v>54</v>
      </c>
      <c r="I175" t="s">
        <v>125</v>
      </c>
      <c r="J175" t="s">
        <v>93</v>
      </c>
      <c r="K175">
        <v>16000</v>
      </c>
      <c r="L175">
        <v>145</v>
      </c>
      <c r="M175" t="s">
        <v>337</v>
      </c>
    </row>
    <row r="176" spans="7:13">
      <c r="G176" s="57">
        <v>46289</v>
      </c>
      <c r="H176" t="s">
        <v>54</v>
      </c>
      <c r="I176" t="s">
        <v>132</v>
      </c>
      <c r="J176" t="s">
        <v>135</v>
      </c>
      <c r="K176">
        <v>2800</v>
      </c>
      <c r="L176">
        <v>146</v>
      </c>
      <c r="M176" t="s">
        <v>337</v>
      </c>
    </row>
    <row r="177" spans="7:13">
      <c r="G177" s="57">
        <v>46289</v>
      </c>
      <c r="H177" t="s">
        <v>54</v>
      </c>
      <c r="I177" t="s">
        <v>132</v>
      </c>
      <c r="J177" t="s">
        <v>139</v>
      </c>
      <c r="K177">
        <v>7440</v>
      </c>
      <c r="L177">
        <v>147</v>
      </c>
      <c r="M177" t="s">
        <v>337</v>
      </c>
    </row>
    <row r="178" spans="7:13">
      <c r="G178" s="57">
        <v>46288</v>
      </c>
      <c r="H178" t="s">
        <v>54</v>
      </c>
      <c r="I178" t="s">
        <v>125</v>
      </c>
      <c r="J178" t="s">
        <v>126</v>
      </c>
      <c r="K178">
        <v>3000</v>
      </c>
      <c r="L178">
        <v>148</v>
      </c>
      <c r="M178" t="s">
        <v>337</v>
      </c>
    </row>
    <row r="179" spans="7:13">
      <c r="G179" s="57">
        <v>46288</v>
      </c>
      <c r="H179" t="s">
        <v>54</v>
      </c>
      <c r="I179" t="s">
        <v>125</v>
      </c>
      <c r="J179" t="s">
        <v>93</v>
      </c>
      <c r="K179">
        <v>4422</v>
      </c>
      <c r="L179">
        <v>149</v>
      </c>
      <c r="M179" t="s">
        <v>337</v>
      </c>
    </row>
    <row r="180" spans="7:13">
      <c r="G180" s="57">
        <v>46288</v>
      </c>
      <c r="H180" t="s">
        <v>54</v>
      </c>
      <c r="I180" t="s">
        <v>125</v>
      </c>
      <c r="J180" t="s">
        <v>97</v>
      </c>
      <c r="K180">
        <v>3000</v>
      </c>
      <c r="L180">
        <v>150</v>
      </c>
      <c r="M180" t="s">
        <v>337</v>
      </c>
    </row>
    <row r="181" spans="7:13">
      <c r="G181" s="57">
        <v>46288</v>
      </c>
      <c r="H181" t="s">
        <v>54</v>
      </c>
      <c r="I181" t="s">
        <v>125</v>
      </c>
      <c r="J181" t="s">
        <v>95</v>
      </c>
      <c r="K181">
        <v>3000</v>
      </c>
      <c r="L181">
        <v>151</v>
      </c>
      <c r="M181" t="s">
        <v>337</v>
      </c>
    </row>
    <row r="182" spans="7:13">
      <c r="G182" s="57">
        <v>46288</v>
      </c>
      <c r="H182" t="s">
        <v>68</v>
      </c>
      <c r="I182" t="s">
        <v>67</v>
      </c>
      <c r="J182" t="s">
        <v>87</v>
      </c>
      <c r="K182">
        <v>4050</v>
      </c>
      <c r="L182">
        <v>152</v>
      </c>
      <c r="M182" t="s">
        <v>337</v>
      </c>
    </row>
    <row r="183" spans="7:13">
      <c r="G183" s="57">
        <v>46288</v>
      </c>
      <c r="H183" t="s">
        <v>68</v>
      </c>
      <c r="I183" t="s">
        <v>67</v>
      </c>
      <c r="J183" t="s">
        <v>69</v>
      </c>
      <c r="K183">
        <v>4200</v>
      </c>
      <c r="L183">
        <v>153</v>
      </c>
      <c r="M183" t="s">
        <v>337</v>
      </c>
    </row>
    <row r="184" spans="7:13">
      <c r="G184" s="57">
        <v>46290</v>
      </c>
      <c r="H184" t="s">
        <v>54</v>
      </c>
      <c r="I184" t="s">
        <v>132</v>
      </c>
      <c r="J184" t="s">
        <v>139</v>
      </c>
      <c r="K184">
        <v>9170</v>
      </c>
      <c r="L184">
        <v>154</v>
      </c>
      <c r="M184" t="s">
        <v>337</v>
      </c>
    </row>
    <row r="185" spans="7:13">
      <c r="G185" s="57">
        <v>46290</v>
      </c>
      <c r="H185" t="s">
        <v>54</v>
      </c>
      <c r="I185" t="s">
        <v>132</v>
      </c>
      <c r="J185" t="s">
        <v>135</v>
      </c>
      <c r="K185">
        <v>2800</v>
      </c>
      <c r="L185">
        <v>155</v>
      </c>
      <c r="M185" t="s">
        <v>337</v>
      </c>
    </row>
    <row r="186" spans="7:13">
      <c r="G186" s="57">
        <v>46291</v>
      </c>
      <c r="H186" t="s">
        <v>54</v>
      </c>
      <c r="I186" t="s">
        <v>132</v>
      </c>
      <c r="J186" t="s">
        <v>139</v>
      </c>
      <c r="K186">
        <v>8701</v>
      </c>
      <c r="L186">
        <v>156</v>
      </c>
      <c r="M186" t="s">
        <v>337</v>
      </c>
    </row>
    <row r="187" spans="7:13">
      <c r="G187" s="57">
        <v>46290</v>
      </c>
      <c r="H187" t="s">
        <v>54</v>
      </c>
      <c r="I187" t="s">
        <v>125</v>
      </c>
      <c r="J187" t="s">
        <v>93</v>
      </c>
      <c r="K187">
        <v>23000</v>
      </c>
      <c r="L187">
        <v>157</v>
      </c>
      <c r="M187" t="s">
        <v>337</v>
      </c>
    </row>
    <row r="188" spans="7:13">
      <c r="G188" s="57">
        <v>46293</v>
      </c>
      <c r="H188" t="s">
        <v>54</v>
      </c>
      <c r="I188" t="s">
        <v>132</v>
      </c>
      <c r="J188" t="s">
        <v>135</v>
      </c>
      <c r="K188">
        <v>6325</v>
      </c>
      <c r="L188">
        <v>158</v>
      </c>
      <c r="M188" t="s">
        <v>337</v>
      </c>
    </row>
    <row r="189" spans="7:13">
      <c r="G189" s="57">
        <v>46293</v>
      </c>
      <c r="H189" t="s">
        <v>54</v>
      </c>
      <c r="I189" t="s">
        <v>132</v>
      </c>
      <c r="J189" t="s">
        <v>139</v>
      </c>
      <c r="K189">
        <v>17982</v>
      </c>
      <c r="L189">
        <v>159</v>
      </c>
      <c r="M189" t="s">
        <v>337</v>
      </c>
    </row>
    <row r="190" spans="7:13">
      <c r="G190" s="57">
        <v>46293</v>
      </c>
      <c r="H190" t="s">
        <v>54</v>
      </c>
      <c r="I190" t="s">
        <v>141</v>
      </c>
      <c r="J190" t="s">
        <v>142</v>
      </c>
      <c r="K190">
        <v>1560</v>
      </c>
      <c r="L190">
        <v>160</v>
      </c>
      <c r="M190" t="s">
        <v>337</v>
      </c>
    </row>
    <row r="191" spans="7:13">
      <c r="G191" s="57">
        <v>46292</v>
      </c>
      <c r="H191" t="s">
        <v>54</v>
      </c>
      <c r="I191" t="s">
        <v>125</v>
      </c>
      <c r="J191" t="s">
        <v>93</v>
      </c>
      <c r="K191">
        <v>6550</v>
      </c>
      <c r="L191">
        <v>161</v>
      </c>
      <c r="M191" t="s">
        <v>337</v>
      </c>
    </row>
    <row r="192" spans="7:13">
      <c r="G192" s="57">
        <v>46292</v>
      </c>
      <c r="H192" t="s">
        <v>54</v>
      </c>
      <c r="I192" t="s">
        <v>125</v>
      </c>
      <c r="J192" t="s">
        <v>95</v>
      </c>
      <c r="K192">
        <v>1550</v>
      </c>
      <c r="L192">
        <v>162</v>
      </c>
      <c r="M192" t="s">
        <v>337</v>
      </c>
    </row>
    <row r="193" spans="7:13">
      <c r="G193" s="57">
        <v>46294</v>
      </c>
      <c r="H193" t="s">
        <v>54</v>
      </c>
      <c r="I193" t="s">
        <v>132</v>
      </c>
      <c r="J193" t="s">
        <v>135</v>
      </c>
      <c r="K193">
        <v>2800</v>
      </c>
      <c r="L193">
        <v>163</v>
      </c>
      <c r="M193" t="s">
        <v>337</v>
      </c>
    </row>
    <row r="194" spans="7:13">
      <c r="G194" s="57">
        <v>46294</v>
      </c>
      <c r="H194" t="s">
        <v>54</v>
      </c>
      <c r="I194" t="s">
        <v>132</v>
      </c>
      <c r="J194" t="s">
        <v>139</v>
      </c>
      <c r="K194">
        <v>6601</v>
      </c>
      <c r="L194">
        <v>164</v>
      </c>
      <c r="M194" t="s">
        <v>337</v>
      </c>
    </row>
    <row r="195" spans="7:13">
      <c r="G195" s="57">
        <v>46293</v>
      </c>
      <c r="H195" t="s">
        <v>54</v>
      </c>
      <c r="I195" t="s">
        <v>125</v>
      </c>
      <c r="J195" t="s">
        <v>126</v>
      </c>
      <c r="K195">
        <v>5850</v>
      </c>
      <c r="L195">
        <v>165</v>
      </c>
      <c r="M195" t="s">
        <v>337</v>
      </c>
    </row>
    <row r="196" spans="7:13">
      <c r="G196" s="57">
        <v>46293</v>
      </c>
      <c r="H196" t="s">
        <v>54</v>
      </c>
      <c r="I196" t="s">
        <v>125</v>
      </c>
      <c r="J196" t="s">
        <v>97</v>
      </c>
      <c r="K196">
        <v>5010</v>
      </c>
      <c r="L196">
        <v>166</v>
      </c>
      <c r="M196" t="s">
        <v>337</v>
      </c>
    </row>
    <row r="197" spans="7:13">
      <c r="G197" s="57">
        <v>46293</v>
      </c>
      <c r="H197" t="s">
        <v>54</v>
      </c>
      <c r="I197" t="s">
        <v>125</v>
      </c>
      <c r="J197" t="s">
        <v>104</v>
      </c>
      <c r="K197">
        <v>5000</v>
      </c>
      <c r="L197">
        <v>167</v>
      </c>
      <c r="M197" t="s">
        <v>337</v>
      </c>
    </row>
    <row r="198" spans="7:13">
      <c r="G198" s="57">
        <v>46293</v>
      </c>
      <c r="H198" t="s">
        <v>54</v>
      </c>
      <c r="I198" t="s">
        <v>125</v>
      </c>
      <c r="J198" t="s">
        <v>99</v>
      </c>
      <c r="K198">
        <v>6600</v>
      </c>
      <c r="L198">
        <v>168</v>
      </c>
      <c r="M198" t="s">
        <v>337</v>
      </c>
    </row>
    <row r="199" spans="7:13">
      <c r="G199" s="57">
        <v>46294</v>
      </c>
      <c r="H199" t="s">
        <v>54</v>
      </c>
      <c r="I199" t="s">
        <v>53</v>
      </c>
      <c r="J199" t="s">
        <v>55</v>
      </c>
      <c r="K199">
        <v>500</v>
      </c>
      <c r="L199">
        <v>169</v>
      </c>
      <c r="M199" t="s">
        <v>337</v>
      </c>
    </row>
    <row r="200" spans="7:13">
      <c r="G200" s="57">
        <v>46294</v>
      </c>
      <c r="H200" t="s">
        <v>54</v>
      </c>
      <c r="I200" t="s">
        <v>53</v>
      </c>
      <c r="J200" t="s">
        <v>63</v>
      </c>
      <c r="K200">
        <v>200</v>
      </c>
      <c r="L200">
        <v>170</v>
      </c>
      <c r="M200" t="s">
        <v>337</v>
      </c>
    </row>
    <row r="201" spans="7:13">
      <c r="G201" s="57">
        <v>46294</v>
      </c>
      <c r="H201" t="s">
        <v>54</v>
      </c>
      <c r="I201" t="s">
        <v>132</v>
      </c>
      <c r="J201" t="s">
        <v>139</v>
      </c>
      <c r="K201">
        <v>8010</v>
      </c>
      <c r="L201">
        <v>171</v>
      </c>
      <c r="M201" t="s">
        <v>337</v>
      </c>
    </row>
    <row r="202" spans="7:13">
      <c r="G202" s="57">
        <v>46295</v>
      </c>
      <c r="H202" t="s">
        <v>54</v>
      </c>
      <c r="I202" t="s">
        <v>132</v>
      </c>
      <c r="J202" t="s">
        <v>135</v>
      </c>
      <c r="K202">
        <v>4320</v>
      </c>
      <c r="L202">
        <v>172</v>
      </c>
      <c r="M202" t="s">
        <v>337</v>
      </c>
    </row>
    <row r="203" spans="7:13">
      <c r="G203" s="57">
        <v>46295</v>
      </c>
      <c r="H203" t="s">
        <v>54</v>
      </c>
      <c r="I203" t="s">
        <v>132</v>
      </c>
      <c r="J203" t="s">
        <v>139</v>
      </c>
      <c r="K203">
        <v>8701</v>
      </c>
      <c r="L203">
        <v>173</v>
      </c>
      <c r="M203" t="s">
        <v>337</v>
      </c>
    </row>
    <row r="204" spans="7:13">
      <c r="G204" s="57">
        <v>46296</v>
      </c>
      <c r="H204" t="s">
        <v>54</v>
      </c>
      <c r="I204" t="s">
        <v>132</v>
      </c>
      <c r="J204" t="s">
        <v>139</v>
      </c>
      <c r="K204">
        <v>7980</v>
      </c>
      <c r="L204">
        <v>174</v>
      </c>
      <c r="M204" t="s">
        <v>337</v>
      </c>
    </row>
    <row r="205" spans="7:13">
      <c r="G205" s="57">
        <v>46295</v>
      </c>
      <c r="H205" t="s">
        <v>68</v>
      </c>
      <c r="I205" t="s">
        <v>108</v>
      </c>
      <c r="J205" t="s">
        <v>119</v>
      </c>
      <c r="K205">
        <v>16500</v>
      </c>
      <c r="L205">
        <v>175</v>
      </c>
      <c r="M205" t="s">
        <v>337</v>
      </c>
    </row>
    <row r="206" spans="7:13">
      <c r="G206" s="57">
        <v>46295</v>
      </c>
      <c r="H206" t="s">
        <v>54</v>
      </c>
      <c r="I206" t="s">
        <v>103</v>
      </c>
      <c r="J206" t="s">
        <v>93</v>
      </c>
      <c r="K206">
        <v>16850</v>
      </c>
      <c r="L206">
        <v>176</v>
      </c>
      <c r="M206" t="s">
        <v>337</v>
      </c>
    </row>
    <row r="207" spans="7:13">
      <c r="G207" s="57">
        <v>46295</v>
      </c>
      <c r="H207" t="s">
        <v>54</v>
      </c>
      <c r="I207" t="s">
        <v>65</v>
      </c>
      <c r="J207" t="s">
        <v>65</v>
      </c>
      <c r="K207">
        <v>2000</v>
      </c>
      <c r="L207">
        <v>177</v>
      </c>
      <c r="M207" t="s">
        <v>337</v>
      </c>
    </row>
    <row r="208" spans="7:13">
      <c r="G208" s="57">
        <v>46296</v>
      </c>
      <c r="H208" t="s">
        <v>54</v>
      </c>
      <c r="I208" t="s">
        <v>103</v>
      </c>
      <c r="J208" t="s">
        <v>93</v>
      </c>
      <c r="K208">
        <v>15000</v>
      </c>
      <c r="L208">
        <v>178</v>
      </c>
      <c r="M208" t="s">
        <v>337</v>
      </c>
    </row>
    <row r="209" spans="7:13">
      <c r="G209" s="57">
        <v>46298</v>
      </c>
      <c r="H209" t="s">
        <v>54</v>
      </c>
      <c r="I209" t="s">
        <v>132</v>
      </c>
      <c r="J209" t="s">
        <v>139</v>
      </c>
      <c r="K209">
        <v>11312</v>
      </c>
      <c r="L209">
        <v>179</v>
      </c>
      <c r="M209" t="s">
        <v>337</v>
      </c>
    </row>
    <row r="210" spans="7:13">
      <c r="G210" s="57">
        <v>46298</v>
      </c>
      <c r="H210" t="s">
        <v>54</v>
      </c>
      <c r="I210" t="s">
        <v>132</v>
      </c>
      <c r="J210" t="s">
        <v>135</v>
      </c>
      <c r="K210">
        <v>12025</v>
      </c>
      <c r="L210">
        <v>180</v>
      </c>
      <c r="M210" t="s">
        <v>337</v>
      </c>
    </row>
    <row r="211" spans="7:13">
      <c r="G211" s="57">
        <v>46298</v>
      </c>
      <c r="H211" t="s">
        <v>54</v>
      </c>
      <c r="I211" t="s">
        <v>125</v>
      </c>
      <c r="J211" t="s">
        <v>104</v>
      </c>
      <c r="K211">
        <v>2750</v>
      </c>
      <c r="L211">
        <v>181</v>
      </c>
      <c r="M211" t="s">
        <v>337</v>
      </c>
    </row>
    <row r="212" spans="7:13">
      <c r="G212" s="57">
        <v>46298</v>
      </c>
      <c r="H212" t="s">
        <v>54</v>
      </c>
      <c r="I212" t="s">
        <v>125</v>
      </c>
      <c r="J212" t="s">
        <v>126</v>
      </c>
      <c r="K212">
        <v>9900</v>
      </c>
      <c r="L212">
        <v>182</v>
      </c>
      <c r="M212" t="s">
        <v>337</v>
      </c>
    </row>
    <row r="213" spans="7:13">
      <c r="G213" s="57">
        <v>46300</v>
      </c>
      <c r="H213" t="s">
        <v>54</v>
      </c>
      <c r="I213" t="s">
        <v>132</v>
      </c>
      <c r="J213" t="s">
        <v>139</v>
      </c>
      <c r="K213">
        <v>14372</v>
      </c>
      <c r="L213">
        <v>183</v>
      </c>
      <c r="M213" t="s">
        <v>337</v>
      </c>
    </row>
    <row r="214" spans="7:13">
      <c r="G214" s="57">
        <v>46300</v>
      </c>
      <c r="H214" t="s">
        <v>54</v>
      </c>
      <c r="I214" t="s">
        <v>132</v>
      </c>
      <c r="J214" t="s">
        <v>135</v>
      </c>
      <c r="K214">
        <v>4700</v>
      </c>
      <c r="L214">
        <v>184</v>
      </c>
      <c r="M214" t="s">
        <v>337</v>
      </c>
    </row>
    <row r="215" spans="7:13">
      <c r="G215" s="57">
        <v>46300</v>
      </c>
      <c r="H215" t="s">
        <v>54</v>
      </c>
      <c r="I215" t="s">
        <v>125</v>
      </c>
      <c r="J215" t="s">
        <v>93</v>
      </c>
      <c r="K215">
        <v>5000</v>
      </c>
      <c r="L215">
        <v>185</v>
      </c>
      <c r="M215" t="s">
        <v>337</v>
      </c>
    </row>
    <row r="216" spans="7:13">
      <c r="G216" s="57">
        <v>46300</v>
      </c>
      <c r="H216" t="s">
        <v>54</v>
      </c>
      <c r="I216" t="s">
        <v>125</v>
      </c>
      <c r="J216" t="s">
        <v>104</v>
      </c>
      <c r="K216">
        <v>5000</v>
      </c>
      <c r="L216">
        <v>186</v>
      </c>
      <c r="M216" t="s">
        <v>337</v>
      </c>
    </row>
    <row r="217" spans="7:13">
      <c r="G217" s="57">
        <v>46300</v>
      </c>
      <c r="H217" t="s">
        <v>54</v>
      </c>
      <c r="I217" t="s">
        <v>125</v>
      </c>
      <c r="J217" t="s">
        <v>130</v>
      </c>
      <c r="K217">
        <v>510</v>
      </c>
      <c r="L217">
        <v>187</v>
      </c>
      <c r="M217" t="s">
        <v>337</v>
      </c>
    </row>
    <row r="218" spans="7:13">
      <c r="G218" s="57">
        <v>46300</v>
      </c>
      <c r="H218" t="s">
        <v>54</v>
      </c>
      <c r="I218" t="s">
        <v>125</v>
      </c>
      <c r="J218" t="s">
        <v>128</v>
      </c>
      <c r="K218">
        <v>510</v>
      </c>
      <c r="L218">
        <v>188</v>
      </c>
      <c r="M218" t="s">
        <v>337</v>
      </c>
    </row>
    <row r="219" spans="7:13">
      <c r="G219" s="57">
        <v>46300</v>
      </c>
      <c r="H219" t="s">
        <v>54</v>
      </c>
      <c r="I219" t="s">
        <v>141</v>
      </c>
      <c r="J219" t="s">
        <v>142</v>
      </c>
      <c r="K219">
        <v>2000</v>
      </c>
      <c r="L219">
        <v>189</v>
      </c>
      <c r="M219" t="s">
        <v>337</v>
      </c>
    </row>
    <row r="220" spans="7:13">
      <c r="G220" s="57">
        <v>46301</v>
      </c>
      <c r="H220" t="s">
        <v>54</v>
      </c>
      <c r="I220" t="s">
        <v>125</v>
      </c>
      <c r="J220" t="s">
        <v>93</v>
      </c>
      <c r="K220">
        <v>10050</v>
      </c>
      <c r="L220">
        <v>190</v>
      </c>
      <c r="M220" t="s">
        <v>337</v>
      </c>
    </row>
    <row r="221" spans="7:13">
      <c r="G221" s="57">
        <v>46301</v>
      </c>
      <c r="H221" t="s">
        <v>54</v>
      </c>
      <c r="I221" t="s">
        <v>132</v>
      </c>
      <c r="J221" t="s">
        <v>135</v>
      </c>
      <c r="K221">
        <v>4700</v>
      </c>
      <c r="L221">
        <v>191</v>
      </c>
      <c r="M221" t="s">
        <v>337</v>
      </c>
    </row>
    <row r="222" spans="7:13">
      <c r="G222" s="57">
        <v>46301</v>
      </c>
      <c r="H222" t="s">
        <v>54</v>
      </c>
      <c r="I222" t="s">
        <v>132</v>
      </c>
      <c r="J222" t="s">
        <v>139</v>
      </c>
      <c r="K222">
        <v>2970</v>
      </c>
      <c r="L222">
        <v>192</v>
      </c>
      <c r="M222" t="s">
        <v>337</v>
      </c>
    </row>
    <row r="223" spans="7:13">
      <c r="G223" s="57">
        <v>46302</v>
      </c>
      <c r="H223" t="s">
        <v>54</v>
      </c>
      <c r="I223" t="s">
        <v>132</v>
      </c>
      <c r="J223" t="s">
        <v>139</v>
      </c>
      <c r="K223">
        <v>5910</v>
      </c>
      <c r="L223">
        <v>193</v>
      </c>
      <c r="M223" t="s">
        <v>337</v>
      </c>
    </row>
    <row r="224" spans="7:13">
      <c r="G224" s="57">
        <v>46302</v>
      </c>
      <c r="H224" t="s">
        <v>54</v>
      </c>
      <c r="I224" t="s">
        <v>132</v>
      </c>
      <c r="J224" t="s">
        <v>135</v>
      </c>
      <c r="K224">
        <v>5600</v>
      </c>
      <c r="L224">
        <v>194</v>
      </c>
      <c r="M224" t="s">
        <v>337</v>
      </c>
    </row>
    <row r="225" spans="7:13">
      <c r="G225" s="57">
        <v>46303</v>
      </c>
      <c r="H225" t="s">
        <v>54</v>
      </c>
      <c r="I225" t="s">
        <v>132</v>
      </c>
      <c r="J225" t="s">
        <v>135</v>
      </c>
      <c r="K225">
        <v>9945</v>
      </c>
      <c r="L225">
        <v>195</v>
      </c>
      <c r="M225" t="s">
        <v>337</v>
      </c>
    </row>
    <row r="226" spans="7:13">
      <c r="G226" s="57">
        <v>46302</v>
      </c>
      <c r="H226" t="s">
        <v>54</v>
      </c>
      <c r="I226" t="s">
        <v>125</v>
      </c>
      <c r="J226" t="s">
        <v>93</v>
      </c>
      <c r="K226">
        <v>10000</v>
      </c>
      <c r="L226">
        <v>196</v>
      </c>
      <c r="M226" t="s">
        <v>337</v>
      </c>
    </row>
    <row r="227" spans="7:13">
      <c r="G227" s="57">
        <v>46303</v>
      </c>
      <c r="H227" t="s">
        <v>54</v>
      </c>
      <c r="I227" t="s">
        <v>132</v>
      </c>
      <c r="J227" t="s">
        <v>139</v>
      </c>
      <c r="K227">
        <v>5252</v>
      </c>
      <c r="L227">
        <v>197</v>
      </c>
      <c r="M227" t="s">
        <v>337</v>
      </c>
    </row>
    <row r="228" spans="7:13">
      <c r="G228" s="57">
        <v>46304</v>
      </c>
      <c r="H228" t="s">
        <v>54</v>
      </c>
      <c r="I228" t="s">
        <v>132</v>
      </c>
      <c r="J228" t="s">
        <v>135</v>
      </c>
      <c r="K228">
        <v>4820</v>
      </c>
      <c r="L228">
        <v>198</v>
      </c>
      <c r="M228" t="s">
        <v>337</v>
      </c>
    </row>
    <row r="229" spans="7:13">
      <c r="G229" s="57">
        <v>46304</v>
      </c>
      <c r="H229" t="s">
        <v>54</v>
      </c>
      <c r="I229" t="s">
        <v>125</v>
      </c>
      <c r="J229" t="s">
        <v>93</v>
      </c>
      <c r="K229">
        <v>10000</v>
      </c>
      <c r="L229">
        <v>199</v>
      </c>
      <c r="M229" t="s">
        <v>337</v>
      </c>
    </row>
    <row r="230" spans="7:13">
      <c r="G230" s="57">
        <v>46304</v>
      </c>
      <c r="H230" t="s">
        <v>54</v>
      </c>
      <c r="I230" t="s">
        <v>132</v>
      </c>
      <c r="J230" t="s">
        <v>139</v>
      </c>
      <c r="K230">
        <v>5282</v>
      </c>
      <c r="L230">
        <v>200</v>
      </c>
      <c r="M230" t="s">
        <v>337</v>
      </c>
    </row>
    <row r="231" spans="7:13">
      <c r="G231" s="57">
        <v>46304</v>
      </c>
      <c r="H231" t="s">
        <v>54</v>
      </c>
      <c r="I231" t="s">
        <v>132</v>
      </c>
      <c r="J231" t="s">
        <v>135</v>
      </c>
      <c r="K231">
        <v>1925</v>
      </c>
      <c r="L231">
        <v>201</v>
      </c>
      <c r="M231" t="s">
        <v>337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4123-6946-4A04-9DEC-AA77A7D6C5DE}">
  <dimension ref="A1:C62"/>
  <sheetViews>
    <sheetView workbookViewId="0">
      <selection activeCell="B31" sqref="B31"/>
    </sheetView>
  </sheetViews>
  <sheetFormatPr defaultRowHeight="14.45"/>
  <cols>
    <col min="1" max="1" width="19.7109375" bestFit="1" customWidth="1"/>
    <col min="2" max="2" width="11.140625" bestFit="1" customWidth="1"/>
    <col min="3" max="3" width="30.140625" bestFit="1" customWidth="1"/>
  </cols>
  <sheetData>
    <row r="1" spans="1:3">
      <c r="A1" s="56" t="s">
        <v>10</v>
      </c>
      <c r="B1" s="56" t="s">
        <v>8</v>
      </c>
      <c r="C1" s="56" t="s">
        <v>21</v>
      </c>
    </row>
    <row r="2" spans="1:3">
      <c r="A2" s="56" t="s">
        <v>68</v>
      </c>
      <c r="B2" s="56" t="s">
        <v>67</v>
      </c>
      <c r="C2" s="56" t="s">
        <v>69</v>
      </c>
    </row>
    <row r="3" spans="1:3">
      <c r="A3" s="56" t="s">
        <v>68</v>
      </c>
      <c r="B3" s="56" t="s">
        <v>67</v>
      </c>
      <c r="C3" s="56" t="s">
        <v>71</v>
      </c>
    </row>
    <row r="4" spans="1:3">
      <c r="A4" s="56" t="s">
        <v>68</v>
      </c>
      <c r="B4" s="56" t="s">
        <v>67</v>
      </c>
      <c r="C4" s="56" t="s">
        <v>73</v>
      </c>
    </row>
    <row r="5" spans="1:3">
      <c r="A5" s="56" t="s">
        <v>68</v>
      </c>
      <c r="B5" s="56" t="s">
        <v>67</v>
      </c>
      <c r="C5" s="56" t="s">
        <v>75</v>
      </c>
    </row>
    <row r="6" spans="1:3">
      <c r="A6" s="56" t="s">
        <v>68</v>
      </c>
      <c r="B6" s="56" t="s">
        <v>67</v>
      </c>
      <c r="C6" s="56" t="s">
        <v>77</v>
      </c>
    </row>
    <row r="7" spans="1:3">
      <c r="A7" s="56" t="s">
        <v>68</v>
      </c>
      <c r="B7" s="56" t="s">
        <v>67</v>
      </c>
      <c r="C7" s="56" t="s">
        <v>79</v>
      </c>
    </row>
    <row r="8" spans="1:3">
      <c r="A8" s="56" t="s">
        <v>68</v>
      </c>
      <c r="B8" s="56" t="s">
        <v>67</v>
      </c>
      <c r="C8" s="56" t="s">
        <v>81</v>
      </c>
    </row>
    <row r="9" spans="1:3">
      <c r="A9" s="56" t="s">
        <v>68</v>
      </c>
      <c r="B9" s="56" t="s">
        <v>67</v>
      </c>
      <c r="C9" s="56" t="s">
        <v>83</v>
      </c>
    </row>
    <row r="10" spans="1:3">
      <c r="A10" s="56" t="s">
        <v>68</v>
      </c>
      <c r="B10" s="56" t="s">
        <v>67</v>
      </c>
      <c r="C10" s="56" t="s">
        <v>85</v>
      </c>
    </row>
    <row r="11" spans="1:3">
      <c r="A11" s="56" t="s">
        <v>68</v>
      </c>
      <c r="B11" s="56" t="s">
        <v>67</v>
      </c>
      <c r="C11" s="56" t="s">
        <v>87</v>
      </c>
    </row>
    <row r="12" spans="1:3">
      <c r="A12" s="56" t="s">
        <v>68</v>
      </c>
      <c r="B12" s="56" t="s">
        <v>67</v>
      </c>
      <c r="C12" s="56" t="s">
        <v>89</v>
      </c>
    </row>
    <row r="13" spans="1:3">
      <c r="A13" s="56" t="s">
        <v>68</v>
      </c>
      <c r="B13" s="56" t="s">
        <v>67</v>
      </c>
      <c r="C13" s="56" t="s">
        <v>91</v>
      </c>
    </row>
    <row r="14" spans="1:3">
      <c r="A14" s="56" t="s">
        <v>68</v>
      </c>
      <c r="B14" s="56" t="s">
        <v>108</v>
      </c>
      <c r="C14" s="56" t="s">
        <v>109</v>
      </c>
    </row>
    <row r="15" spans="1:3">
      <c r="A15" s="56" t="s">
        <v>68</v>
      </c>
      <c r="B15" s="56" t="s">
        <v>108</v>
      </c>
      <c r="C15" s="56" t="s">
        <v>111</v>
      </c>
    </row>
    <row r="16" spans="1:3">
      <c r="A16" s="56" t="s">
        <v>68</v>
      </c>
      <c r="B16" s="56" t="s">
        <v>108</v>
      </c>
      <c r="C16" s="56" t="s">
        <v>113</v>
      </c>
    </row>
    <row r="17" spans="1:3">
      <c r="A17" s="56" t="s">
        <v>68</v>
      </c>
      <c r="B17" s="56" t="s">
        <v>108</v>
      </c>
      <c r="C17" s="56" t="s">
        <v>115</v>
      </c>
    </row>
    <row r="18" spans="1:3">
      <c r="A18" s="56" t="s">
        <v>68</v>
      </c>
      <c r="B18" s="56" t="s">
        <v>108</v>
      </c>
      <c r="C18" s="56" t="s">
        <v>117</v>
      </c>
    </row>
    <row r="19" spans="1:3">
      <c r="A19" s="56" t="s">
        <v>68</v>
      </c>
      <c r="B19" s="56" t="s">
        <v>108</v>
      </c>
      <c r="C19" s="56" t="s">
        <v>119</v>
      </c>
    </row>
    <row r="20" spans="1:3">
      <c r="A20" s="56" t="s">
        <v>68</v>
      </c>
      <c r="B20" s="56" t="s">
        <v>108</v>
      </c>
      <c r="C20" s="56" t="s">
        <v>121</v>
      </c>
    </row>
    <row r="21" spans="1:3">
      <c r="A21" s="56" t="s">
        <v>68</v>
      </c>
      <c r="B21" s="56" t="s">
        <v>108</v>
      </c>
      <c r="C21" s="56" t="s">
        <v>123</v>
      </c>
    </row>
    <row r="22" spans="1:3">
      <c r="A22" s="56" t="s">
        <v>68</v>
      </c>
      <c r="B22" s="56" t="s">
        <v>92</v>
      </c>
      <c r="C22" s="56" t="s">
        <v>93</v>
      </c>
    </row>
    <row r="23" spans="1:3">
      <c r="A23" s="56" t="s">
        <v>68</v>
      </c>
      <c r="B23" s="56" t="s">
        <v>92</v>
      </c>
      <c r="C23" s="56" t="s">
        <v>95</v>
      </c>
    </row>
    <row r="24" spans="1:3">
      <c r="A24" s="56" t="s">
        <v>68</v>
      </c>
      <c r="B24" s="56" t="s">
        <v>92</v>
      </c>
      <c r="C24" s="56" t="s">
        <v>97</v>
      </c>
    </row>
    <row r="25" spans="1:3">
      <c r="A25" s="56" t="s">
        <v>68</v>
      </c>
      <c r="B25" s="56" t="s">
        <v>92</v>
      </c>
      <c r="C25" s="56" t="s">
        <v>99</v>
      </c>
    </row>
    <row r="26" spans="1:3">
      <c r="A26" s="56" t="s">
        <v>68</v>
      </c>
      <c r="B26" s="56" t="s">
        <v>92</v>
      </c>
      <c r="C26" s="56" t="s">
        <v>101</v>
      </c>
    </row>
    <row r="27" spans="1:3">
      <c r="A27" s="56" t="s">
        <v>68</v>
      </c>
      <c r="B27" s="56" t="s">
        <v>103</v>
      </c>
      <c r="C27" s="56" t="s">
        <v>104</v>
      </c>
    </row>
    <row r="28" spans="1:3">
      <c r="A28" s="56" t="s">
        <v>68</v>
      </c>
      <c r="B28" s="56" t="s">
        <v>103</v>
      </c>
      <c r="C28" s="56" t="s">
        <v>106</v>
      </c>
    </row>
    <row r="29" spans="1:3">
      <c r="A29" s="56" t="s">
        <v>68</v>
      </c>
      <c r="B29" s="56" t="s">
        <v>103</v>
      </c>
      <c r="C29" s="56" t="s">
        <v>93</v>
      </c>
    </row>
    <row r="30" spans="1:3">
      <c r="A30" s="56" t="s">
        <v>68</v>
      </c>
      <c r="B30" s="56" t="s">
        <v>103</v>
      </c>
      <c r="C30" s="56" t="s">
        <v>95</v>
      </c>
    </row>
    <row r="31" spans="1:3">
      <c r="A31" s="56" t="s">
        <v>54</v>
      </c>
      <c r="B31" s="56" t="s">
        <v>146</v>
      </c>
      <c r="C31" s="56" t="s">
        <v>147</v>
      </c>
    </row>
    <row r="32" spans="1:3">
      <c r="A32" s="56" t="s">
        <v>54</v>
      </c>
      <c r="B32" s="56" t="s">
        <v>146</v>
      </c>
      <c r="C32" s="56" t="s">
        <v>55</v>
      </c>
    </row>
    <row r="33" spans="1:3">
      <c r="A33" s="56" t="s">
        <v>54</v>
      </c>
      <c r="B33" s="56" t="s">
        <v>146</v>
      </c>
      <c r="C33" s="56" t="s">
        <v>338</v>
      </c>
    </row>
    <row r="34" spans="1:3">
      <c r="A34" s="56" t="s">
        <v>54</v>
      </c>
      <c r="B34" s="56" t="s">
        <v>146</v>
      </c>
      <c r="C34" s="56" t="s">
        <v>59</v>
      </c>
    </row>
    <row r="35" spans="1:3">
      <c r="A35" s="56" t="s">
        <v>54</v>
      </c>
      <c r="B35" s="56" t="s">
        <v>146</v>
      </c>
      <c r="C35" s="56" t="s">
        <v>151</v>
      </c>
    </row>
    <row r="36" spans="1:3">
      <c r="A36" s="56" t="s">
        <v>54</v>
      </c>
      <c r="B36" s="56" t="s">
        <v>146</v>
      </c>
      <c r="C36" s="56" t="s">
        <v>153</v>
      </c>
    </row>
    <row r="37" spans="1:3">
      <c r="A37" s="56" t="s">
        <v>54</v>
      </c>
      <c r="B37" s="56" t="s">
        <v>146</v>
      </c>
      <c r="C37" s="56" t="s">
        <v>155</v>
      </c>
    </row>
    <row r="38" spans="1:3">
      <c r="A38" s="56" t="s">
        <v>54</v>
      </c>
      <c r="B38" s="56" t="s">
        <v>146</v>
      </c>
      <c r="C38" s="56" t="s">
        <v>157</v>
      </c>
    </row>
    <row r="39" spans="1:3">
      <c r="A39" s="56" t="s">
        <v>54</v>
      </c>
      <c r="B39" s="56" t="s">
        <v>146</v>
      </c>
      <c r="C39" s="56" t="s">
        <v>159</v>
      </c>
    </row>
    <row r="40" spans="1:3">
      <c r="A40" s="56" t="s">
        <v>54</v>
      </c>
      <c r="B40" s="56" t="s">
        <v>146</v>
      </c>
      <c r="C40" s="56" t="s">
        <v>161</v>
      </c>
    </row>
    <row r="41" spans="1:3">
      <c r="A41" s="56" t="s">
        <v>54</v>
      </c>
      <c r="B41" s="56" t="s">
        <v>141</v>
      </c>
      <c r="C41" s="56" t="s">
        <v>142</v>
      </c>
    </row>
    <row r="42" spans="1:3">
      <c r="A42" s="56" t="s">
        <v>54</v>
      </c>
      <c r="B42" s="56" t="s">
        <v>141</v>
      </c>
      <c r="C42" s="56" t="s">
        <v>144</v>
      </c>
    </row>
    <row r="43" spans="1:3">
      <c r="A43" s="56" t="s">
        <v>54</v>
      </c>
      <c r="B43" s="56" t="s">
        <v>132</v>
      </c>
      <c r="C43" s="56" t="s">
        <v>133</v>
      </c>
    </row>
    <row r="44" spans="1:3">
      <c r="A44" s="56" t="s">
        <v>54</v>
      </c>
      <c r="B44" s="56" t="s">
        <v>132</v>
      </c>
      <c r="C44" s="56" t="s">
        <v>135</v>
      </c>
    </row>
    <row r="45" spans="1:3">
      <c r="A45" s="56" t="s">
        <v>54</v>
      </c>
      <c r="B45" s="56" t="s">
        <v>132</v>
      </c>
      <c r="C45" s="56" t="s">
        <v>137</v>
      </c>
    </row>
    <row r="46" spans="1:3">
      <c r="A46" s="56" t="s">
        <v>54</v>
      </c>
      <c r="B46" s="56" t="s">
        <v>132</v>
      </c>
      <c r="C46" s="56" t="s">
        <v>139</v>
      </c>
    </row>
    <row r="47" spans="1:3">
      <c r="A47" s="56" t="s">
        <v>54</v>
      </c>
      <c r="B47" s="56" t="s">
        <v>125</v>
      </c>
      <c r="C47" s="56" t="s">
        <v>126</v>
      </c>
    </row>
    <row r="48" spans="1:3">
      <c r="A48" s="56" t="s">
        <v>54</v>
      </c>
      <c r="B48" s="56" t="s">
        <v>125</v>
      </c>
      <c r="C48" s="56" t="s">
        <v>128</v>
      </c>
    </row>
    <row r="49" spans="1:3">
      <c r="A49" s="56" t="s">
        <v>54</v>
      </c>
      <c r="B49" s="56" t="s">
        <v>125</v>
      </c>
      <c r="C49" s="56" t="s">
        <v>99</v>
      </c>
    </row>
    <row r="50" spans="1:3">
      <c r="A50" s="56" t="s">
        <v>54</v>
      </c>
      <c r="B50" s="56" t="s">
        <v>125</v>
      </c>
      <c r="C50" s="56" t="s">
        <v>93</v>
      </c>
    </row>
    <row r="51" spans="1:3">
      <c r="A51" s="56" t="s">
        <v>54</v>
      </c>
      <c r="B51" s="56" t="s">
        <v>125</v>
      </c>
      <c r="C51" s="56" t="s">
        <v>104</v>
      </c>
    </row>
    <row r="52" spans="1:3">
      <c r="A52" s="56" t="s">
        <v>54</v>
      </c>
      <c r="B52" s="56" t="s">
        <v>125</v>
      </c>
      <c r="C52" s="56" t="s">
        <v>130</v>
      </c>
    </row>
    <row r="53" spans="1:3">
      <c r="A53" s="56" t="s">
        <v>54</v>
      </c>
      <c r="B53" s="56" t="s">
        <v>125</v>
      </c>
      <c r="C53" s="56" t="s">
        <v>95</v>
      </c>
    </row>
    <row r="54" spans="1:3">
      <c r="A54" s="56" t="s">
        <v>54</v>
      </c>
      <c r="B54" s="56" t="s">
        <v>125</v>
      </c>
      <c r="C54" s="56" t="s">
        <v>97</v>
      </c>
    </row>
    <row r="55" spans="1:3">
      <c r="A55" s="56" t="s">
        <v>54</v>
      </c>
      <c r="B55" s="54" t="s">
        <v>53</v>
      </c>
      <c r="C55" s="55" t="s">
        <v>55</v>
      </c>
    </row>
    <row r="56" spans="1:3">
      <c r="A56" s="56" t="s">
        <v>54</v>
      </c>
      <c r="B56" s="54" t="s">
        <v>53</v>
      </c>
      <c r="C56" s="54" t="s">
        <v>57</v>
      </c>
    </row>
    <row r="57" spans="1:3">
      <c r="A57" s="56" t="s">
        <v>54</v>
      </c>
      <c r="B57" s="54" t="s">
        <v>53</v>
      </c>
      <c r="C57" s="55" t="s">
        <v>59</v>
      </c>
    </row>
    <row r="58" spans="1:3">
      <c r="A58" s="56" t="s">
        <v>54</v>
      </c>
      <c r="B58" s="54" t="s">
        <v>53</v>
      </c>
      <c r="C58" s="55" t="s">
        <v>61</v>
      </c>
    </row>
    <row r="59" spans="1:3">
      <c r="A59" s="56" t="s">
        <v>54</v>
      </c>
      <c r="B59" s="54" t="s">
        <v>53</v>
      </c>
      <c r="C59" s="55" t="s">
        <v>63</v>
      </c>
    </row>
    <row r="60" spans="1:3">
      <c r="A60" s="56" t="s">
        <v>54</v>
      </c>
      <c r="B60" t="s">
        <v>65</v>
      </c>
      <c r="C60" t="s">
        <v>65</v>
      </c>
    </row>
    <row r="61" spans="1:3">
      <c r="A61" s="56" t="s">
        <v>54</v>
      </c>
      <c r="B61" t="s">
        <v>103</v>
      </c>
      <c r="C61" t="s">
        <v>93</v>
      </c>
    </row>
    <row r="62" spans="1:3">
      <c r="A62" s="56" t="s">
        <v>54</v>
      </c>
      <c r="B62" t="s">
        <v>103</v>
      </c>
      <c r="C62" s="56" t="s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152B4464E984C83A542677C553DFD" ma:contentTypeVersion="3" ma:contentTypeDescription="Create a new document." ma:contentTypeScope="" ma:versionID="2b591b1f2becf88a86f289c034f99d21">
  <xsd:schema xmlns:xsd="http://www.w3.org/2001/XMLSchema" xmlns:xs="http://www.w3.org/2001/XMLSchema" xmlns:p="http://schemas.microsoft.com/office/2006/metadata/properties" xmlns:ns2="758ccc67-6075-476f-a59e-b332498085bf" targetNamespace="http://schemas.microsoft.com/office/2006/metadata/properties" ma:root="true" ma:fieldsID="0f319af7f233067754780fead5ce4cce" ns2:_="">
    <xsd:import namespace="758ccc67-6075-476f-a59e-b33249808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ccc67-6075-476f-a59e-b33249808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6AC269-27B1-4B23-B6D5-03F57AA2427E}"/>
</file>

<file path=customXml/itemProps2.xml><?xml version="1.0" encoding="utf-8"?>
<ds:datastoreItem xmlns:ds="http://schemas.openxmlformats.org/officeDocument/2006/customXml" ds:itemID="{62AF4FBC-494B-420A-BE4F-357CC18301A3}"/>
</file>

<file path=customXml/itemProps3.xml><?xml version="1.0" encoding="utf-8"?>
<ds:datastoreItem xmlns:ds="http://schemas.openxmlformats.org/officeDocument/2006/customXml" ds:itemID="{55C1C70A-AA8F-48D6-98E4-B7B9230B1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2026-07-28T04:11:35Z</dcterms:created>
  <dcterms:modified xsi:type="dcterms:W3CDTF">2026-10-13T11:06:10Z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0x010100F5D152B4464E984C83A542677C553DFD</vt:lpwstr>
  </property>
</Properties>
</file>